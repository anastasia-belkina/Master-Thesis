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workbookPr defaultThemeVersion="202300"/>
  <mc:AlternateContent xmlns:mc="http://schemas.openxmlformats.org/markup-compatibility/2006">
    <mc:Choice Requires="x15">
      <x15ac:absPath xmlns:x15ac="http://schemas.microsoft.com/office/spreadsheetml/2010/11/ac" url="C:\Users\Anastasiia Belkina\MANNHEIM\MASTER_THESIS_CODE\Real_News_Data_preparation\code_valid\"/>
    </mc:Choice>
  </mc:AlternateContent>
  <xr:revisionPtr revIDLastSave="0" documentId="13_ncr:1_{A2325F1E-5DC3-465C-8658-9ABA127CBFB3}" xr6:coauthVersionLast="47" xr6:coauthVersionMax="47" xr10:uidLastSave="{00000000-0000-0000-0000-000000000000}"/>
  <bookViews>
    <workbookView xWindow="28680" yWindow="-120" windowWidth="29040" windowHeight="15720" xr2:uid="{B14B0B49-7054-46A5-904E-721AA68271A8}"/>
  </bookViews>
  <sheets>
    <sheet name="df_comparing_wrong_new"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 i="1" l="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I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H2" i="1"/>
  <c r="H3" i="1"/>
  <c r="J3" i="1" s="1"/>
  <c r="H4" i="1"/>
  <c r="H5" i="1"/>
  <c r="H6" i="1"/>
  <c r="H7" i="1"/>
  <c r="H8" i="1"/>
  <c r="H9" i="1"/>
  <c r="H10" i="1"/>
  <c r="H11" i="1"/>
  <c r="J11" i="1" s="1"/>
  <c r="H12" i="1"/>
  <c r="H13" i="1"/>
  <c r="H14" i="1"/>
  <c r="H15" i="1"/>
  <c r="H16" i="1"/>
  <c r="H17" i="1"/>
  <c r="H18" i="1"/>
  <c r="H19" i="1"/>
  <c r="J19" i="1" s="1"/>
  <c r="H20" i="1"/>
  <c r="H21" i="1"/>
  <c r="H22" i="1"/>
  <c r="H23" i="1"/>
  <c r="H24" i="1"/>
  <c r="H25" i="1"/>
  <c r="H26" i="1"/>
  <c r="H27" i="1"/>
  <c r="J27" i="1" s="1"/>
  <c r="H28" i="1"/>
  <c r="H29" i="1"/>
  <c r="H30" i="1"/>
  <c r="H31" i="1"/>
  <c r="H32" i="1"/>
  <c r="H33" i="1"/>
  <c r="H34" i="1"/>
  <c r="J34" i="1" s="1"/>
  <c r="H35" i="1"/>
  <c r="J35" i="1" s="1"/>
  <c r="H36" i="1"/>
  <c r="H37" i="1"/>
  <c r="H38" i="1"/>
  <c r="H39" i="1"/>
  <c r="H40" i="1"/>
  <c r="H41" i="1"/>
  <c r="H42" i="1"/>
  <c r="H43" i="1"/>
  <c r="J43" i="1" s="1"/>
  <c r="H44" i="1"/>
  <c r="H45" i="1"/>
  <c r="H46" i="1"/>
  <c r="H47" i="1"/>
  <c r="H48" i="1"/>
  <c r="H49" i="1"/>
  <c r="H50" i="1"/>
  <c r="H51" i="1"/>
  <c r="J51" i="1" s="1"/>
  <c r="H52" i="1"/>
  <c r="H53" i="1"/>
  <c r="H54" i="1"/>
  <c r="H55" i="1"/>
  <c r="H56" i="1"/>
  <c r="H57" i="1"/>
  <c r="H58" i="1"/>
  <c r="H59" i="1"/>
  <c r="J59" i="1" s="1"/>
  <c r="H60" i="1"/>
  <c r="H61" i="1"/>
  <c r="H62" i="1"/>
  <c r="H63" i="1"/>
  <c r="H64" i="1"/>
  <c r="H65" i="1"/>
  <c r="H66" i="1"/>
  <c r="H67" i="1"/>
  <c r="J67" i="1" s="1"/>
  <c r="H68" i="1"/>
  <c r="H69" i="1"/>
  <c r="H70" i="1"/>
  <c r="H71" i="1"/>
  <c r="H72" i="1"/>
  <c r="H73" i="1"/>
  <c r="H74" i="1"/>
  <c r="H75" i="1"/>
  <c r="J75" i="1" s="1"/>
  <c r="H76" i="1"/>
  <c r="H77" i="1"/>
  <c r="H78" i="1"/>
  <c r="H79" i="1"/>
  <c r="H80" i="1"/>
  <c r="H81" i="1"/>
  <c r="H82" i="1"/>
  <c r="H83" i="1"/>
  <c r="J83" i="1" s="1"/>
  <c r="H84" i="1"/>
  <c r="H85" i="1"/>
  <c r="H86" i="1"/>
  <c r="H87" i="1"/>
  <c r="H88" i="1"/>
  <c r="H89" i="1"/>
  <c r="H90" i="1"/>
  <c r="J90" i="1" s="1"/>
  <c r="H91" i="1"/>
  <c r="J91" i="1" s="1"/>
  <c r="H92" i="1"/>
  <c r="H93" i="1"/>
  <c r="H94" i="1"/>
  <c r="H95" i="1"/>
  <c r="H96" i="1"/>
  <c r="H97" i="1"/>
  <c r="H98" i="1"/>
  <c r="H99" i="1"/>
  <c r="J99" i="1" s="1"/>
  <c r="H100" i="1"/>
  <c r="H101" i="1"/>
  <c r="H102" i="1"/>
  <c r="H103" i="1"/>
  <c r="H104" i="1"/>
  <c r="H105" i="1"/>
  <c r="H106" i="1"/>
  <c r="H107" i="1"/>
  <c r="J107" i="1" s="1"/>
  <c r="H108" i="1"/>
  <c r="H109" i="1"/>
  <c r="H110" i="1"/>
  <c r="H111" i="1"/>
  <c r="H112" i="1"/>
  <c r="H113" i="1"/>
  <c r="H114" i="1"/>
  <c r="H115" i="1"/>
  <c r="J115" i="1" s="1"/>
  <c r="H116" i="1"/>
  <c r="H117" i="1"/>
  <c r="H118" i="1"/>
  <c r="H119" i="1"/>
  <c r="H120" i="1"/>
  <c r="H121" i="1"/>
  <c r="H122" i="1"/>
  <c r="H123" i="1"/>
  <c r="J123" i="1" s="1"/>
  <c r="H124" i="1"/>
  <c r="H125" i="1"/>
  <c r="H126" i="1"/>
  <c r="H127" i="1"/>
  <c r="H128" i="1"/>
  <c r="H129" i="1"/>
  <c r="H130" i="1"/>
  <c r="H131" i="1"/>
  <c r="J131" i="1" s="1"/>
  <c r="H132" i="1"/>
  <c r="H133" i="1"/>
  <c r="H134" i="1"/>
  <c r="H135" i="1"/>
  <c r="H136" i="1"/>
  <c r="H137" i="1"/>
  <c r="H138" i="1"/>
  <c r="H139" i="1"/>
  <c r="J139" i="1" s="1"/>
  <c r="H140" i="1"/>
  <c r="H141" i="1"/>
  <c r="H142" i="1"/>
  <c r="H143" i="1"/>
  <c r="H144" i="1"/>
  <c r="H145" i="1"/>
  <c r="H146" i="1"/>
  <c r="H147" i="1"/>
  <c r="J147" i="1" s="1"/>
  <c r="H148" i="1"/>
  <c r="H149" i="1"/>
  <c r="H150" i="1"/>
  <c r="H151" i="1"/>
  <c r="H152" i="1"/>
  <c r="H153" i="1"/>
  <c r="H154" i="1"/>
  <c r="H155" i="1"/>
  <c r="J155" i="1" s="1"/>
  <c r="H156" i="1"/>
  <c r="H157" i="1"/>
  <c r="H158" i="1"/>
  <c r="H159" i="1"/>
  <c r="H160" i="1"/>
  <c r="H161" i="1"/>
  <c r="H162" i="1"/>
  <c r="H163" i="1"/>
  <c r="J163" i="1" s="1"/>
  <c r="H164" i="1"/>
  <c r="H165" i="1"/>
  <c r="H166" i="1"/>
  <c r="H167" i="1"/>
  <c r="H168" i="1"/>
  <c r="H169" i="1"/>
  <c r="H170" i="1"/>
  <c r="H171" i="1"/>
  <c r="J171" i="1" s="1"/>
  <c r="H172" i="1"/>
  <c r="H173" i="1"/>
  <c r="H174" i="1"/>
  <c r="H175" i="1"/>
  <c r="H176" i="1"/>
  <c r="H177" i="1"/>
  <c r="H178" i="1"/>
  <c r="H179" i="1"/>
  <c r="J179" i="1" s="1"/>
  <c r="H180" i="1"/>
  <c r="H181" i="1"/>
  <c r="H182" i="1"/>
  <c r="H183" i="1"/>
  <c r="H184" i="1"/>
  <c r="H185" i="1"/>
  <c r="H186" i="1"/>
  <c r="H187" i="1"/>
  <c r="J187" i="1" s="1"/>
  <c r="H188" i="1"/>
  <c r="H189" i="1"/>
  <c r="H190" i="1"/>
  <c r="H191" i="1"/>
  <c r="H192" i="1"/>
  <c r="H193" i="1"/>
  <c r="H194" i="1"/>
  <c r="H195" i="1"/>
  <c r="J195" i="1" s="1"/>
  <c r="H196" i="1"/>
  <c r="H197" i="1"/>
  <c r="H198" i="1"/>
  <c r="H199" i="1"/>
  <c r="H200" i="1"/>
  <c r="H201" i="1"/>
  <c r="H202" i="1"/>
  <c r="H203" i="1"/>
  <c r="J203" i="1" s="1"/>
  <c r="H204" i="1"/>
  <c r="H205" i="1"/>
  <c r="H206" i="1"/>
  <c r="H207" i="1"/>
  <c r="H208" i="1"/>
  <c r="H209" i="1"/>
  <c r="H210" i="1"/>
  <c r="H211" i="1"/>
  <c r="J211" i="1" s="1"/>
  <c r="H212" i="1"/>
  <c r="H213" i="1"/>
  <c r="H214" i="1"/>
  <c r="H215" i="1"/>
  <c r="H216" i="1"/>
  <c r="H217" i="1"/>
  <c r="H218" i="1"/>
  <c r="H219" i="1"/>
  <c r="J219" i="1" s="1"/>
  <c r="H220" i="1"/>
  <c r="H221" i="1"/>
  <c r="H222" i="1"/>
  <c r="H223" i="1"/>
  <c r="H224" i="1"/>
  <c r="H225" i="1"/>
  <c r="H226" i="1"/>
  <c r="H227" i="1"/>
  <c r="J227" i="1" s="1"/>
  <c r="H228" i="1"/>
  <c r="H229" i="1"/>
  <c r="H230" i="1"/>
  <c r="H231" i="1"/>
  <c r="H232" i="1"/>
  <c r="H233" i="1"/>
  <c r="H234" i="1"/>
  <c r="H235" i="1"/>
  <c r="J235" i="1" s="1"/>
  <c r="H236" i="1"/>
  <c r="H237" i="1"/>
  <c r="H238" i="1"/>
  <c r="H239" i="1"/>
  <c r="H240" i="1"/>
  <c r="H241" i="1"/>
  <c r="H242" i="1"/>
  <c r="H243" i="1"/>
  <c r="J243" i="1" s="1"/>
  <c r="H244" i="1"/>
  <c r="H245" i="1"/>
  <c r="H246" i="1"/>
  <c r="H247" i="1"/>
  <c r="H248" i="1"/>
  <c r="H249" i="1"/>
  <c r="H250" i="1"/>
  <c r="H251" i="1"/>
  <c r="J251" i="1" s="1"/>
  <c r="H252" i="1"/>
  <c r="H253" i="1"/>
  <c r="H254" i="1"/>
  <c r="H255" i="1"/>
  <c r="H256" i="1"/>
  <c r="H257" i="1"/>
  <c r="H258" i="1"/>
  <c r="H259" i="1"/>
  <c r="J259" i="1" s="1"/>
  <c r="H260" i="1"/>
  <c r="H261" i="1"/>
  <c r="H262" i="1"/>
  <c r="H263" i="1"/>
  <c r="H264" i="1"/>
  <c r="H265" i="1"/>
  <c r="H266" i="1"/>
  <c r="H267" i="1"/>
  <c r="J267" i="1" s="1"/>
  <c r="H268" i="1"/>
  <c r="H269" i="1"/>
  <c r="H270" i="1"/>
  <c r="H271" i="1"/>
  <c r="H272" i="1"/>
  <c r="H273" i="1"/>
  <c r="H274" i="1"/>
  <c r="H275" i="1"/>
  <c r="J275" i="1" s="1"/>
  <c r="H276" i="1"/>
  <c r="H277" i="1"/>
  <c r="H278" i="1"/>
  <c r="H279" i="1"/>
  <c r="H280" i="1"/>
  <c r="H281" i="1"/>
  <c r="H282" i="1"/>
  <c r="H283" i="1"/>
  <c r="J283" i="1" s="1"/>
  <c r="H284" i="1"/>
  <c r="H285" i="1"/>
  <c r="H286" i="1"/>
  <c r="H287" i="1"/>
  <c r="H288" i="1"/>
  <c r="H289" i="1"/>
  <c r="H290" i="1"/>
  <c r="H291" i="1"/>
  <c r="J291" i="1" s="1"/>
  <c r="H292" i="1"/>
  <c r="H293" i="1"/>
  <c r="H294" i="1"/>
  <c r="H295" i="1"/>
  <c r="H296" i="1"/>
  <c r="H297" i="1"/>
  <c r="H298" i="1"/>
  <c r="H299" i="1"/>
  <c r="J299" i="1" s="1"/>
  <c r="H300" i="1"/>
  <c r="H301" i="1"/>
  <c r="H302" i="1"/>
  <c r="H303" i="1"/>
  <c r="H304" i="1"/>
  <c r="H305" i="1"/>
  <c r="H306" i="1"/>
  <c r="H307" i="1"/>
  <c r="J307" i="1" s="1"/>
  <c r="H308" i="1"/>
  <c r="H309" i="1"/>
  <c r="H310" i="1"/>
  <c r="H311" i="1"/>
  <c r="H312" i="1"/>
  <c r="H313" i="1"/>
  <c r="H314" i="1"/>
  <c r="H315" i="1"/>
  <c r="J315" i="1" s="1"/>
  <c r="H316" i="1"/>
  <c r="H317" i="1"/>
  <c r="H318" i="1"/>
  <c r="H319" i="1"/>
  <c r="H320" i="1"/>
  <c r="H321" i="1"/>
  <c r="H322" i="1"/>
  <c r="H323" i="1"/>
  <c r="J323" i="1" s="1"/>
  <c r="H324" i="1"/>
  <c r="H325" i="1"/>
  <c r="H326" i="1"/>
  <c r="H327" i="1"/>
  <c r="H328" i="1"/>
  <c r="H329" i="1"/>
  <c r="H330" i="1"/>
  <c r="H331" i="1"/>
  <c r="J331" i="1" s="1"/>
  <c r="H332" i="1"/>
  <c r="H333" i="1"/>
  <c r="H334" i="1"/>
  <c r="H335" i="1"/>
  <c r="H336" i="1"/>
  <c r="H337" i="1"/>
  <c r="H338" i="1"/>
  <c r="H339" i="1"/>
  <c r="J339" i="1" s="1"/>
  <c r="H340" i="1"/>
  <c r="H341" i="1"/>
  <c r="H342" i="1"/>
  <c r="H343" i="1"/>
  <c r="H344" i="1"/>
  <c r="H345" i="1"/>
  <c r="H346" i="1"/>
  <c r="H347" i="1"/>
  <c r="J347" i="1" s="1"/>
  <c r="H348" i="1"/>
  <c r="H349" i="1"/>
  <c r="H350" i="1"/>
  <c r="H351" i="1"/>
  <c r="H352" i="1"/>
  <c r="H353" i="1"/>
  <c r="H354" i="1"/>
  <c r="H355" i="1"/>
  <c r="J355" i="1" s="1"/>
  <c r="H356" i="1"/>
  <c r="H357" i="1"/>
  <c r="H358" i="1"/>
  <c r="H359" i="1"/>
  <c r="H360" i="1"/>
  <c r="H361" i="1"/>
  <c r="H362" i="1"/>
  <c r="H363" i="1"/>
  <c r="J363" i="1" s="1"/>
  <c r="H364" i="1"/>
  <c r="H365" i="1"/>
  <c r="H366" i="1"/>
  <c r="H367" i="1"/>
  <c r="H368" i="1"/>
  <c r="H369" i="1"/>
  <c r="H370" i="1"/>
  <c r="H371" i="1"/>
  <c r="J371" i="1" s="1"/>
  <c r="H372" i="1"/>
  <c r="H373" i="1"/>
  <c r="H374" i="1"/>
  <c r="H375" i="1"/>
  <c r="H376" i="1"/>
  <c r="H377" i="1"/>
  <c r="H378" i="1"/>
  <c r="H379" i="1"/>
  <c r="J379" i="1" s="1"/>
  <c r="H380" i="1"/>
  <c r="H381" i="1"/>
  <c r="H382" i="1"/>
  <c r="H383" i="1"/>
  <c r="H384" i="1"/>
  <c r="H385" i="1"/>
  <c r="H386" i="1"/>
  <c r="H387" i="1"/>
  <c r="J387" i="1" s="1"/>
  <c r="H388" i="1"/>
  <c r="H389" i="1"/>
  <c r="H390" i="1"/>
  <c r="H391" i="1"/>
  <c r="H392" i="1"/>
  <c r="H393" i="1"/>
  <c r="H394" i="1"/>
  <c r="H395" i="1"/>
  <c r="J395" i="1" s="1"/>
  <c r="H396" i="1"/>
  <c r="H397" i="1"/>
  <c r="H398" i="1"/>
  <c r="H399" i="1"/>
  <c r="H400" i="1"/>
  <c r="H401" i="1"/>
  <c r="H402" i="1"/>
  <c r="H403" i="1"/>
  <c r="J403" i="1" s="1"/>
  <c r="H404" i="1"/>
  <c r="H405" i="1"/>
  <c r="H406" i="1"/>
  <c r="H407" i="1"/>
  <c r="H408" i="1"/>
  <c r="H409" i="1"/>
  <c r="H410" i="1"/>
  <c r="H411" i="1"/>
  <c r="J411" i="1" s="1"/>
  <c r="H412" i="1"/>
  <c r="H413" i="1"/>
  <c r="H414" i="1"/>
  <c r="H415" i="1"/>
  <c r="H416" i="1"/>
  <c r="H417" i="1"/>
  <c r="H418" i="1"/>
  <c r="J418" i="1" s="1"/>
  <c r="H419" i="1"/>
  <c r="J419" i="1" s="1"/>
  <c r="H420" i="1"/>
  <c r="H421" i="1"/>
  <c r="H422" i="1"/>
  <c r="H423" i="1"/>
  <c r="H424" i="1"/>
  <c r="H425" i="1"/>
  <c r="H426" i="1"/>
  <c r="H427" i="1"/>
  <c r="J427" i="1" s="1"/>
  <c r="H428" i="1"/>
  <c r="H429" i="1"/>
  <c r="H430" i="1"/>
  <c r="H431" i="1"/>
  <c r="H432" i="1"/>
  <c r="H433" i="1"/>
  <c r="H434" i="1"/>
  <c r="H435" i="1"/>
  <c r="J435" i="1" s="1"/>
  <c r="H436" i="1"/>
  <c r="H437" i="1"/>
  <c r="H438" i="1"/>
  <c r="H439" i="1"/>
  <c r="H440" i="1"/>
  <c r="H441" i="1"/>
  <c r="H442" i="1"/>
  <c r="H443" i="1"/>
  <c r="J443" i="1" s="1"/>
  <c r="H444" i="1"/>
  <c r="H445" i="1"/>
  <c r="H446" i="1"/>
  <c r="H447" i="1"/>
  <c r="H448" i="1"/>
  <c r="H449" i="1"/>
  <c r="H450" i="1"/>
  <c r="H451" i="1"/>
  <c r="J451" i="1" s="1"/>
  <c r="H452" i="1"/>
  <c r="H453" i="1"/>
  <c r="H454" i="1"/>
  <c r="H455" i="1"/>
  <c r="H456" i="1"/>
  <c r="H457" i="1"/>
  <c r="H458" i="1"/>
  <c r="H459" i="1"/>
  <c r="J459" i="1" s="1"/>
  <c r="H460" i="1"/>
  <c r="H461" i="1"/>
  <c r="H462" i="1"/>
  <c r="H463" i="1"/>
  <c r="H464" i="1"/>
  <c r="H465" i="1"/>
  <c r="H466" i="1"/>
  <c r="H467" i="1"/>
  <c r="J467" i="1" s="1"/>
  <c r="H468" i="1"/>
  <c r="H469" i="1"/>
  <c r="H470" i="1"/>
  <c r="H471" i="1"/>
  <c r="H472" i="1"/>
  <c r="H473" i="1"/>
  <c r="H474" i="1"/>
  <c r="H475" i="1"/>
  <c r="J475" i="1" s="1"/>
  <c r="H476" i="1"/>
  <c r="H477" i="1"/>
  <c r="H478" i="1"/>
  <c r="H479" i="1"/>
  <c r="H480" i="1"/>
  <c r="H481" i="1"/>
  <c r="H482" i="1"/>
  <c r="H483" i="1"/>
  <c r="J483" i="1" s="1"/>
  <c r="H484" i="1"/>
  <c r="H485" i="1"/>
  <c r="H486" i="1"/>
  <c r="H487" i="1"/>
  <c r="H488" i="1"/>
  <c r="H489" i="1"/>
  <c r="H490" i="1"/>
  <c r="H491" i="1"/>
  <c r="J491" i="1" s="1"/>
  <c r="H492" i="1"/>
  <c r="H493" i="1"/>
  <c r="H494" i="1"/>
  <c r="H495" i="1"/>
  <c r="H496" i="1"/>
  <c r="H497" i="1"/>
  <c r="H498" i="1"/>
  <c r="J498" i="1" s="1"/>
  <c r="H499" i="1"/>
  <c r="J499" i="1" s="1"/>
  <c r="H500" i="1"/>
  <c r="H501" i="1"/>
  <c r="H502" i="1"/>
  <c r="H503" i="1"/>
  <c r="H504" i="1"/>
  <c r="H505" i="1"/>
  <c r="H506" i="1"/>
  <c r="H507" i="1"/>
  <c r="J507" i="1" s="1"/>
  <c r="H508" i="1"/>
  <c r="H509" i="1"/>
  <c r="H510" i="1"/>
  <c r="H511" i="1"/>
  <c r="H512" i="1"/>
  <c r="H513" i="1"/>
  <c r="H514" i="1"/>
  <c r="H515" i="1"/>
  <c r="J515" i="1" s="1"/>
  <c r="H516" i="1"/>
  <c r="H517" i="1"/>
  <c r="H518" i="1"/>
  <c r="H519" i="1"/>
  <c r="H520" i="1"/>
  <c r="H521" i="1"/>
  <c r="H522" i="1"/>
  <c r="H523" i="1"/>
  <c r="J523" i="1" s="1"/>
  <c r="H524" i="1"/>
  <c r="H525" i="1"/>
  <c r="H526" i="1"/>
  <c r="H527" i="1"/>
  <c r="H528" i="1"/>
  <c r="H529" i="1"/>
  <c r="H530" i="1"/>
  <c r="H531" i="1"/>
  <c r="J531" i="1" s="1"/>
  <c r="H532" i="1"/>
  <c r="H533" i="1"/>
  <c r="H534" i="1"/>
  <c r="H535" i="1"/>
  <c r="H536" i="1"/>
  <c r="H537" i="1"/>
  <c r="H538" i="1"/>
  <c r="H539" i="1"/>
  <c r="J539" i="1" s="1"/>
  <c r="H540" i="1"/>
  <c r="H541" i="1"/>
  <c r="H542" i="1"/>
  <c r="H543" i="1"/>
  <c r="H544" i="1"/>
  <c r="H545" i="1"/>
  <c r="H546" i="1"/>
  <c r="H547" i="1"/>
  <c r="J547" i="1" s="1"/>
  <c r="H548" i="1"/>
  <c r="H549" i="1"/>
  <c r="H550" i="1"/>
  <c r="H551" i="1"/>
  <c r="H552" i="1"/>
  <c r="H553" i="1"/>
  <c r="H554" i="1"/>
  <c r="H555" i="1"/>
  <c r="J555" i="1" s="1"/>
  <c r="H556" i="1"/>
  <c r="H557" i="1"/>
  <c r="H558" i="1"/>
  <c r="H559" i="1"/>
  <c r="H560" i="1"/>
  <c r="H561" i="1"/>
  <c r="H562" i="1"/>
  <c r="H563" i="1"/>
  <c r="J563" i="1" s="1"/>
  <c r="H564" i="1"/>
  <c r="H565" i="1"/>
  <c r="H566" i="1"/>
  <c r="H567" i="1"/>
  <c r="H568" i="1"/>
  <c r="H569" i="1"/>
  <c r="H570" i="1"/>
  <c r="H571" i="1"/>
  <c r="J571" i="1" s="1"/>
  <c r="H572" i="1"/>
  <c r="H573" i="1"/>
  <c r="H574" i="1"/>
  <c r="H575" i="1"/>
  <c r="H576" i="1"/>
  <c r="H577" i="1"/>
  <c r="H578" i="1"/>
  <c r="H579" i="1"/>
  <c r="J579" i="1" s="1"/>
  <c r="H580" i="1"/>
  <c r="H581" i="1"/>
  <c r="H582" i="1"/>
  <c r="H583" i="1"/>
  <c r="H584" i="1"/>
  <c r="H585" i="1"/>
  <c r="H586" i="1"/>
  <c r="H587" i="1"/>
  <c r="J587" i="1" s="1"/>
  <c r="H588" i="1"/>
  <c r="H589" i="1"/>
  <c r="H590" i="1"/>
  <c r="H591" i="1"/>
  <c r="H592" i="1"/>
  <c r="H593" i="1"/>
  <c r="H594" i="1"/>
  <c r="H595" i="1"/>
  <c r="J595" i="1" s="1"/>
  <c r="H596" i="1"/>
  <c r="H597" i="1"/>
  <c r="H598" i="1"/>
  <c r="H599" i="1"/>
  <c r="H600" i="1"/>
  <c r="H601" i="1"/>
  <c r="H602" i="1"/>
  <c r="J602" i="1" s="1"/>
  <c r="H603" i="1"/>
  <c r="J603" i="1" s="1"/>
  <c r="H604" i="1"/>
  <c r="H605" i="1"/>
  <c r="H606" i="1"/>
  <c r="H607" i="1"/>
  <c r="H608" i="1"/>
  <c r="H609" i="1"/>
  <c r="H610" i="1"/>
  <c r="H611" i="1"/>
  <c r="J611" i="1" s="1"/>
  <c r="H612" i="1"/>
  <c r="H613" i="1"/>
  <c r="H614" i="1"/>
  <c r="H615" i="1"/>
  <c r="H616" i="1"/>
  <c r="H617" i="1"/>
  <c r="H618" i="1"/>
  <c r="H619" i="1"/>
  <c r="J619" i="1" s="1"/>
  <c r="H620" i="1"/>
  <c r="H621" i="1"/>
  <c r="H622" i="1"/>
  <c r="H623" i="1"/>
  <c r="H624" i="1"/>
  <c r="H625" i="1"/>
  <c r="H626" i="1"/>
  <c r="H627" i="1"/>
  <c r="J627" i="1" s="1"/>
  <c r="H628" i="1"/>
  <c r="H629" i="1"/>
  <c r="H630" i="1"/>
  <c r="H631" i="1"/>
  <c r="H632" i="1"/>
  <c r="H633" i="1"/>
  <c r="H634" i="1"/>
  <c r="J634" i="1" s="1"/>
  <c r="H635" i="1"/>
  <c r="J635" i="1" s="1"/>
  <c r="H636" i="1"/>
  <c r="H637" i="1"/>
  <c r="H638" i="1"/>
  <c r="H639" i="1"/>
  <c r="H640" i="1"/>
  <c r="H641" i="1"/>
  <c r="H642" i="1"/>
  <c r="H643" i="1"/>
  <c r="J643" i="1" s="1"/>
  <c r="H644" i="1"/>
  <c r="H645" i="1"/>
  <c r="H646" i="1"/>
  <c r="H647" i="1"/>
  <c r="H648" i="1"/>
  <c r="H649" i="1"/>
  <c r="H650" i="1"/>
  <c r="H651" i="1"/>
  <c r="J651" i="1" s="1"/>
  <c r="H652" i="1"/>
  <c r="H653" i="1"/>
  <c r="H654" i="1"/>
  <c r="H655" i="1"/>
  <c r="H656" i="1"/>
  <c r="H657" i="1"/>
  <c r="H658" i="1"/>
  <c r="H659" i="1"/>
  <c r="J659" i="1" s="1"/>
  <c r="H660" i="1"/>
  <c r="H661" i="1"/>
  <c r="H662" i="1"/>
  <c r="H663" i="1"/>
  <c r="H664" i="1"/>
  <c r="H665" i="1"/>
  <c r="H666" i="1"/>
  <c r="H667" i="1"/>
  <c r="J667" i="1" s="1"/>
  <c r="H668" i="1"/>
  <c r="H669" i="1"/>
  <c r="H670" i="1"/>
  <c r="H671" i="1"/>
  <c r="H672" i="1"/>
  <c r="H673" i="1"/>
  <c r="H674" i="1"/>
  <c r="H675" i="1"/>
  <c r="J675" i="1" s="1"/>
  <c r="H676" i="1"/>
  <c r="H677" i="1"/>
  <c r="H678" i="1"/>
  <c r="H679" i="1"/>
  <c r="H680" i="1"/>
  <c r="H681" i="1"/>
  <c r="H682" i="1"/>
  <c r="H683" i="1"/>
  <c r="J683" i="1" s="1"/>
  <c r="H684" i="1"/>
  <c r="H685" i="1"/>
  <c r="H686" i="1"/>
  <c r="H687" i="1"/>
  <c r="H688" i="1"/>
  <c r="H689" i="1"/>
  <c r="H690" i="1"/>
  <c r="H691" i="1"/>
  <c r="J691" i="1" s="1"/>
  <c r="H692" i="1"/>
  <c r="H693" i="1"/>
  <c r="H694" i="1"/>
  <c r="H695" i="1"/>
  <c r="H696" i="1"/>
  <c r="J696" i="1" s="1"/>
  <c r="H697" i="1"/>
  <c r="H698" i="1"/>
  <c r="H699" i="1"/>
  <c r="J699" i="1" s="1"/>
  <c r="H700" i="1"/>
  <c r="H701" i="1"/>
  <c r="H702" i="1"/>
  <c r="H703" i="1"/>
  <c r="H704" i="1"/>
  <c r="H705" i="1"/>
  <c r="H706" i="1"/>
  <c r="H707" i="1"/>
  <c r="J707" i="1" s="1"/>
  <c r="H708" i="1"/>
  <c r="H709" i="1"/>
  <c r="H710" i="1"/>
  <c r="H711" i="1"/>
  <c r="H712" i="1"/>
  <c r="H713" i="1"/>
  <c r="H714" i="1"/>
  <c r="J714" i="1" s="1"/>
  <c r="H715" i="1"/>
  <c r="J715" i="1" s="1"/>
  <c r="H716" i="1"/>
  <c r="H717" i="1"/>
  <c r="H718" i="1"/>
  <c r="H719" i="1"/>
  <c r="H720" i="1"/>
  <c r="H721" i="1"/>
  <c r="H722" i="1"/>
  <c r="J722" i="1" s="1"/>
  <c r="H723" i="1"/>
  <c r="J723" i="1" s="1"/>
  <c r="H724" i="1"/>
  <c r="H725" i="1"/>
  <c r="H726" i="1"/>
  <c r="H727" i="1"/>
  <c r="H728" i="1"/>
  <c r="H729" i="1"/>
  <c r="H730" i="1"/>
  <c r="J730" i="1" s="1"/>
  <c r="H731" i="1"/>
  <c r="J731" i="1" s="1"/>
  <c r="H732" i="1"/>
  <c r="H733" i="1"/>
  <c r="H734" i="1"/>
  <c r="H735" i="1"/>
  <c r="H736" i="1"/>
  <c r="H737" i="1"/>
  <c r="H738" i="1"/>
  <c r="J738" i="1" s="1"/>
  <c r="H739" i="1"/>
  <c r="J739" i="1" s="1"/>
  <c r="H740" i="1"/>
  <c r="H741" i="1"/>
  <c r="H742" i="1"/>
  <c r="H743" i="1"/>
  <c r="H744" i="1"/>
  <c r="H745" i="1"/>
  <c r="H746" i="1"/>
  <c r="J746" i="1" s="1"/>
  <c r="H747" i="1"/>
  <c r="J747" i="1" s="1"/>
  <c r="H748" i="1"/>
  <c r="H749" i="1"/>
  <c r="H750" i="1"/>
  <c r="H751" i="1"/>
  <c r="H752" i="1"/>
  <c r="H753" i="1"/>
  <c r="H754" i="1"/>
  <c r="J754" i="1" s="1"/>
  <c r="H755" i="1"/>
  <c r="J755" i="1" s="1"/>
  <c r="H756" i="1"/>
  <c r="H757" i="1"/>
  <c r="H758" i="1"/>
  <c r="H759" i="1"/>
  <c r="H760" i="1"/>
  <c r="H761" i="1"/>
  <c r="H762" i="1"/>
  <c r="J762" i="1" s="1"/>
  <c r="H763" i="1"/>
  <c r="J763" i="1" s="1"/>
  <c r="H764" i="1"/>
  <c r="H765" i="1"/>
  <c r="H766" i="1"/>
  <c r="H767" i="1"/>
  <c r="H768" i="1"/>
  <c r="H769" i="1"/>
  <c r="H770" i="1"/>
  <c r="J770" i="1" s="1"/>
  <c r="H771" i="1"/>
  <c r="J771" i="1" s="1"/>
  <c r="H772" i="1"/>
  <c r="H773" i="1"/>
  <c r="H774" i="1"/>
  <c r="H775" i="1"/>
  <c r="H776" i="1"/>
  <c r="H777" i="1"/>
  <c r="H778" i="1"/>
  <c r="J778" i="1" s="1"/>
  <c r="H779" i="1"/>
  <c r="J779" i="1" s="1"/>
  <c r="H780" i="1"/>
  <c r="H781" i="1"/>
  <c r="H782" i="1"/>
  <c r="H783" i="1"/>
  <c r="H784" i="1"/>
  <c r="H785" i="1"/>
  <c r="H786" i="1"/>
  <c r="J786" i="1" s="1"/>
  <c r="H787" i="1"/>
  <c r="J787" i="1" s="1"/>
  <c r="H788" i="1"/>
  <c r="H789" i="1"/>
  <c r="H790" i="1"/>
  <c r="H791" i="1"/>
  <c r="H792" i="1"/>
  <c r="H793" i="1"/>
  <c r="H794" i="1"/>
  <c r="J794" i="1" s="1"/>
  <c r="H795" i="1"/>
  <c r="J795" i="1" s="1"/>
  <c r="H796" i="1"/>
  <c r="H797" i="1"/>
  <c r="H798" i="1"/>
  <c r="H799" i="1"/>
  <c r="H800" i="1"/>
  <c r="H801" i="1"/>
  <c r="H802" i="1"/>
  <c r="J802" i="1" s="1"/>
  <c r="H803" i="1"/>
  <c r="J803" i="1" s="1"/>
  <c r="H804" i="1"/>
  <c r="H805" i="1"/>
  <c r="H806" i="1"/>
  <c r="H807" i="1"/>
  <c r="H808" i="1"/>
  <c r="H809" i="1"/>
  <c r="H810" i="1"/>
  <c r="J810" i="1" s="1"/>
  <c r="H811" i="1"/>
  <c r="J811" i="1" s="1"/>
  <c r="H812" i="1"/>
  <c r="H813" i="1"/>
  <c r="H814" i="1"/>
  <c r="H815" i="1"/>
  <c r="H816" i="1"/>
  <c r="H817" i="1"/>
  <c r="H818" i="1"/>
  <c r="J818" i="1" s="1"/>
  <c r="H819" i="1"/>
  <c r="J819" i="1" s="1"/>
  <c r="H820" i="1"/>
  <c r="H821" i="1"/>
  <c r="H822" i="1"/>
  <c r="H823" i="1"/>
  <c r="H824" i="1"/>
  <c r="H825" i="1"/>
  <c r="H826" i="1"/>
  <c r="J826" i="1" s="1"/>
  <c r="H827" i="1"/>
  <c r="J827" i="1" s="1"/>
  <c r="H828" i="1"/>
  <c r="H829" i="1"/>
  <c r="H830" i="1"/>
  <c r="H831" i="1"/>
  <c r="H832" i="1"/>
  <c r="H833" i="1"/>
  <c r="H834" i="1"/>
  <c r="J834" i="1" s="1"/>
  <c r="H835" i="1"/>
  <c r="J835" i="1" s="1"/>
  <c r="H836" i="1"/>
  <c r="H837" i="1"/>
  <c r="H838" i="1"/>
  <c r="H839" i="1"/>
  <c r="H840" i="1"/>
  <c r="H841" i="1"/>
  <c r="H842" i="1"/>
  <c r="J842" i="1" s="1"/>
  <c r="H843" i="1"/>
  <c r="J843" i="1" s="1"/>
  <c r="H844" i="1"/>
  <c r="H845" i="1"/>
  <c r="H846" i="1"/>
  <c r="H847" i="1"/>
  <c r="H848" i="1"/>
  <c r="H849" i="1"/>
  <c r="H850" i="1"/>
  <c r="J850" i="1" s="1"/>
  <c r="H851" i="1"/>
  <c r="J851" i="1" s="1"/>
  <c r="H852" i="1"/>
  <c r="H853" i="1"/>
  <c r="H854" i="1"/>
  <c r="H855" i="1"/>
  <c r="H856" i="1"/>
  <c r="H857" i="1"/>
  <c r="H858" i="1"/>
  <c r="J858" i="1" s="1"/>
  <c r="H859" i="1"/>
  <c r="J859" i="1" s="1"/>
  <c r="H860" i="1"/>
  <c r="H861" i="1"/>
  <c r="H862" i="1"/>
  <c r="H863" i="1"/>
  <c r="H864" i="1"/>
  <c r="H865" i="1"/>
  <c r="H866" i="1"/>
  <c r="J866" i="1" s="1"/>
  <c r="H867" i="1"/>
  <c r="J867" i="1" s="1"/>
  <c r="H868" i="1"/>
  <c r="H869" i="1"/>
  <c r="H870" i="1"/>
  <c r="H871" i="1"/>
  <c r="H872" i="1"/>
  <c r="H873" i="1"/>
  <c r="H874" i="1"/>
  <c r="J874" i="1" s="1"/>
  <c r="H875" i="1"/>
  <c r="J875" i="1" s="1"/>
  <c r="H876" i="1"/>
  <c r="H877" i="1"/>
  <c r="H878" i="1"/>
  <c r="H879" i="1"/>
  <c r="H880" i="1"/>
  <c r="H881" i="1"/>
  <c r="H882" i="1"/>
  <c r="J882" i="1" s="1"/>
  <c r="H883" i="1"/>
  <c r="J883" i="1" s="1"/>
  <c r="H884" i="1"/>
  <c r="H885" i="1"/>
  <c r="H886" i="1"/>
  <c r="H887" i="1"/>
  <c r="H888" i="1"/>
  <c r="H889" i="1"/>
  <c r="H890" i="1"/>
  <c r="J890" i="1" s="1"/>
  <c r="H891" i="1"/>
  <c r="J891" i="1" s="1"/>
  <c r="H892" i="1"/>
  <c r="H893" i="1"/>
  <c r="H894" i="1"/>
  <c r="H895" i="1"/>
  <c r="H896" i="1"/>
  <c r="H897" i="1"/>
  <c r="H898" i="1"/>
  <c r="J898" i="1" s="1"/>
  <c r="H899" i="1"/>
  <c r="J899" i="1" s="1"/>
  <c r="H900" i="1"/>
  <c r="H901" i="1"/>
  <c r="H902" i="1"/>
  <c r="H903" i="1"/>
  <c r="H904" i="1"/>
  <c r="H905" i="1"/>
  <c r="H906" i="1"/>
  <c r="J906" i="1" s="1"/>
  <c r="H907" i="1"/>
  <c r="J907" i="1" s="1"/>
  <c r="H908" i="1"/>
  <c r="H909" i="1"/>
  <c r="H910" i="1"/>
  <c r="H911" i="1"/>
  <c r="H912" i="1"/>
  <c r="H913" i="1"/>
  <c r="H914" i="1"/>
  <c r="J914" i="1" s="1"/>
  <c r="H915" i="1"/>
  <c r="J915" i="1" s="1"/>
  <c r="H916" i="1"/>
  <c r="H917" i="1"/>
  <c r="H918" i="1"/>
  <c r="H919" i="1"/>
  <c r="H920" i="1"/>
  <c r="H921" i="1"/>
  <c r="H922" i="1"/>
  <c r="J922" i="1" s="1"/>
  <c r="H923" i="1"/>
  <c r="J923" i="1" s="1"/>
  <c r="H924" i="1"/>
  <c r="H925" i="1"/>
  <c r="H926" i="1"/>
  <c r="H927" i="1"/>
  <c r="H928" i="1"/>
  <c r="H929" i="1"/>
  <c r="H930" i="1"/>
  <c r="J930" i="1" s="1"/>
  <c r="H931" i="1"/>
  <c r="J931" i="1" s="1"/>
  <c r="H932" i="1"/>
  <c r="H933" i="1"/>
  <c r="H934" i="1"/>
  <c r="H935" i="1"/>
  <c r="H936" i="1"/>
  <c r="H937" i="1"/>
  <c r="H938" i="1"/>
  <c r="J938" i="1" s="1"/>
  <c r="H939" i="1"/>
  <c r="J939" i="1" s="1"/>
  <c r="H940" i="1"/>
  <c r="H941" i="1"/>
  <c r="H942" i="1"/>
  <c r="H943" i="1"/>
  <c r="H944" i="1"/>
  <c r="H945" i="1"/>
  <c r="H946" i="1"/>
  <c r="J946" i="1" s="1"/>
  <c r="H947" i="1"/>
  <c r="J947" i="1" s="1"/>
  <c r="H948" i="1"/>
  <c r="H949" i="1"/>
  <c r="H950" i="1"/>
  <c r="H951" i="1"/>
  <c r="H952" i="1"/>
  <c r="H953" i="1"/>
  <c r="H954" i="1"/>
  <c r="J954" i="1" s="1"/>
  <c r="H955" i="1"/>
  <c r="J955" i="1" s="1"/>
  <c r="H956" i="1"/>
  <c r="H957" i="1"/>
  <c r="H958" i="1"/>
  <c r="H959" i="1"/>
  <c r="H960" i="1"/>
  <c r="H961" i="1"/>
  <c r="H962" i="1"/>
  <c r="J962" i="1" s="1"/>
  <c r="H963" i="1"/>
  <c r="J963" i="1" s="1"/>
  <c r="H964" i="1"/>
  <c r="H965" i="1"/>
  <c r="H966" i="1"/>
  <c r="H967" i="1"/>
  <c r="H968" i="1"/>
  <c r="H969" i="1"/>
  <c r="H970" i="1"/>
  <c r="J970" i="1" s="1"/>
  <c r="H971" i="1"/>
  <c r="J971" i="1" s="1"/>
  <c r="H972" i="1"/>
  <c r="H973" i="1"/>
  <c r="H974" i="1"/>
  <c r="H975" i="1"/>
  <c r="H976" i="1"/>
  <c r="H977" i="1"/>
  <c r="H978" i="1"/>
  <c r="J978" i="1" s="1"/>
  <c r="H979" i="1"/>
  <c r="J979" i="1" s="1"/>
  <c r="H980" i="1"/>
  <c r="H981" i="1"/>
  <c r="H982" i="1"/>
  <c r="H983" i="1"/>
  <c r="H984" i="1"/>
  <c r="H985" i="1"/>
  <c r="H986" i="1"/>
  <c r="J986" i="1" s="1"/>
  <c r="H987" i="1"/>
  <c r="H988" i="1"/>
  <c r="H989" i="1"/>
  <c r="H990" i="1"/>
  <c r="H991" i="1"/>
  <c r="H992" i="1"/>
  <c r="H993" i="1"/>
  <c r="H994" i="1"/>
  <c r="J994" i="1" s="1"/>
  <c r="H995" i="1"/>
  <c r="J995" i="1" s="1"/>
  <c r="H996" i="1"/>
  <c r="H997" i="1"/>
  <c r="H998" i="1"/>
  <c r="H999" i="1"/>
  <c r="H1000" i="1"/>
  <c r="H1001" i="1"/>
  <c r="H1002" i="1"/>
  <c r="J1002" i="1" s="1"/>
  <c r="H1003" i="1"/>
  <c r="J1003" i="1" s="1"/>
  <c r="H1004" i="1"/>
  <c r="H1005" i="1"/>
  <c r="H1006" i="1"/>
  <c r="H1007" i="1"/>
  <c r="H1008" i="1"/>
  <c r="H1009" i="1"/>
  <c r="H1010" i="1"/>
  <c r="J1010" i="1" s="1"/>
  <c r="H1011" i="1"/>
  <c r="J1011" i="1" s="1"/>
  <c r="H1012" i="1"/>
  <c r="H1013" i="1"/>
  <c r="H1014" i="1"/>
  <c r="H1015" i="1"/>
  <c r="H1016" i="1"/>
  <c r="H1017" i="1"/>
  <c r="H1018" i="1"/>
  <c r="J1018" i="1" s="1"/>
  <c r="H1019" i="1"/>
  <c r="J1019" i="1" s="1"/>
  <c r="H1020" i="1"/>
  <c r="H1021" i="1"/>
  <c r="H1022" i="1"/>
  <c r="H1023" i="1"/>
  <c r="H1024" i="1"/>
  <c r="H1025" i="1"/>
  <c r="H1026" i="1"/>
  <c r="J1026" i="1" s="1"/>
  <c r="H1027" i="1"/>
  <c r="J1027" i="1" s="1"/>
  <c r="H1028" i="1"/>
  <c r="H1029" i="1"/>
  <c r="H1030" i="1"/>
  <c r="H1031" i="1"/>
  <c r="H1032" i="1"/>
  <c r="H1033" i="1"/>
  <c r="H1034" i="1"/>
  <c r="J1034" i="1" s="1"/>
  <c r="H1035" i="1"/>
  <c r="J1035" i="1" s="1"/>
  <c r="H1036" i="1"/>
  <c r="H1037" i="1"/>
  <c r="H1038" i="1"/>
  <c r="H1039" i="1"/>
  <c r="H1040" i="1"/>
  <c r="H1041" i="1"/>
  <c r="H1042" i="1"/>
  <c r="J1042" i="1" s="1"/>
  <c r="H1043" i="1"/>
  <c r="J1043" i="1" s="1"/>
  <c r="H1044" i="1"/>
  <c r="H1045" i="1"/>
  <c r="H1046" i="1"/>
  <c r="H1047" i="1"/>
  <c r="H1048" i="1"/>
  <c r="H1049" i="1"/>
  <c r="H1050" i="1"/>
  <c r="J1050" i="1" s="1"/>
  <c r="H1051" i="1"/>
  <c r="J1051" i="1" s="1"/>
  <c r="H1052" i="1"/>
  <c r="H1053" i="1"/>
  <c r="H1054" i="1"/>
  <c r="H1055" i="1"/>
  <c r="H1056" i="1"/>
  <c r="H1057" i="1"/>
  <c r="H1058" i="1"/>
  <c r="J1058" i="1" s="1"/>
  <c r="H1059" i="1"/>
  <c r="J1059" i="1" s="1"/>
  <c r="H1060" i="1"/>
  <c r="H1061" i="1"/>
  <c r="H1062" i="1"/>
  <c r="H1063" i="1"/>
  <c r="H1064" i="1"/>
  <c r="H1065" i="1"/>
  <c r="H1066" i="1"/>
  <c r="J1066" i="1" s="1"/>
  <c r="H1067" i="1"/>
  <c r="J1067" i="1" s="1"/>
  <c r="H1068" i="1"/>
  <c r="H1069" i="1"/>
  <c r="H1070" i="1"/>
  <c r="H1071" i="1"/>
  <c r="H1072" i="1"/>
  <c r="H1073" i="1"/>
  <c r="H1074" i="1"/>
  <c r="J1074" i="1" s="1"/>
  <c r="H1075" i="1"/>
  <c r="J1075" i="1" s="1"/>
  <c r="H1076" i="1"/>
  <c r="H1077" i="1"/>
  <c r="H1078" i="1"/>
  <c r="H1079" i="1"/>
  <c r="H1080" i="1"/>
  <c r="H1081" i="1"/>
  <c r="H1082" i="1"/>
  <c r="J1082" i="1" s="1"/>
  <c r="H1083" i="1"/>
  <c r="J1083" i="1" s="1"/>
  <c r="H1084" i="1"/>
  <c r="H1085" i="1"/>
  <c r="H1086" i="1"/>
  <c r="H1087" i="1"/>
  <c r="H1088" i="1"/>
  <c r="H1089" i="1"/>
  <c r="H1090" i="1"/>
  <c r="H1091" i="1"/>
  <c r="J1091" i="1" s="1"/>
  <c r="H1092" i="1"/>
  <c r="H1093" i="1"/>
  <c r="H1094" i="1"/>
  <c r="H1095" i="1"/>
  <c r="H1096" i="1"/>
  <c r="H1097" i="1"/>
  <c r="H1098" i="1"/>
  <c r="H1099" i="1"/>
  <c r="J1099" i="1" s="1"/>
  <c r="J945" i="1" l="1"/>
  <c r="J849" i="1"/>
  <c r="J833" i="1"/>
  <c r="J1098" i="1"/>
  <c r="J1090" i="1"/>
  <c r="J987" i="1"/>
  <c r="J737" i="1"/>
  <c r="J713" i="1"/>
  <c r="J538" i="1"/>
  <c r="J697" i="1"/>
  <c r="J1092" i="1"/>
  <c r="J1084" i="1"/>
  <c r="J1076" i="1"/>
  <c r="J1068" i="1"/>
  <c r="J1060" i="1"/>
  <c r="J1052" i="1"/>
  <c r="J1044" i="1"/>
  <c r="J1036" i="1"/>
  <c r="J1028" i="1"/>
  <c r="J1020" i="1"/>
  <c r="J1012" i="1"/>
  <c r="J1004" i="1"/>
  <c r="J996" i="1"/>
  <c r="J988" i="1"/>
  <c r="J980" i="1"/>
  <c r="J972" i="1"/>
  <c r="J964" i="1"/>
  <c r="J956" i="1"/>
  <c r="J948" i="1"/>
  <c r="J940" i="1"/>
  <c r="J932" i="1"/>
  <c r="J924" i="1"/>
  <c r="J916" i="1"/>
  <c r="J908" i="1"/>
  <c r="J900" i="1"/>
  <c r="J892" i="1"/>
  <c r="J884" i="1"/>
  <c r="J876" i="1"/>
  <c r="J868" i="1"/>
  <c r="J860" i="1"/>
  <c r="J852" i="1"/>
  <c r="J844" i="1"/>
  <c r="J836" i="1"/>
  <c r="J828" i="1"/>
  <c r="J820" i="1"/>
  <c r="J812" i="1"/>
  <c r="J804" i="1"/>
  <c r="J796" i="1"/>
  <c r="J788" i="1"/>
  <c r="J780" i="1"/>
  <c r="J772" i="1"/>
  <c r="J764" i="1"/>
  <c r="J756" i="1"/>
  <c r="J748" i="1"/>
  <c r="J740" i="1"/>
  <c r="J732" i="1"/>
  <c r="J724" i="1"/>
  <c r="J716" i="1"/>
  <c r="J708" i="1"/>
  <c r="J700" i="1"/>
  <c r="J692" i="1"/>
  <c r="J684" i="1"/>
  <c r="J1078" i="1"/>
  <c r="J1070" i="1"/>
  <c r="J966" i="1"/>
  <c r="J934" i="1"/>
  <c r="J1093" i="1"/>
  <c r="J1085" i="1"/>
  <c r="J1077" i="1"/>
  <c r="J1069" i="1"/>
  <c r="J1061" i="1"/>
  <c r="J1053" i="1"/>
  <c r="J1045" i="1"/>
  <c r="J1037" i="1"/>
  <c r="J1029" i="1"/>
  <c r="J1021" i="1"/>
  <c r="J1013" i="1"/>
  <c r="J1005" i="1"/>
  <c r="J997" i="1"/>
  <c r="J989" i="1"/>
  <c r="J981" i="1"/>
  <c r="J973" i="1"/>
  <c r="J965" i="1"/>
  <c r="J957" i="1"/>
  <c r="J949" i="1"/>
  <c r="J941" i="1"/>
  <c r="J933" i="1"/>
  <c r="J925" i="1"/>
  <c r="J917" i="1"/>
  <c r="J909" i="1"/>
  <c r="J901" i="1"/>
  <c r="J893" i="1"/>
  <c r="J885" i="1"/>
  <c r="J877" i="1"/>
  <c r="J869" i="1"/>
  <c r="J861" i="1"/>
  <c r="J853" i="1"/>
  <c r="J845" i="1"/>
  <c r="J837" i="1"/>
  <c r="J829" i="1"/>
  <c r="J821" i="1"/>
  <c r="J813" i="1"/>
  <c r="J805" i="1"/>
  <c r="J797" i="1"/>
  <c r="J789" i="1"/>
  <c r="J781" i="1"/>
  <c r="J773" i="1"/>
  <c r="J765" i="1"/>
  <c r="J757" i="1"/>
  <c r="J749" i="1"/>
  <c r="J741" i="1"/>
  <c r="J733" i="1"/>
  <c r="J725" i="1"/>
  <c r="J717" i="1"/>
  <c r="J709" i="1"/>
  <c r="J701" i="1"/>
  <c r="J693" i="1"/>
  <c r="J685" i="1"/>
  <c r="J676" i="1"/>
  <c r="J668" i="1"/>
  <c r="J660" i="1"/>
  <c r="J652" i="1"/>
  <c r="J644" i="1"/>
  <c r="J636" i="1"/>
  <c r="J628" i="1"/>
  <c r="J620" i="1"/>
  <c r="J612" i="1"/>
  <c r="J604" i="1"/>
  <c r="J596" i="1"/>
  <c r="J588" i="1"/>
  <c r="J580" i="1"/>
  <c r="J572" i="1"/>
  <c r="J564" i="1"/>
  <c r="J556" i="1"/>
  <c r="J548" i="1"/>
  <c r="J540" i="1"/>
  <c r="J532" i="1"/>
  <c r="J524" i="1"/>
  <c r="J516" i="1"/>
  <c r="J508" i="1"/>
  <c r="J500" i="1"/>
  <c r="J492" i="1"/>
  <c r="J484" i="1"/>
  <c r="J476" i="1"/>
  <c r="J468" i="1"/>
  <c r="J460" i="1"/>
  <c r="J452" i="1"/>
  <c r="J444" i="1"/>
  <c r="J436" i="1"/>
  <c r="J428" i="1"/>
  <c r="J420" i="1"/>
  <c r="J412" i="1"/>
  <c r="J404" i="1"/>
  <c r="J396" i="1"/>
  <c r="J388" i="1"/>
  <c r="J380" i="1"/>
  <c r="J372" i="1"/>
  <c r="J364" i="1"/>
  <c r="J356" i="1"/>
  <c r="J348" i="1"/>
  <c r="J340" i="1"/>
  <c r="J332" i="1"/>
  <c r="J324" i="1"/>
  <c r="J316" i="1"/>
  <c r="J308" i="1"/>
  <c r="J300" i="1"/>
  <c r="J292" i="1"/>
  <c r="J284" i="1"/>
  <c r="J276" i="1"/>
  <c r="J268" i="1"/>
  <c r="J260" i="1"/>
  <c r="J252" i="1"/>
  <c r="J244" i="1"/>
  <c r="J236" i="1"/>
  <c r="J228" i="1"/>
  <c r="J220" i="1"/>
  <c r="J212" i="1"/>
  <c r="J204" i="1"/>
  <c r="J196" i="1"/>
  <c r="J188" i="1"/>
  <c r="J180" i="1"/>
  <c r="J172" i="1"/>
  <c r="J164" i="1"/>
  <c r="J156" i="1"/>
  <c r="J148" i="1"/>
  <c r="J140" i="1"/>
  <c r="J132" i="1"/>
  <c r="J124" i="1"/>
  <c r="J116" i="1"/>
  <c r="J108" i="1"/>
  <c r="J100" i="1"/>
  <c r="J92" i="1"/>
  <c r="J84" i="1"/>
  <c r="J76" i="1"/>
  <c r="J68" i="1"/>
  <c r="J60" i="1"/>
  <c r="J52" i="1"/>
  <c r="J44" i="1"/>
  <c r="J36" i="1"/>
  <c r="J28" i="1"/>
  <c r="J20" i="1"/>
  <c r="J12" i="1"/>
  <c r="J4" i="1"/>
  <c r="J870" i="1"/>
  <c r="J838" i="1"/>
  <c r="J726" i="1"/>
  <c r="J710" i="1"/>
  <c r="J502" i="1"/>
  <c r="J374" i="1"/>
  <c r="J1096" i="1"/>
  <c r="J1080" i="1"/>
  <c r="J1040" i="1"/>
  <c r="J1032" i="1"/>
  <c r="J1024" i="1"/>
  <c r="J1016" i="1"/>
  <c r="J984" i="1"/>
  <c r="J976" i="1"/>
  <c r="J952" i="1"/>
  <c r="J920" i="1"/>
  <c r="J888" i="1"/>
  <c r="J856" i="1"/>
  <c r="J824" i="1"/>
  <c r="J800" i="1"/>
  <c r="J784" i="1"/>
  <c r="J752" i="1"/>
  <c r="J728" i="1"/>
  <c r="J680" i="1"/>
  <c r="J648" i="1"/>
  <c r="J632" i="1"/>
  <c r="J584" i="1"/>
  <c r="J464" i="1"/>
  <c r="J456" i="1"/>
  <c r="J677" i="1"/>
  <c r="J669" i="1"/>
  <c r="J661" i="1"/>
  <c r="J653" i="1"/>
  <c r="J645" i="1"/>
  <c r="J637" i="1"/>
  <c r="J629" i="1"/>
  <c r="J621" i="1"/>
  <c r="J613" i="1"/>
  <c r="J605" i="1"/>
  <c r="J597" i="1"/>
  <c r="J589" i="1"/>
  <c r="J581" i="1"/>
  <c r="J573" i="1"/>
  <c r="J565" i="1"/>
  <c r="J557" i="1"/>
  <c r="J549" i="1"/>
  <c r="J541" i="1"/>
  <c r="J533" i="1"/>
  <c r="J525" i="1"/>
  <c r="J517" i="1"/>
  <c r="J509" i="1"/>
  <c r="J501" i="1"/>
  <c r="J493" i="1"/>
  <c r="J485" i="1"/>
  <c r="J477" i="1"/>
  <c r="J469" i="1"/>
  <c r="J461" i="1"/>
  <c r="J453" i="1"/>
  <c r="J445" i="1"/>
  <c r="J437" i="1"/>
  <c r="J429" i="1"/>
  <c r="J421" i="1"/>
  <c r="J413" i="1"/>
  <c r="J405" i="1"/>
  <c r="J397" i="1"/>
  <c r="J389" i="1"/>
  <c r="J381" i="1"/>
  <c r="J373" i="1"/>
  <c r="J365" i="1"/>
  <c r="J357" i="1"/>
  <c r="J349" i="1"/>
  <c r="J341" i="1"/>
  <c r="J333" i="1"/>
  <c r="J325" i="1"/>
  <c r="J317" i="1"/>
  <c r="J309" i="1"/>
  <c r="J301" i="1"/>
  <c r="J293" i="1"/>
  <c r="J285" i="1"/>
  <c r="J277" i="1"/>
  <c r="J269" i="1"/>
  <c r="J261" i="1"/>
  <c r="J253" i="1"/>
  <c r="J245" i="1"/>
  <c r="J237" i="1"/>
  <c r="J229" i="1"/>
  <c r="J221" i="1"/>
  <c r="J213" i="1"/>
  <c r="J205" i="1"/>
  <c r="J197" i="1"/>
  <c r="J189" i="1"/>
  <c r="J181" i="1"/>
  <c r="J173" i="1"/>
  <c r="J165" i="1"/>
  <c r="J157" i="1"/>
  <c r="J149" i="1"/>
  <c r="J141" i="1"/>
  <c r="J133" i="1"/>
  <c r="J125" i="1"/>
  <c r="J117" i="1"/>
  <c r="J109" i="1"/>
  <c r="J101" i="1"/>
  <c r="J93" i="1"/>
  <c r="J85" i="1"/>
  <c r="J77" i="1"/>
  <c r="J69" i="1"/>
  <c r="J61" i="1"/>
  <c r="J53" i="1"/>
  <c r="J45" i="1"/>
  <c r="J37" i="1"/>
  <c r="J29" i="1"/>
  <c r="J21" i="1"/>
  <c r="J13" i="1"/>
  <c r="J5" i="1"/>
  <c r="J706" i="1"/>
  <c r="J698" i="1"/>
  <c r="J690" i="1"/>
  <c r="J682" i="1"/>
  <c r="J674" i="1"/>
  <c r="J666" i="1"/>
  <c r="J658" i="1"/>
  <c r="J650" i="1"/>
  <c r="J642" i="1"/>
  <c r="J626" i="1"/>
  <c r="J618" i="1"/>
  <c r="J610" i="1"/>
  <c r="J594" i="1"/>
  <c r="J586" i="1"/>
  <c r="J578" i="1"/>
  <c r="J570" i="1"/>
  <c r="J562" i="1"/>
  <c r="J554" i="1"/>
  <c r="J442" i="1"/>
  <c r="J146" i="1"/>
  <c r="J944" i="1"/>
  <c r="J1097" i="1"/>
  <c r="J1089" i="1"/>
  <c r="J1057" i="1"/>
  <c r="J1049" i="1"/>
  <c r="J1033" i="1"/>
  <c r="J1025" i="1"/>
  <c r="J985" i="1"/>
  <c r="J977" i="1"/>
  <c r="J953" i="1"/>
  <c r="J929" i="1"/>
  <c r="J921" i="1"/>
  <c r="J913" i="1"/>
  <c r="J897" i="1"/>
  <c r="J889" i="1"/>
  <c r="J881" i="1"/>
  <c r="J865" i="1"/>
  <c r="J857" i="1"/>
  <c r="J825" i="1"/>
  <c r="J809" i="1"/>
  <c r="J478" i="1"/>
  <c r="J398" i="1"/>
  <c r="J1079" i="1"/>
  <c r="J1023" i="1"/>
  <c r="J967" i="1"/>
  <c r="J943" i="1"/>
  <c r="J911" i="1"/>
  <c r="J879" i="1"/>
  <c r="J847" i="1"/>
  <c r="J823" i="1"/>
  <c r="J799" i="1"/>
  <c r="J767" i="1"/>
  <c r="J727" i="1"/>
  <c r="J567" i="1"/>
  <c r="J455" i="1"/>
  <c r="J423" i="1"/>
  <c r="J399" i="1"/>
  <c r="J375" i="1"/>
  <c r="J303" i="1"/>
  <c r="J239" i="1"/>
  <c r="J199" i="1"/>
  <c r="J183" i="1"/>
  <c r="J143" i="1"/>
  <c r="J119" i="1"/>
  <c r="J39" i="1"/>
  <c r="J1014" i="1"/>
  <c r="J902" i="1"/>
  <c r="J1095" i="1"/>
  <c r="J1071" i="1"/>
  <c r="J1039" i="1"/>
  <c r="J1015" i="1"/>
  <c r="J983" i="1"/>
  <c r="J975" i="1"/>
  <c r="J951" i="1"/>
  <c r="J935" i="1"/>
  <c r="J919" i="1"/>
  <c r="J903" i="1"/>
  <c r="J887" i="1"/>
  <c r="J855" i="1"/>
  <c r="J839" i="1"/>
  <c r="J783" i="1"/>
  <c r="J751" i="1"/>
  <c r="J695" i="1"/>
  <c r="J647" i="1"/>
  <c r="J615" i="1"/>
  <c r="J551" i="1"/>
  <c r="J503" i="1"/>
  <c r="J479" i="1"/>
  <c r="J439" i="1"/>
  <c r="J327" i="1"/>
  <c r="J311" i="1"/>
  <c r="J231" i="1"/>
  <c r="J175" i="1"/>
  <c r="J87" i="1"/>
  <c r="J1006" i="1"/>
  <c r="J782" i="1"/>
  <c r="J1073" i="1"/>
  <c r="J1041" i="1"/>
  <c r="J1017" i="1"/>
  <c r="J1009" i="1"/>
  <c r="J1001" i="1"/>
  <c r="J993" i="1"/>
  <c r="J969" i="1"/>
  <c r="J961" i="1"/>
  <c r="J937" i="1"/>
  <c r="J905" i="1"/>
  <c r="J873" i="1"/>
  <c r="J841" i="1"/>
  <c r="J817" i="1"/>
  <c r="J801" i="1"/>
  <c r="J793" i="1"/>
  <c r="J785" i="1"/>
  <c r="J769" i="1"/>
  <c r="J1087" i="1"/>
  <c r="J1031" i="1"/>
  <c r="J1007" i="1"/>
  <c r="J871" i="1"/>
  <c r="J1081" i="1"/>
  <c r="J1065" i="1"/>
  <c r="J1088" i="1"/>
  <c r="J1072" i="1"/>
  <c r="J1064" i="1"/>
  <c r="J1056" i="1"/>
  <c r="J1048" i="1"/>
  <c r="J1008" i="1"/>
  <c r="J1000" i="1"/>
  <c r="J992" i="1"/>
  <c r="J968" i="1"/>
  <c r="J960" i="1"/>
  <c r="J936" i="1"/>
  <c r="J928" i="1"/>
  <c r="J912" i="1"/>
  <c r="J904" i="1"/>
  <c r="J896" i="1"/>
  <c r="J880" i="1"/>
  <c r="J872" i="1"/>
  <c r="J864" i="1"/>
  <c r="J848" i="1"/>
  <c r="J840" i="1"/>
  <c r="J832" i="1"/>
  <c r="J816" i="1"/>
  <c r="J792" i="1"/>
  <c r="J768" i="1"/>
  <c r="J760" i="1"/>
  <c r="J736" i="1"/>
  <c r="J720" i="1"/>
  <c r="J704" i="1"/>
  <c r="J688" i="1"/>
  <c r="J640" i="1"/>
  <c r="J624" i="1"/>
  <c r="J592" i="1"/>
  <c r="J576" i="1"/>
  <c r="J560" i="1"/>
  <c r="J552" i="1"/>
  <c r="J528" i="1"/>
  <c r="J512" i="1"/>
  <c r="J504" i="1"/>
  <c r="J488" i="1"/>
  <c r="J440" i="1"/>
  <c r="J546" i="1"/>
  <c r="J530" i="1"/>
  <c r="J522" i="1"/>
  <c r="J514" i="1"/>
  <c r="J506" i="1"/>
  <c r="J490" i="1"/>
  <c r="J482" i="1"/>
  <c r="J474" i="1"/>
  <c r="J466" i="1"/>
  <c r="J458" i="1"/>
  <c r="J450" i="1"/>
  <c r="J434" i="1"/>
  <c r="J426" i="1"/>
  <c r="J410" i="1"/>
  <c r="J402" i="1"/>
  <c r="J394" i="1"/>
  <c r="J386" i="1"/>
  <c r="J378" i="1"/>
  <c r="J370" i="1"/>
  <c r="J362" i="1"/>
  <c r="J354" i="1"/>
  <c r="J346" i="1"/>
  <c r="J338" i="1"/>
  <c r="J330" i="1"/>
  <c r="J322" i="1"/>
  <c r="J314" i="1"/>
  <c r="J306" i="1"/>
  <c r="J298" i="1"/>
  <c r="J290" i="1"/>
  <c r="J282" i="1"/>
  <c r="J274" i="1"/>
  <c r="J266" i="1"/>
  <c r="J258" i="1"/>
  <c r="J250" i="1"/>
  <c r="J242" i="1"/>
  <c r="J234" i="1"/>
  <c r="J226" i="1"/>
  <c r="J218" i="1"/>
  <c r="J210" i="1"/>
  <c r="J202" i="1"/>
  <c r="J194" i="1"/>
  <c r="J186" i="1"/>
  <c r="J178" i="1"/>
  <c r="J170" i="1"/>
  <c r="J162" i="1"/>
  <c r="J154" i="1"/>
  <c r="J138" i="1"/>
  <c r="J130" i="1"/>
  <c r="J122" i="1"/>
  <c r="J114" i="1"/>
  <c r="J106" i="1"/>
  <c r="J98" i="1"/>
  <c r="J82" i="1"/>
  <c r="J74" i="1"/>
  <c r="J66" i="1"/>
  <c r="J58" i="1"/>
  <c r="J50" i="1"/>
  <c r="J42" i="1"/>
  <c r="J26" i="1"/>
  <c r="J18" i="1"/>
  <c r="J10" i="1"/>
  <c r="J2" i="1"/>
  <c r="J777" i="1"/>
  <c r="J761" i="1"/>
  <c r="J753" i="1"/>
  <c r="J745" i="1"/>
  <c r="J729" i="1"/>
  <c r="J721" i="1"/>
  <c r="J705" i="1"/>
  <c r="J689" i="1"/>
  <c r="J681" i="1"/>
  <c r="J673" i="1"/>
  <c r="J665" i="1"/>
  <c r="J657" i="1"/>
  <c r="J649" i="1"/>
  <c r="J641" i="1"/>
  <c r="J633" i="1"/>
  <c r="J625" i="1"/>
  <c r="J617" i="1"/>
  <c r="J609" i="1"/>
  <c r="J601" i="1"/>
  <c r="J593" i="1"/>
  <c r="J585" i="1"/>
  <c r="J577" i="1"/>
  <c r="J569" i="1"/>
  <c r="J561" i="1"/>
  <c r="J553" i="1"/>
  <c r="J545" i="1"/>
  <c r="J537" i="1"/>
  <c r="J529" i="1"/>
  <c r="J521" i="1"/>
  <c r="J513" i="1"/>
  <c r="J505" i="1"/>
  <c r="J497" i="1"/>
  <c r="J489" i="1"/>
  <c r="J481" i="1"/>
  <c r="J473" i="1"/>
  <c r="J465" i="1"/>
  <c r="J457" i="1"/>
  <c r="J449" i="1"/>
  <c r="J441" i="1"/>
  <c r="J433" i="1"/>
  <c r="J425" i="1"/>
  <c r="J417" i="1"/>
  <c r="J409" i="1"/>
  <c r="J401" i="1"/>
  <c r="J393" i="1"/>
  <c r="J385" i="1"/>
  <c r="J377" i="1"/>
  <c r="J369" i="1"/>
  <c r="J361" i="1"/>
  <c r="J353" i="1"/>
  <c r="J345" i="1"/>
  <c r="J337" i="1"/>
  <c r="J329" i="1"/>
  <c r="J321" i="1"/>
  <c r="J313" i="1"/>
  <c r="J305" i="1"/>
  <c r="J297" i="1"/>
  <c r="J289" i="1"/>
  <c r="J281" i="1"/>
  <c r="J273" i="1"/>
  <c r="J265" i="1"/>
  <c r="J257" i="1"/>
  <c r="J249" i="1"/>
  <c r="J241" i="1"/>
  <c r="J233" i="1"/>
  <c r="J225" i="1"/>
  <c r="J217" i="1"/>
  <c r="J209" i="1"/>
  <c r="J201" i="1"/>
  <c r="J193" i="1"/>
  <c r="J185" i="1"/>
  <c r="J177" i="1"/>
  <c r="J1063" i="1"/>
  <c r="J1055" i="1"/>
  <c r="J1047" i="1"/>
  <c r="J999" i="1"/>
  <c r="J991" i="1"/>
  <c r="J959" i="1"/>
  <c r="J927" i="1"/>
  <c r="J895" i="1"/>
  <c r="J863" i="1"/>
  <c r="J831" i="1"/>
  <c r="J815" i="1"/>
  <c r="J791" i="1"/>
  <c r="J759" i="1"/>
  <c r="J735" i="1"/>
  <c r="J719" i="1"/>
  <c r="J703" i="1"/>
  <c r="J687" i="1"/>
  <c r="J671" i="1"/>
  <c r="J639" i="1"/>
  <c r="J623" i="1"/>
  <c r="J607" i="1"/>
  <c r="J575" i="1"/>
  <c r="J559" i="1"/>
  <c r="J511" i="1"/>
  <c r="J487" i="1"/>
  <c r="J431" i="1"/>
  <c r="J367" i="1"/>
  <c r="J359" i="1"/>
  <c r="J343" i="1"/>
  <c r="J295" i="1"/>
  <c r="J271" i="1"/>
  <c r="J247" i="1"/>
  <c r="J215" i="1"/>
  <c r="J167" i="1"/>
  <c r="J111" i="1"/>
  <c r="J103" i="1"/>
  <c r="J71" i="1"/>
  <c r="J55" i="1"/>
  <c r="J47" i="1"/>
  <c r="J15" i="1"/>
  <c r="J1094" i="1"/>
  <c r="J1086" i="1"/>
  <c r="J1062" i="1"/>
  <c r="J1054" i="1"/>
  <c r="J1046" i="1"/>
  <c r="J1038" i="1"/>
  <c r="J1030" i="1"/>
  <c r="J1022" i="1"/>
  <c r="J998" i="1"/>
  <c r="J990" i="1"/>
  <c r="J982" i="1"/>
  <c r="J974" i="1"/>
  <c r="J958" i="1"/>
  <c r="J950" i="1"/>
  <c r="J942" i="1"/>
  <c r="J926" i="1"/>
  <c r="J918" i="1"/>
  <c r="J910" i="1"/>
  <c r="J894" i="1"/>
  <c r="J886" i="1"/>
  <c r="J878" i="1"/>
  <c r="J862" i="1"/>
  <c r="J854" i="1"/>
  <c r="J846" i="1"/>
  <c r="J830" i="1"/>
  <c r="J822" i="1"/>
  <c r="J814" i="1"/>
  <c r="J806" i="1"/>
  <c r="J798" i="1"/>
  <c r="J790" i="1"/>
  <c r="J774" i="1"/>
  <c r="J766" i="1"/>
  <c r="J758" i="1"/>
  <c r="J750" i="1"/>
  <c r="J742" i="1"/>
  <c r="J734" i="1"/>
  <c r="J718" i="1"/>
  <c r="J702" i="1"/>
  <c r="J694" i="1"/>
  <c r="J686" i="1"/>
  <c r="J678" i="1"/>
  <c r="J670" i="1"/>
  <c r="J662" i="1"/>
  <c r="J654" i="1"/>
  <c r="J646" i="1"/>
  <c r="J638" i="1"/>
  <c r="J630" i="1"/>
  <c r="J622" i="1"/>
  <c r="J614" i="1"/>
  <c r="J606" i="1"/>
  <c r="J598" i="1"/>
  <c r="J590" i="1"/>
  <c r="J582" i="1"/>
  <c r="J574" i="1"/>
  <c r="J566" i="1"/>
  <c r="J558" i="1"/>
  <c r="J550" i="1"/>
  <c r="J542" i="1"/>
  <c r="J534" i="1"/>
  <c r="J526" i="1"/>
  <c r="J518" i="1"/>
  <c r="J510" i="1"/>
  <c r="J494" i="1"/>
  <c r="J486" i="1"/>
  <c r="J470" i="1"/>
  <c r="J462" i="1"/>
  <c r="J454" i="1"/>
  <c r="J446" i="1"/>
  <c r="J438" i="1"/>
  <c r="J430" i="1"/>
  <c r="J422" i="1"/>
  <c r="J414" i="1"/>
  <c r="J406" i="1"/>
  <c r="J390" i="1"/>
  <c r="J382" i="1"/>
  <c r="J366" i="1"/>
  <c r="J358" i="1"/>
  <c r="J350" i="1"/>
  <c r="J342" i="1"/>
  <c r="J334" i="1"/>
  <c r="J326" i="1"/>
  <c r="J318" i="1"/>
  <c r="J302" i="1"/>
  <c r="J270" i="1"/>
  <c r="J246" i="1"/>
  <c r="J230" i="1"/>
  <c r="J174" i="1"/>
  <c r="J118" i="1"/>
  <c r="J102" i="1"/>
  <c r="J46" i="1"/>
  <c r="J169" i="1"/>
  <c r="J161" i="1"/>
  <c r="J153" i="1"/>
  <c r="J145" i="1"/>
  <c r="J137" i="1"/>
  <c r="J129" i="1"/>
  <c r="J121" i="1"/>
  <c r="J113" i="1"/>
  <c r="J105" i="1"/>
  <c r="J97" i="1"/>
  <c r="J89" i="1"/>
  <c r="J81" i="1"/>
  <c r="J73" i="1"/>
  <c r="J65" i="1"/>
  <c r="J808" i="1"/>
  <c r="J776" i="1"/>
  <c r="J744" i="1"/>
  <c r="J712" i="1"/>
  <c r="J672" i="1"/>
  <c r="J664" i="1"/>
  <c r="J656" i="1"/>
  <c r="J616" i="1"/>
  <c r="J608" i="1"/>
  <c r="J600" i="1"/>
  <c r="J568" i="1"/>
  <c r="J544" i="1"/>
  <c r="J536" i="1"/>
  <c r="J520" i="1"/>
  <c r="J496" i="1"/>
  <c r="J480" i="1"/>
  <c r="J472" i="1"/>
  <c r="J448" i="1"/>
  <c r="J432" i="1"/>
  <c r="J424" i="1"/>
  <c r="J416" i="1"/>
  <c r="J408" i="1"/>
  <c r="J400" i="1"/>
  <c r="J392" i="1"/>
  <c r="J384" i="1"/>
  <c r="J376" i="1"/>
  <c r="J368" i="1"/>
  <c r="J360" i="1"/>
  <c r="J352" i="1"/>
  <c r="J344" i="1"/>
  <c r="J336" i="1"/>
  <c r="J328" i="1"/>
  <c r="J320" i="1"/>
  <c r="J312" i="1"/>
  <c r="J304" i="1"/>
  <c r="J296" i="1"/>
  <c r="J288" i="1"/>
  <c r="J280" i="1"/>
  <c r="J272" i="1"/>
  <c r="J264" i="1"/>
  <c r="J256" i="1"/>
  <c r="J248" i="1"/>
  <c r="J240" i="1"/>
  <c r="J232" i="1"/>
  <c r="J224" i="1"/>
  <c r="J216" i="1"/>
  <c r="J208" i="1"/>
  <c r="J200" i="1"/>
  <c r="J192" i="1"/>
  <c r="J184" i="1"/>
  <c r="J176" i="1"/>
  <c r="J168" i="1"/>
  <c r="J160" i="1"/>
  <c r="J152" i="1"/>
  <c r="J144" i="1"/>
  <c r="J136" i="1"/>
  <c r="J128" i="1"/>
  <c r="J120" i="1"/>
  <c r="J112" i="1"/>
  <c r="J104" i="1"/>
  <c r="J96" i="1"/>
  <c r="J88" i="1"/>
  <c r="J80" i="1"/>
  <c r="J72" i="1"/>
  <c r="J64" i="1"/>
  <c r="J56" i="1"/>
  <c r="J48" i="1"/>
  <c r="J40" i="1"/>
  <c r="J32" i="1"/>
  <c r="J24" i="1"/>
  <c r="J16" i="1"/>
  <c r="J8" i="1"/>
  <c r="J807" i="1"/>
  <c r="J775" i="1"/>
  <c r="J743" i="1"/>
  <c r="J711" i="1"/>
  <c r="J679" i="1"/>
  <c r="J663" i="1"/>
  <c r="J655" i="1"/>
  <c r="J631" i="1"/>
  <c r="J599" i="1"/>
  <c r="J591" i="1"/>
  <c r="J583" i="1"/>
  <c r="J543" i="1"/>
  <c r="J535" i="1"/>
  <c r="J527" i="1"/>
  <c r="J519" i="1"/>
  <c r="J495" i="1"/>
  <c r="J471" i="1"/>
  <c r="J463" i="1"/>
  <c r="J447" i="1"/>
  <c r="J415" i="1"/>
  <c r="J407" i="1"/>
  <c r="J391" i="1"/>
  <c r="J383" i="1"/>
  <c r="J351" i="1"/>
  <c r="J335" i="1"/>
  <c r="J319" i="1"/>
  <c r="J287" i="1"/>
  <c r="J279" i="1"/>
  <c r="J263" i="1"/>
  <c r="J255" i="1"/>
  <c r="J223" i="1"/>
  <c r="J207" i="1"/>
  <c r="J191" i="1"/>
  <c r="J159" i="1"/>
  <c r="J151" i="1"/>
  <c r="J135" i="1"/>
  <c r="J127" i="1"/>
  <c r="J95" i="1"/>
  <c r="J79" i="1"/>
  <c r="J63" i="1"/>
  <c r="J31" i="1"/>
  <c r="J23" i="1"/>
  <c r="J7" i="1"/>
  <c r="J310" i="1"/>
  <c r="J294" i="1"/>
  <c r="J286" i="1"/>
  <c r="J278" i="1"/>
  <c r="J262" i="1"/>
  <c r="J254" i="1"/>
  <c r="J238" i="1"/>
  <c r="J222" i="1"/>
  <c r="J214" i="1"/>
  <c r="J206" i="1"/>
  <c r="J198" i="1"/>
  <c r="J190" i="1"/>
  <c r="J182" i="1"/>
  <c r="J166" i="1"/>
  <c r="J158" i="1"/>
  <c r="J150" i="1"/>
  <c r="J142" i="1"/>
  <c r="J134" i="1"/>
  <c r="J126" i="1"/>
  <c r="J110" i="1"/>
  <c r="J94" i="1"/>
  <c r="J86" i="1"/>
  <c r="J78" i="1"/>
  <c r="J70" i="1"/>
  <c r="J62" i="1"/>
  <c r="J54" i="1"/>
  <c r="J38" i="1"/>
  <c r="J30" i="1"/>
  <c r="J22" i="1"/>
  <c r="J14" i="1"/>
  <c r="J6" i="1"/>
  <c r="J57" i="1"/>
  <c r="J49" i="1"/>
  <c r="J41" i="1"/>
  <c r="J33" i="1"/>
  <c r="J25" i="1"/>
  <c r="J17" i="1"/>
  <c r="J9" i="1"/>
</calcChain>
</file>

<file path=xl/sharedStrings.xml><?xml version="1.0" encoding="utf-8"?>
<sst xmlns="http://schemas.openxmlformats.org/spreadsheetml/2006/main" count="5501" uniqueCount="3332">
  <si>
    <t>sentense_clean</t>
  </si>
  <si>
    <t>my_ent_1</t>
  </si>
  <si>
    <t>their_ent_1</t>
  </si>
  <si>
    <t>my_ent_2</t>
  </si>
  <si>
    <t>their_ent_2</t>
  </si>
  <si>
    <t>label</t>
  </si>
  <si>
    <t>Kratzâ€™s claims would be a lot easier to believe if there werenâ€™t such glaring mistakes made in Averyâ€™s 1985 rape trial.</t>
  </si>
  <si>
    <t>Kratz</t>
  </si>
  <si>
    <t>Kratzâ€™</t>
  </si>
  <si>
    <t>Avery</t>
  </si>
  <si>
    <t>Brussels attacker Najim Laachraoui.</t>
  </si>
  <si>
    <t>Brussels</t>
  </si>
  <si>
    <t>Brussel</t>
  </si>
  <si>
    <t>Najim Laachraoui</t>
  </si>
  <si>
    <t>The Conservatives support is up from 32.4 percent in an Ekos poll two weeks ago, versus the Liberals 27.3 percent, but it is still short of the 40 percent support pollsters</t>
  </si>
  <si>
    <t>Conservatives</t>
  </si>
  <si>
    <t>Conservative</t>
  </si>
  <si>
    <t>Liberals</t>
  </si>
  <si>
    <t>Liberal</t>
  </si>
  <si>
    <t>The meeting, put together by Mr. Trumpâ€™s conservative outreach director, Paul Teller, at the request of conservatives, included representatives of the Heritage Foundation, Americans for Limited Government and Judicial Watch, all of whom were critical of some administration policies, including the health bill.</t>
  </si>
  <si>
    <t>Trump</t>
  </si>
  <si>
    <t>Paul Teller</t>
  </si>
  <si>
    <t>Judicial Watch</t>
  </si>
  <si>
    <t>Addressing his usual crowd in Chicago on Monday, President Obama briefly effected some humility.</t>
  </si>
  <si>
    <t>Chicago</t>
  </si>
  <si>
    <t>President Obama</t>
  </si>
  <si>
    <t>Obama</t>
  </si>
  <si>
    <t>President Trumpâ€™s decision to strike Syria has upended assumptions about American military involvement in the Middle East, angering adversaries and raising hopes among allies that it signals a new willingness by the United States to deploy force to help its friends and punish its foes.</t>
  </si>
  <si>
    <t>President Trump</t>
  </si>
  <si>
    <t>Syria</t>
  </si>
  <si>
    <t>American</t>
  </si>
  <si>
    <t>the United State</t>
  </si>
  <si>
    <t>Burch has been in a Soho slugfest since September with a neighbor who has been foiling her efforts to build a flagship store at</t>
  </si>
  <si>
    <t>Burch</t>
  </si>
  <si>
    <t>neighbor</t>
  </si>
  <si>
    <t>Soho</t>
  </si>
  <si>
    <t>her</t>
  </si>
  <si>
    <t>Perrigos strong performance follows a period of struggle during which the company reduced its earnings forecasts more than once under CEO Hendrickson, prompting activist hedge fund Starboard Value LP to pressure the company to sell some assets.</t>
  </si>
  <si>
    <t>Perrigos</t>
  </si>
  <si>
    <t>Perrigo</t>
  </si>
  <si>
    <t>Hendrickson</t>
  </si>
  <si>
    <t>(The Energy Institute researchers used a higher estimate than the US government does â€” in part to account for recent cost overruns in places like Georgia.)</t>
  </si>
  <si>
    <t>Energy Institute</t>
  </si>
  <si>
    <t>The Energy Institute</t>
  </si>
  <si>
    <t>US</t>
  </si>
  <si>
    <t xml:space="preserve"> The Russian Embassy in the United Kingdom loves to troll the West on Twitter.</t>
  </si>
  <si>
    <t>The Russian Embassy</t>
  </si>
  <si>
    <t>the United Kingdom</t>
  </si>
  <si>
    <t>Twitter</t>
  </si>
  <si>
    <t xml:space="preserve"> Friends and family of a black Army veteran accused of shooting at passing cars and police on a Tennessee highway are struggling to accept that he became violent in response to police killings of .</t>
  </si>
  <si>
    <t>Army</t>
  </si>
  <si>
    <t>police</t>
  </si>
  <si>
    <t>Tennessee</t>
  </si>
  <si>
    <t xml:space="preserve"> In North Carolina, the presidential, gubernatorial, and US Senate races are all pretty close </t>
  </si>
  <si>
    <t>North Carolina</t>
  </si>
  <si>
    <t>US Senate</t>
  </si>
  <si>
    <t xml:space="preserve">Coons has been one of the staunchest critics of surveillance powers, having introduced bills to reign in FISA https: . </t>
  </si>
  <si>
    <t>Coons</t>
  </si>
  <si>
    <t>Coon</t>
  </si>
  <si>
    <t>None</t>
  </si>
  <si>
    <t>FISA</t>
  </si>
  <si>
    <t>the for the GOP presidential nomination, retweets to his nearly 6 million followers a message from @WhiteGenocideTM based in â€œJewmerica,â€ and a time when his nearest challenger, Ted Cruz, brandishes the endorsement of a minister who says Hitler was a â€œhunterâ€ sent after the Jews by God.</t>
  </si>
  <si>
    <t>Ted Cruz</t>
  </si>
  <si>
    <t>GOP</t>
  </si>
  <si>
    <t>Hitler</t>
  </si>
  <si>
    <t>Jewmerica</t>
  </si>
  <si>
    <t>â€ Austin Evers, the groupâ€™s director, told NPR, â€We can get a straight, factual answer in the courts, by asking an unspinnable question:</t>
  </si>
  <si>
    <t>Austin Evers</t>
  </si>
  <si>
    <t>â€™</t>
  </si>
  <si>
    <t>NPR</t>
  </si>
  <si>
    <t>Ads for Secret deodorant nudge us to ask for a raise, and those for Always prompt us to challenge stereotypes about girls.</t>
  </si>
  <si>
    <t>Secret</t>
  </si>
  <si>
    <t>Alway</t>
  </si>
  <si>
    <t>A week after a gunman killed 39 people in an Istanbul nightclub, the suspected assailant remains at large and secular Turks are feeling under attack.</t>
  </si>
  <si>
    <t>Istanbul</t>
  </si>
  <si>
    <t>Turks</t>
  </si>
  <si>
    <t>Turk</t>
  </si>
  <si>
    <t xml:space="preserve">After opening Saturday nightâ€™s show as President Donald Trump, Baldwin surprisingly returned later in the broadcast as Fox News host Bill Oâ€™Reilly to mock the anchor for his sexual harassment scandal that took place this week. </t>
  </si>
  <si>
    <t>Donald Trump</t>
  </si>
  <si>
    <t>took</t>
  </si>
  <si>
    <t>Baldwin</t>
  </si>
  <si>
    <t>this week</t>
  </si>
  <si>
    <t xml:space="preserve">Fox Friends,â€ Fox Business Network host Stuart Varney noted the parallels between the movement to elect Republican presidential nominee Donald Trump and the vote early this year for Great Britain to leave the European Union, which was known as Brexit. </t>
  </si>
  <si>
    <t>Stuart Varney</t>
  </si>
  <si>
    <t>the European Union</t>
  </si>
  <si>
    <t>which</t>
  </si>
  <si>
    <t>Trump needs to follow through on that pledge and publicly denounce the and incidents that popped up around the country, said Richard Cohen, SPLCâ€™s president.</t>
  </si>
  <si>
    <t>Richard Cohen</t>
  </si>
  <si>
    <t>SPLCâ€™</t>
  </si>
  <si>
    <t>Since its acclaimed launch in February, Full Frontal has merited that kind of online attention, and TBS quickly extended its order through the end of 2016.</t>
  </si>
  <si>
    <t>TBS</t>
  </si>
  <si>
    <t>Full Frontal</t>
  </si>
  <si>
    <t>Sheldon Adelson, the Nevada casino mogul and conservative is leading a campaign against groups on US college campuses and has funded a group that has publicly accused individual students of supporting terrorism and promoting â€œJew Hatredâ€.</t>
  </si>
  <si>
    <t>Sheldon Adelson</t>
  </si>
  <si>
    <t>Nevada</t>
  </si>
  <si>
    <t>Jew Hatredâ€</t>
  </si>
  <si>
    <t xml:space="preserve"> The tumult over Melania Trumpâ€™s speech this past week at the Republican National Convention â€” a search for a plagiarist that turned up an writer for the Trump Organization </t>
  </si>
  <si>
    <t>Melania Trumpâ€™s</t>
  </si>
  <si>
    <t>Melania Trumpâ€™</t>
  </si>
  <si>
    <t>the Trump Organization</t>
  </si>
  <si>
    <t>Trump Organization</t>
  </si>
  <si>
    <t>Russia effectively hid from public view the hit that the Kremlin took to its standing in the region because of the chemical weapons attack, presumably by Assad.</t>
  </si>
  <si>
    <t>Kremlin</t>
  </si>
  <si>
    <t>Russia</t>
  </si>
  <si>
    <t>Assad</t>
  </si>
  <si>
    <t>1980s icon Debbie Gibson took the Broadway Route and actually made it after failing as a teen queen</t>
  </si>
  <si>
    <t>Debbie Gibson</t>
  </si>
  <si>
    <t>the Broadway Route</t>
  </si>
  <si>
    <t>The Nevada parole board will consider O. J. Simpsonâ€™s bid for freedom in July, officials said Monday.</t>
  </si>
  <si>
    <t>O. J. Simpsonâ€™s</t>
  </si>
  <si>
    <t>O. J. Simpsonâ€™</t>
  </si>
  <si>
    <t>The Mexican government made clear to visiting US emissaries that it will not accept deportees from third countries under any circumstances, the interior secretary said on Friday.</t>
  </si>
  <si>
    <t>Mexican</t>
  </si>
  <si>
    <t>secretary</t>
  </si>
  <si>
    <t>Steve Bannon, a Breitbart News executive once described by Bloomberg as the â€œmost dangerous political operative in Americaâ€ will wrestle control of the campaign from current chairman Paul Manafort.</t>
  </si>
  <si>
    <t>Steve Bannon</t>
  </si>
  <si>
    <t>current</t>
  </si>
  <si>
    <t>Paul Manafort</t>
  </si>
  <si>
    <t>.</t>
  </si>
  <si>
    <t>Protesters are expected to gather outside the Australian embassy in Dili again on Wednesday and groups in Australia who support East Timor's position are planning rallies in some Australian cities this week.</t>
  </si>
  <si>
    <t>Australian</t>
  </si>
  <si>
    <t>Dili</t>
  </si>
  <si>
    <t>East Timor</t>
  </si>
  <si>
    <t>About 1, 500 Americans floating down a river that separates the United States from Canada had to be rescued from the water when strong rains and winds sent them illegally into Canadian territory, according to the countryâ€™s coast guard.</t>
  </si>
  <si>
    <t>Americans</t>
  </si>
  <si>
    <t>Canadian</t>
  </si>
  <si>
    <t>Democratic presidential nominee Hillary Clinton said that the Islamic State was praying to Allah that Donald Trump would be the next President of the United States.</t>
  </si>
  <si>
    <t>Hillary Clinton</t>
  </si>
  <si>
    <t>Islamic</t>
  </si>
  <si>
    <t>The Hong Kong governmentâ€™s Antiquities and Monuments Office has granted 114 buildings and cultural landmarks permanent protection from development, and assigned grades to about 1, 000 historic buildings, a list that may soon include the 1952 State Theater.</t>
  </si>
  <si>
    <t>Hong Kong</t>
  </si>
  <si>
    <t>â€™s Antiquities and Monuments Office</t>
  </si>
  <si>
    <t>Antiquities and Monuments Office</t>
  </si>
  <si>
    <t>State Theater</t>
  </si>
  <si>
    <t xml:space="preserve">Abbas has accepted Hollandeâ€™s invite and will go to Paris later this month. </t>
  </si>
  <si>
    <t>Abbas</t>
  </si>
  <si>
    <t>Abba</t>
  </si>
  <si>
    <t>Hollande</t>
  </si>
  <si>
    <t>Pari</t>
  </si>
  <si>
    <t>Late the following year, a State Department appointee approached me regarding my potential interest in a Democratic vacancy on the U. S. Advisory Commission on Public Diplomacy a small bipartisan board that, since 1948, has been charged with advising the administration and Congress on the effectiveness of U. S. activities.</t>
  </si>
  <si>
    <t>Democratic</t>
  </si>
  <si>
    <t>State Department</t>
  </si>
  <si>
    <t>administration</t>
  </si>
  <si>
    <t>Congre</t>
  </si>
  <si>
    <t>The shows longtime producer, Nigel Lythgoe, was let go in June and replaced by Swedish producer Per Blankens, who was most recently the producer of Swedens version of the show.</t>
  </si>
  <si>
    <t>Nigel Lythgoe</t>
  </si>
  <si>
    <t>Per Blanken</t>
  </si>
  <si>
    <t>Per Blankens</t>
  </si>
  <si>
    <t>Sweden</t>
  </si>
  <si>
    <t xml:space="preserve"> At Sundayâ€™s Golden Globes, venerable actress Meryl Streep received the Cecil B. DeMille Award for â€œoutstanding contributions to the world of entertainmentâ€ </t>
  </si>
  <si>
    <t>Meryl Streep</t>
  </si>
  <si>
    <t>B. DeMille Award</t>
  </si>
  <si>
    <t>Audio excerpts of Hillary Clintonâ€™s 1969 student commencement address at Wellesley College have been released for the first time by the college.</t>
  </si>
  <si>
    <t>Hillary Clintonâ€™s</t>
  </si>
  <si>
    <t>Audio</t>
  </si>
  <si>
    <t>Wellesley College</t>
  </si>
  <si>
    <t xml:space="preserve"> President Obama has been determining what heâ€™ll work on once he leaves the White House</t>
  </si>
  <si>
    <t>he</t>
  </si>
  <si>
    <t>the White House</t>
  </si>
  <si>
    <t>The downing of a Russian plane in November was, in retrospect, a major miscalculation, analysts say, one that has hamstrung Turkey's ability to project its influence into Syria and prevented it from flying missions there, even in support of the U.S.-led coalition against the Islamic State.</t>
  </si>
  <si>
    <t>Russian</t>
  </si>
  <si>
    <t>the Islamic State</t>
  </si>
  <si>
    <t>Chinese state media broadcast footage showing a tiger attacking a woman at a Beijing wildlife park on July 23 after she exited the passengerâ€™s side of a car.</t>
  </si>
  <si>
    <t>Chinese</t>
  </si>
  <si>
    <t>woman</t>
  </si>
  <si>
    <t>Beijing</t>
  </si>
  <si>
    <t>Dallas Police Chief David Kunkle said he still has "great confidence" in his officers' initial report, but noted that document is not "the definitive account of the incident.""We're dealing with incomplete information, and facts that change," he said.</t>
  </si>
  <si>
    <t>Police</t>
  </si>
  <si>
    <t>Dalla</t>
  </si>
  <si>
    <t>David Kunkle</t>
  </si>
  <si>
    <t>Brazil started a new chapter of its history this Wednesday, as the Senate voted to permanently remove socialist president Dilma Rousseff from office.</t>
  </si>
  <si>
    <t>Senate</t>
  </si>
  <si>
    <t>president Dilma Rousseff</t>
  </si>
  <si>
    <t>Dilma Rousseff</t>
  </si>
  <si>
    <t xml:space="preserve">Democrats and other critics have called Trumpâ€™s comments toward the judiciary an attack on a core principle of American democracy: that the courts are independent and uphold the rule of law. </t>
  </si>
  <si>
    <t>Democrats</t>
  </si>
  <si>
    <t>Democrat</t>
  </si>
  <si>
    <t>It was on that date in 1917, serving in the 7th Duke of Cornwall's Light Infantry, that Patch's battalion was returning to the support line when, he tells van Emden in the book, one of them stopped to 'spend a penny'.</t>
  </si>
  <si>
    <t>Patch</t>
  </si>
  <si>
    <t>Light Infantry</t>
  </si>
  <si>
    <t>van Emden</t>
  </si>
  <si>
    <t>Emden</t>
  </si>
  <si>
    <t>Abel Tesfaye, the Torontonian whose Michael croon and Marquis de lyrics have become ubiquitous on the radio in the past few years, says the term is inspired by David Bowieâ€™s â€œStarmanâ€ and refers to â€œa braggadocious kind of character who we have inside all of us.</t>
  </si>
  <si>
    <t>Abel Tesfaye</t>
  </si>
  <si>
    <t>become</t>
  </si>
  <si>
    <t>Michael croon</t>
  </si>
  <si>
    <t>the past few year</t>
  </si>
  <si>
    <t>According to Golding, Chu scoured his database of Asian talent and watched countless tapes submitted in response to the directors open submission casting call.</t>
  </si>
  <si>
    <t>Golding</t>
  </si>
  <si>
    <t>Golding, Chu</t>
  </si>
  <si>
    <t>Chu</t>
  </si>
  <si>
    <t>Asian</t>
  </si>
  <si>
    <t xml:space="preserve"> Iraqi forces battled Islamic State militants in their stronghold of Mosul on Wednesday and took control of the last major road leading west from the city, before bomb blasts ripped through a wedding party near Tikrit, killing more than 20 people.</t>
  </si>
  <si>
    <t>Iraqi</t>
  </si>
  <si>
    <t>Islamic State</t>
  </si>
  <si>
    <t>Tikrit</t>
  </si>
  <si>
    <t>Top seed Agnieszka Radwanska and China's Li Na meet in the first women's semi-final at Sydney later on Thursday with second seed Angelique Kerber taking on Dominika Cibulkova for the second place in Friday's final.</t>
  </si>
  <si>
    <t>Agnieszka Radwanska</t>
  </si>
  <si>
    <t>China</t>
  </si>
  <si>
    <t>Li Na</t>
  </si>
  <si>
    <t>Angelique Kerber</t>
  </si>
  <si>
    <t>The margin for dissent is slim: Assuming no Democrats break ranks to support the bill, for the overhaul to pass, Republicans can lose only 21 votes in the House and two votes in the Senate.</t>
  </si>
  <si>
    <t>Republicans</t>
  </si>
  <si>
    <t>House</t>
  </si>
  <si>
    <t>Just because America cannot stop every horror in the world does not absolve us of the responsibility of using our great power to end the worst injustices where we can, especially when doing so would benefit our own interests and make the United States and our partners more secure.</t>
  </si>
  <si>
    <t>America</t>
  </si>
  <si>
    <t>the United States</t>
  </si>
  <si>
    <t>After finishing, having roared through the last 50 meters of the freestyle at a sprinterâ€™s pace, Katie Ledecky turned around to see the scoreboard.</t>
  </si>
  <si>
    <t>Katie Ledecky</t>
  </si>
  <si>
    <t>Dashcam video showing Tiger Woodsâ€™ Memorial Day encounter with police was made available to the media Wednesday, shedding more light on the golferâ€™s arrest on suspicion of driving under the influence.</t>
  </si>
  <si>
    <t>Tiger Woodsâ€™</t>
  </si>
  <si>
    <t>encounter</t>
  </si>
  <si>
    <t>wa</t>
  </si>
  <si>
    <t>Why would a respected public space and business site, Hyde Park, be a home for the creation of such insulting work to our icon, our leaders and all of us?"But Damaso, 41, from Johannesburg, is unrepentant, insisting that he is using the image to convey a political argument."The idea just popped up in my head," he told the Guardian today .</t>
  </si>
  <si>
    <t>Damaso</t>
  </si>
  <si>
    <t>Guardian</t>
  </si>
  <si>
    <t>Johannesburg</t>
  </si>
  <si>
    <t>In a 2012 Weekly Standard commentary, she criticized the Obama administration for saying the tide of war is receding, and exclaimed the line of thinking that now pervades the Pentagon avoids recognizing that combat and the restoration of political order go hand and hand.</t>
  </si>
  <si>
    <t>Weekly Standard</t>
  </si>
  <si>
    <t>Obama administration</t>
  </si>
  <si>
    <t>Pentagon</t>
  </si>
  <si>
    <t>Mainstream media rallied around the "enfant terrible" of the French press, with newspaper Liberation providing office space and Radio France, France Televisions and the daily Le Monde pledging staff and equipment to help produce the next edition.</t>
  </si>
  <si>
    <t>French</t>
  </si>
  <si>
    <t>Liberation</t>
  </si>
  <si>
    <t>France Television</t>
  </si>
  <si>
    <t>When he addressed RNC members on Thursday, Wiley sought to emphasize those connections and went out of his way to praise the work of the committeeâ€™s staff under Priebus.</t>
  </si>
  <si>
    <t>Wiley</t>
  </si>
  <si>
    <t>RNC</t>
  </si>
  <si>
    <t>Priebus</t>
  </si>
  <si>
    <t>Priebu</t>
  </si>
  <si>
    <t>John Sununu, who is the co-chair of Mitt Romney's campaign, said on Thursday that Powell endorsed the president because both men are black.</t>
  </si>
  <si>
    <t>John Sununu</t>
  </si>
  <si>
    <t>Mitt Romney</t>
  </si>
  <si>
    <t>Mitt Romney's</t>
  </si>
  <si>
    <t>Powell</t>
  </si>
  <si>
    <t>Jonathan Loynes, chief European economist at consultants Capital Economics, said: "The rise in headline inflation from 1.1% to 1.5% was a bit sharper than we had expected, thanks to an unanticipated rise in food inflation.</t>
  </si>
  <si>
    <t>Jonathan Loynes</t>
  </si>
  <si>
    <t>Jonathan Loyne</t>
  </si>
  <si>
    <t>European</t>
  </si>
  <si>
    <t>Capital Economic</t>
  </si>
  <si>
    <t xml:space="preserve"> Mexico is struggling to stem the flow of Central American migrants traveling to the United States ahead of the U. S. presidential election, causing major concern in Washington, which is weighing sending more agents to help.</t>
  </si>
  <si>
    <t>Mexico</t>
  </si>
  <si>
    <t>Central American</t>
  </si>
  <si>
    <t>Washington</t>
  </si>
  <si>
    <t>But Christieâ€™s attack wasnâ€™t about Rubioâ€™s oratory.</t>
  </si>
  <si>
    <t>Christie</t>
  </si>
  <si>
    <t>Christieâ€™</t>
  </si>
  <si>
    <t>Rubio</t>
  </si>
  <si>
    <t>Rubioâ€™</t>
  </si>
  <si>
    <t>Back then, founders Brian Chesky and Joe Gebbia could not afford the rent on their San Francisco flat and so put three airbeds on the floor and charged $80 a piece for their first guests.</t>
  </si>
  <si>
    <t>Brian Chesky</t>
  </si>
  <si>
    <t>Joe Gebbia</t>
  </si>
  <si>
    <t>San Francisco</t>
  </si>
  <si>
    <t>David Birne, an insolvency partner at accountants HW Fisher, said: "The spasm of looting which briefly convulsed several British cities at the start of August had led many to fear the worst from these figures."In the event, the value of retail sales in August was the same as the July figure, though the volume of sales fell marginally.</t>
  </si>
  <si>
    <t>David Birne</t>
  </si>
  <si>
    <t>HW Fisher</t>
  </si>
  <si>
    <t>British</t>
  </si>
  <si>
    <t>A 19-year-old youth was sentenced to six months in prison on Monday in connection with the weekend's violent clashes in a Parisian suburb, sparked after police stopped a woman wearing a full Islamic veil.</t>
  </si>
  <si>
    <t>Parisian</t>
  </si>
  <si>
    <t xml:space="preserve">Thursday night at PBS Democratic presidential primary debate, Sen. Bernie Sanders ( ) challenged his opponent Hillary Clinton on her Wall Street contributions. </t>
  </si>
  <si>
    <t>Bernie Sanders</t>
  </si>
  <si>
    <t>Somewhat improbably, the real danger to Conway right now comes after she recommended that people go and buy Ivanka Trumpâ€™s line of clothing, following Nordstromâ€™s decision to drop the line.</t>
  </si>
  <si>
    <t>Conway</t>
  </si>
  <si>
    <t>Ivanka Trumpâ€™s</t>
  </si>
  <si>
    <t>Nordstrom</t>
  </si>
  <si>
    <t>They had filed their complaints, they said, on behalf of the two women who had accused Ludlow of sexual misconduct, as well as on behalf of the university community that had found Kipniss piece</t>
  </si>
  <si>
    <t>Ludlow</t>
  </si>
  <si>
    <t>Kipniss</t>
  </si>
  <si>
    <t>Kipnis</t>
  </si>
  <si>
    <t>The United States late last year set a March deadline for Iran to start cooperating in substance with the IAEAs investigation, warning Tehran that it might otherwise be referred to the U.N. Security Council.</t>
  </si>
  <si>
    <t>IAEAs</t>
  </si>
  <si>
    <t>The United State</t>
  </si>
  <si>
    <t>the U.N. Security Council Council</t>
  </si>
  <si>
    <t>Iran</t>
  </si>
  <si>
    <t>Meanwhile, NFL Commissioner Roger Goodell ruled that he found no violations of league policy in the Packers tampering complaint against the Minnesota Vikings.</t>
  </si>
  <si>
    <t>NFL</t>
  </si>
  <si>
    <t>Roger Goodell</t>
  </si>
  <si>
    <t>the Minnesota Viking</t>
  </si>
  <si>
    <t>A Palestinian driver plowed a truck into a group of Israeli soldiers as they were getting off a bus in Jerusalem on Sunday afternoon, killing four and injuring 17 others, according to the police and witnesses.</t>
  </si>
  <si>
    <t>Palestinian</t>
  </si>
  <si>
    <t>they</t>
  </si>
  <si>
    <t>Israeli</t>
  </si>
  <si>
    <t>afternoon</t>
  </si>
  <si>
    <t>â€I would support an investigation, if itâ€™s warranted based on information from the intelligence community, and the first step would be for the intelligence committees to have that understanding with the intelligence community,â€ said Rep, Justin Amash ( ).</t>
  </si>
  <si>
    <t>I</t>
  </si>
  <si>
    <t>Justin Amash</t>
  </si>
  <si>
    <t>Rep</t>
  </si>
  <si>
    <t>White House budget director Mick Mulvaney on Sunday defended President Trumpâ€™s call for a â€œgood shutdownâ€ of government, saying itâ€™s his way of fulfilling a campaign pledge to â€œ</t>
  </si>
  <si>
    <t>Mick Mulvaney</t>
  </si>
  <si>
    <t>White House</t>
  </si>
  <si>
    <t xml:space="preserve">HRC didnâ€™t answer the q â€” David Gregory (@davidgregory) </t>
  </si>
  <si>
    <t>HRC</t>
  </si>
  <si>
    <t>David Gregory</t>
  </si>
  <si>
    <t>@davidgregory</t>
  </si>
  <si>
    <t>International condemnation, Pope Francis is scheduled to visit Cairo this month.</t>
  </si>
  <si>
    <t>Francis</t>
  </si>
  <si>
    <t>Pope Franci</t>
  </si>
  <si>
    <t>Cairo</t>
  </si>
  <si>
    <t>And Lopez, Rogelio Mata, current councilman Roel Mata and former councilman Gilbert Urrabazo are accused of voting to keep Jonas as city attorney and city manager at a salary reported by local media to exceed $200, 000.</t>
  </si>
  <si>
    <t>Lopez</t>
  </si>
  <si>
    <t>Gilbert Urrabazo</t>
  </si>
  <si>
    <t>Rogelio Mata</t>
  </si>
  <si>
    <t>Jona</t>
  </si>
  <si>
    <t>MARSEILLE supporters do not want Didier Drogba back at their club - after telling the Chelsea legend to go back to China in a banner they revealed in the defeat to Monaco.</t>
  </si>
  <si>
    <t>MARSEILLE</t>
  </si>
  <si>
    <t>Didier Drogba</t>
  </si>
  <si>
    <t>President Tsai of Taiwan sharply criticized Chinaâ€™s leaders on Saturday, saying they had resorted to military and economic threats in order to intimidate the island.</t>
  </si>
  <si>
    <t>President Tsai</t>
  </si>
  <si>
    <t>criticized</t>
  </si>
  <si>
    <t>Taiwan</t>
  </si>
  <si>
    <t>Saturday</t>
  </si>
  <si>
    <t xml:space="preserve">Many Republicans arenâ€™t happy with how the primary process shook out in 2016 Donald Trump is their presidential candidate and his campaign has hit some speed bumps. </t>
  </si>
  <si>
    <t>with</t>
  </si>
  <si>
    <t>candidate</t>
  </si>
  <si>
    <t>But Freeman also warned that, given the way some NFL fans deal with race, celebration of King may turn to criticism.</t>
  </si>
  <si>
    <t>Freeman</t>
  </si>
  <si>
    <t>King</t>
  </si>
  <si>
    <t>Broc Parkes, the only other Australian on the grid, will start from 21st on the Monster Yamaha Tech 3 he is riding for the unwell Jonas Folger.</t>
  </si>
  <si>
    <t>Broc Parkes</t>
  </si>
  <si>
    <t>Broc Parke</t>
  </si>
  <si>
    <t>Jonas Folger</t>
  </si>
  <si>
    <t>the Monster Yamaha Tech</t>
  </si>
  <si>
    <t>Among the queries included in a questionnaire sent by Donald Trumpâ€™s transition team to workers at the Department of Energy is a request for an inventory of all agency employees or contractors who attended meetings or conferences on climate change.</t>
  </si>
  <si>
    <t>Donald Trumpâ€™s</t>
  </si>
  <si>
    <t>Donald Trumpâ€™</t>
  </si>
  <si>
    <t>the Department of Energy</t>
  </si>
  <si>
    <t>In addition to its mandated responsibilities, the Office leads efforts to integrate a human rights approach within all work carried out by United Nations agencies.</t>
  </si>
  <si>
    <t>Office</t>
  </si>
  <si>
    <t>United Nations</t>
  </si>
  <si>
    <t>United Nation</t>
  </si>
  <si>
    <t>And even as the White House touted support for the decision in Congress and foreign capitals, administration officials acknowledged that the attack, which they described as commensurate with Assadâ€™s violation of â€œinternational norms,â€ would not eliminate his ability to do it again.</t>
  </si>
  <si>
    <t>Gregory Maffei, chairman of SiriusXM, has told some shareholders this week that the satellite radio company is still interested in buying Pandora, The Post has learned.</t>
  </si>
  <si>
    <t>Gregory Maffei</t>
  </si>
  <si>
    <t>Pandora</t>
  </si>
  <si>
    <t>SiriusXM</t>
  </si>
  <si>
    <t>Post</t>
  </si>
  <si>
    <t>The Australian government has pushed for greater diversity in recruitment for the ADF, too, and has special support services for LGBTI members.</t>
  </si>
  <si>
    <t>ADF</t>
  </si>
  <si>
    <t>LGBTI</t>
  </si>
  <si>
    <t>ICI supports a delay in implementation of the current DOL fiduciary rule," ICI President and CEO Paul Schott Stevens said in a statement.</t>
  </si>
  <si>
    <t>President</t>
  </si>
  <si>
    <t>DOL</t>
  </si>
  <si>
    <t>Paul Schott Stevens</t>
  </si>
  <si>
    <t>Paul Schott Steven</t>
  </si>
  <si>
    <t>Letâ€™s start this discussion by not being silly: The endgame arrives when Jacoby Ellsbury gets traded.</t>
  </si>
  <si>
    <t>Jacoby Ellsbury</t>
  </si>
  <si>
    <t>Ten years ago, a prosecutor in Centre County, Pennsylvania, took a day off work and vanished.</t>
  </si>
  <si>
    <t>Centre County</t>
  </si>
  <si>
    <t>Pennsylvania</t>
  </si>
  <si>
    <t>off</t>
  </si>
  <si>
    <t xml:space="preserve"> The battle for Marco Rubioâ€™s delegates already is under way, as the remaining Republican presidential candidates compete for the dozens who in the case of a contested convention would be up for grabs even before the first vote in Cleveland. </t>
  </si>
  <si>
    <t>Marco Rubioâ€™s</t>
  </si>
  <si>
    <t>Marco Rubioâ€™</t>
  </si>
  <si>
    <t>Republican</t>
  </si>
  <si>
    <t>Cleveland</t>
  </si>
  <si>
    <t>Michael Kovac via Getty Images Jay-Z accepts the President's Merit Award during the Clive Davis and Recording Academy Pre-Grammy Gala on Saturday.</t>
  </si>
  <si>
    <t>Michael Kovac</t>
  </si>
  <si>
    <t>Jay-Z</t>
  </si>
  <si>
    <t>the Clive Davi</t>
  </si>
  <si>
    <t>And, this supporter of McDaniels campaign was a Klan lawyer, Harris says as the ad opens.</t>
  </si>
  <si>
    <t>McDaniels</t>
  </si>
  <si>
    <t>McDaniel</t>
  </si>
  <si>
    <t>Harris</t>
  </si>
  <si>
    <t>Klan</t>
  </si>
  <si>
    <t>As member station KCRW has reported, some of the nationâ€™s best badminton players emerge from the Orange County Badminton Club, which was founded by player Phillip Chewâ€™s grandfather.</t>
  </si>
  <si>
    <t>KCRW</t>
  </si>
  <si>
    <t>the Orange County Badminton Club</t>
  </si>
  <si>
    <t>Phillip Chewâ€™</t>
  </si>
  <si>
    <t>The Greens also won more support than the Finns party.</t>
  </si>
  <si>
    <t>Greens</t>
  </si>
  <si>
    <t>Green</t>
  </si>
  <si>
    <t>Finns</t>
  </si>
  <si>
    <t>Finn</t>
  </si>
  <si>
    <t>Contrary to popular belief, Knicks interim coach Kurt Rambis didnâ€™t run the triangle offense much during his failed stint as Timberwolves head man.</t>
  </si>
  <si>
    <t>Kurt Rambis</t>
  </si>
  <si>
    <t>interim</t>
  </si>
  <si>
    <t>man</t>
  </si>
  <si>
    <t>head</t>
  </si>
  <si>
    <t>In the late 1990s, David Bossie overreached in his zealous pursuit of the Clintons and it cost him his job.</t>
  </si>
  <si>
    <t>David Bossie</t>
  </si>
  <si>
    <t>Clintons</t>
  </si>
  <si>
    <t>Clinton</t>
  </si>
  <si>
    <t>â€™ â€™ Gabby Rivera, the Boricua writer and young adult author behind the series, shared the photo on Instagram and gave praise to Quinonesâ€™ work.</t>
  </si>
  <si>
    <t>Gabby Rivera</t>
  </si>
  <si>
    <t>Quinones</t>
  </si>
  <si>
    <t>Instagram</t>
  </si>
  <si>
    <t>Charles Schumer, D-N.Y., also questioned MAIGs motives and political strategy after the group spent money targeting vulnerable Senate Democrats in conservative states who didnt back the bill to expand background checks.The mayor of New York City putting ads against people in red states is not going to be effective, Schumer said.</t>
  </si>
  <si>
    <t>Charles Schumer</t>
  </si>
  <si>
    <t>D</t>
  </si>
  <si>
    <t>Schumer</t>
  </si>
  <si>
    <t>The media is misrepresenting President Donald Trumpâ€™s executive order on immigration and refugee admission as a â€œMuslim banâ€ â€” or, more cleverly, a ban on immigration from â€œ countries.</t>
  </si>
  <si>
    <t>President Donald Trump</t>
  </si>
  <si>
    <t>Muslim</t>
  </si>
  <si>
    <t>JPMorgan and Citigroup would be the first major U.S. banks to plead guilty to criminal charges in decades.</t>
  </si>
  <si>
    <t>JPMorgan</t>
  </si>
  <si>
    <t>Citigroup</t>
  </si>
  <si>
    <t>U.S.</t>
  </si>
  <si>
    <t>A slow-moving, moisture-laden low-pressure system from Nevada is moving into Southern California, bringing the possibility of thunderstorms and prompting the National Weather Service this morning to issue a flash flood warning.Interesting day on tap today, the NWS said in a statement.</t>
  </si>
  <si>
    <t>the National Weather Service</t>
  </si>
  <si>
    <t>NWS</t>
  </si>
  <si>
    <t>The raid was the highest profile move against Californias medical marijuana establishment since October when the states U.S. attorneys announced new enforcement measures that have resulted in dozens of dispensaries closing statewide.</t>
  </si>
  <si>
    <t>Californias</t>
  </si>
  <si>
    <t>California</t>
  </si>
  <si>
    <t>How trite!The Senates democratic socialist in chief, Bernie Sanders, is also not known for his support of unrestricted immigration.</t>
  </si>
  <si>
    <t>Senates</t>
  </si>
  <si>
    <t>Bernie Sander</t>
  </si>
  <si>
    <t>the people Trump already has around him, his deep trust of his own people, and their distrust of black Republicans â€” is limiting the black conservativesâ€™ plan to be a part of Trumpâ€™s movement and to grow their own.</t>
  </si>
  <si>
    <t>Trumpâ€™</t>
  </si>
  <si>
    <t xml:space="preserve">As Jim Pinkerton pointed out here at Breitbart News in May, in 1840, Britain was producing about 1. 3 million tons of steel annually in that same year, Germany, just at the dawn of its own industrial revolution, produced just 190, 000 tons. </t>
  </si>
  <si>
    <t>Jim Pinkerton</t>
  </si>
  <si>
    <t>Britain</t>
  </si>
  <si>
    <t>Breitbart News</t>
  </si>
  <si>
    <t>Germany</t>
  </si>
  <si>
    <t xml:space="preserve">Taggart, who fought back tears at the press conference, said she braved anxiety to join the march because women â€œdeserve to be treated with the same level of respectâ€ as men and not be seen â€œas mere objects for someone elseâ€™s pleasure. â€ </t>
  </si>
  <si>
    <t>Taggart</t>
  </si>
  <si>
    <t>she</t>
  </si>
  <si>
    <t>Hernando, Mississippi mayor Chip Johnson confirmed Friday that a woman he was romantically involved with sent a naked photo of him to city aldermen, local media reported.</t>
  </si>
  <si>
    <t>mayor Chip Johnson</t>
  </si>
  <si>
    <t>Mississippi</t>
  </si>
  <si>
    <t>Chip Johnson</t>
  </si>
  <si>
    <t>Bale's team-mate Rafael van der Vaart, who himself is back to fitness after a calf problem and will start, said that the Welshman "did well today in training" and was fit.</t>
  </si>
  <si>
    <t>Bale</t>
  </si>
  <si>
    <t>Rafael van der Vaart</t>
  </si>
  <si>
    <t>Welshman</t>
  </si>
  <si>
    <t xml:space="preserve"> An Iranian Worcester Polytechnic Institute student, thought to be previously unable to make his way into the United States because of President Trumpâ€™s controversial travel ban, has landed at Bostonâ€™s Logan International Airport, a school spokeswoman said.</t>
  </si>
  <si>
    <t>Iranian</t>
  </si>
  <si>
    <t>Set, you see, attacks his nephew Horus just as his brother, king Osiris, is about to give him the crown.</t>
  </si>
  <si>
    <t>Horus</t>
  </si>
  <si>
    <t>Horu</t>
  </si>
  <si>
    <t>Osiris</t>
  </si>
  <si>
    <t>Osiri</t>
  </si>
  <si>
    <t>Then, a little further down the same page, Trumpâ€™s platform cites and links to Pew Research survey results that found that â€œ85% of the public â€” including large majorities of both Republicans (79%) and Democrats (88%) â€” favored making private gun sales and sales at gun shows subject to background checks.</t>
  </si>
  <si>
    <t>Bridget Anne Kelly discussed the George Washington Bridge lane closings with her boss, Gov. Chris Christie of New Jersey, before they happened in September 2013, her lawyer asserted in federal court here on Tuesday.</t>
  </si>
  <si>
    <t>Bridget Anne Kelly</t>
  </si>
  <si>
    <t>closing</t>
  </si>
  <si>
    <t>Chris Christie</t>
  </si>
  <si>
    <t>happened</t>
  </si>
  <si>
    <t>Johnson has shifted his campaign tactics with a mix of positive ads about himself and attacks against Feingold, and seems to have caught Democrats off guard.</t>
  </si>
  <si>
    <t>Johnson</t>
  </si>
  <si>
    <t>Feingold</t>
  </si>
  <si>
    <t>Gillespie is a former Republican National Committee chairman, who has nevertheless taken a page out of the Trump playbook by casting himself as a law-and-order candidate and attacking his opponent over the issue of sanctuary cities, as well as vowing to preserve Confederate monuments.</t>
  </si>
  <si>
    <t>Gillespie</t>
  </si>
  <si>
    <t>Republican National Committee</t>
  </si>
  <si>
    <t>Haier, which made an abortive attempt in 2008 to buy the business, has a negligible presence in the U. S. white goods market, dominated by Whirlpool Corp, Swedenâ€™s Electrolux AB and GE.</t>
  </si>
  <si>
    <t>Haier</t>
  </si>
  <si>
    <t>Whirlpool Corp</t>
  </si>
  <si>
    <t>GE</t>
  </si>
  <si>
    <t>Reid's letter to the IAAF president says that the governing body's decision to allow eight Russian athletes to compete under a neutral banner in London provoked him to make his late plea.</t>
  </si>
  <si>
    <t>Reid</t>
  </si>
  <si>
    <t>IAAF</t>
  </si>
  <si>
    <t>president</t>
  </si>
  <si>
    <t>London</t>
  </si>
  <si>
    <t>Under two terms of a President Hillary Clinton, the U. S. Muslim population would exceed Germanyâ€™s current Muslim population, according to data from Pew Research Center and the Department of Homeland Security.</t>
  </si>
  <si>
    <t>President Hillary Clinton</t>
  </si>
  <si>
    <t>U. S. Muslim</t>
  </si>
  <si>
    <t xml:space="preserve"> It took nearly 24 hours for his family to discover Hamidullahâ€™s broken body on the bottom shelf of a morgue at Kabulâ€™s Wazir Akhbar Khan hospital.</t>
  </si>
  <si>
    <t>Hamidullah</t>
  </si>
  <si>
    <t>Kabul</t>
  </si>
  <si>
    <t>Akhbar Khan</t>
  </si>
  <si>
    <t xml:space="preserve">In an interview with BuzzFeed News in September, Apple Music head Jimmy Iovine suggested streaming wasnâ€™t a zero sum business, and that he could accept sharing individual customers with Spotify </t>
  </si>
  <si>
    <t>BuzzFeed News</t>
  </si>
  <si>
    <t>Apple Music</t>
  </si>
  <si>
    <t>Spotify</t>
  </si>
  <si>
    <t xml:space="preserve">But despite holding the White House and controlling both houses of Congress, Republicans have found overturning Obamacare politically perilous, partly because of voter fears, loudly expressed at constituentsâ€™ meetings, that many people would lose their health insurance as a result. </t>
  </si>
  <si>
    <t>Congress</t>
  </si>
  <si>
    <t>Obamacare</t>
  </si>
  <si>
    <t>In his successful runs for state senator in Montana and then for Congress, Representative Ryan Zinke has promoted his career in the Navy SEALs as one of his main credentials, going so far as to put the SEALsâ€™ Trident symbol on his campaign bus.</t>
  </si>
  <si>
    <t>senator</t>
  </si>
  <si>
    <t>Montana</t>
  </si>
  <si>
    <t>Representative Ryan Zinke</t>
  </si>
  <si>
    <t>In one particularly subtle moment, Trump even noted that during a backstage encounter, heâ€™d seen Rubioâ€™s sweat cause his makeup to run.</t>
  </si>
  <si>
    <t>Late last fall, the Washington Nationals and Los Angeles Dodgers had seemingly settled on two white men to manage their teams.</t>
  </si>
  <si>
    <t>Washington Nationals</t>
  </si>
  <si>
    <t>the Washington National</t>
  </si>
  <si>
    <t>Los Angeles Dodgers</t>
  </si>
  <si>
    <t>Los Angeles Dodger</t>
  </si>
  <si>
    <t xml:space="preserve">Emmanuelle Riva, whose performance in the antiwar film â€œHiroshima Mon Amourâ€ in 1959 placed her at the center of the French New Wave </t>
  </si>
  <si>
    <t>Emmanuelle Riva</t>
  </si>
  <si>
    <t>Hiroshima Mon Amourâ€</t>
  </si>
  <si>
    <t>Danny Rose, troubled by a tight hamstring over the week, was always pencilled in to start on Tuesday, and Ryan Bertrandâ€™s injury merely guarantees as much.</t>
  </si>
  <si>
    <t>Danny Rose</t>
  </si>
  <si>
    <t>Ryan Bertrandâ€™s</t>
  </si>
  <si>
    <t>Ryan Bertrandâ€™</t>
  </si>
  <si>
    <t xml:space="preserve"> Lou Harris, an influential pollster and political consultant who was among the first to provide polling services directly to candidates and officeholders and helped guide one client, a junior U. S. senator from Massachusetts named John F. Kennedy, to the White House, died Dec. 17 at his home in Key West,</t>
  </si>
  <si>
    <t>Lou Harris</t>
  </si>
  <si>
    <t>U. S.</t>
  </si>
  <si>
    <t>John F. Kennedy</t>
  </si>
  <si>
    <t>The states that have filed briefs supporting the Obama administration, meanwhile, represent about of the states with Democratic attorneys general.</t>
  </si>
  <si>
    <t>Marleys used to overcoming criticism based on not being a prototypical Linebacker with size.</t>
  </si>
  <si>
    <t>Marleys</t>
  </si>
  <si>
    <t>Marley</t>
  </si>
  <si>
    <t>Linebacker</t>
  </si>
  <si>
    <t>The changing nature of attacks around the world and the realization that Brazil is vulnerable with the proximity of the Olympics have been pushing the government to rethink its approach,â€ said Marcos Ferreira, a scholar at the Federal University of ParaÃ­ba who focuses on terrorism in South America.</t>
  </si>
  <si>
    <t>Marcos Ferreira</t>
  </si>
  <si>
    <t>Brazil</t>
  </si>
  <si>
    <t>the Federal University of ParaÃ­ba</t>
  </si>
  <si>
    <t>His former campaign manager and White House counselor Kellyanne Conway then told CNN Thursday morning that Trump would not pursue a ban based on religion but rather on country of origin.</t>
  </si>
  <si>
    <t>Kellyanne Conway</t>
  </si>
  <si>
    <t>CNN</t>
  </si>
  <si>
    <t>A Massachusetts man was arrested and charged on Tuesday with threatening to burn down Bostonâ€™s largest mosque and with making other threats online against Muslims.</t>
  </si>
  <si>
    <t>Massachusett</t>
  </si>
  <si>
    <t>Muslims</t>
  </si>
  <si>
    <t>In Mondayâ€™s Morning Jolt, Jim Geraghty usefully outlined some intriguing statements made by former Obama national intelligence director James Clapper regarding the FISA surveillance controversy.</t>
  </si>
  <si>
    <t>Jim Geraghty</t>
  </si>
  <si>
    <t>When Republican naysayers were mocking Donald Trumpâ€™s improbable White House campaign before the primaries started, Newt Gingrich was reading â€Trump: The Art of the Deal.</t>
  </si>
  <si>
    <t>Newt Gingrich</t>
  </si>
  <si>
    <t>before</t>
  </si>
  <si>
    <t>Imposing tariffs on Chinese imports would do the first, while continued criticism of American companies sending jobs to China would do the second.</t>
  </si>
  <si>
    <t xml:space="preserve"> Bernie Sanders spoke to a large group of his supporters on Monday in Philadelphia.</t>
  </si>
  <si>
    <t>Philadelphia</t>
  </si>
  <si>
    <t>Greek financial markets and the euro rallied on hopes that the relegation of Finance Minister Yanis Varoufakis, a Marxist academic prone to lecturing his euro zone peers, would improve prospects for an early deal to avoid a default that might lead to a Greek exit from the currency area.</t>
  </si>
  <si>
    <t>Greek</t>
  </si>
  <si>
    <t>Minister Yanis Varoufakis</t>
  </si>
  <si>
    <t>Finance</t>
  </si>
  <si>
    <t>The Bachelor,â€ appeared on the Kimmel show to accept a rose from the host.</t>
  </si>
  <si>
    <t>Kimmel</t>
  </si>
  <si>
    <t>Bachelor</t>
  </si>
  <si>
    <t>Scott Adams, creator of the Dilbert cartoon and a keen observer of the human condition, has come out and tweeted what many whisper behind closed doors: The Islamic State is rooting for a Clinton victory on November 8.</t>
  </si>
  <si>
    <t>Scott Adams</t>
  </si>
  <si>
    <t>Dilbert</t>
  </si>
  <si>
    <t>Negara Canopy Walkway, Kuala Lumpur, MalaysiaDeep in the heart of the Malaysian jungle, the Taman Negara Canopy Walkway provides visitors with unparalleled views and no shortage of thrills.</t>
  </si>
  <si>
    <t>Kuala Lumpur</t>
  </si>
  <si>
    <t>Negara Canopy Walkway</t>
  </si>
  <si>
    <t>Malaysian</t>
  </si>
  <si>
    <t>MalaysiaDeep</t>
  </si>
  <si>
    <t>A man told cops a woman he hired to give him a massage at a Manhattan hotel stole his $7, 000 Rolex while he showered, police sources said.</t>
  </si>
  <si>
    <t>Manhattan</t>
  </si>
  <si>
    <t>Rolex</t>
  </si>
  <si>
    <t>Friday, on MSNBC, while discussing a sniper targeting Dallas police officers in an attack that killed five and wounding seven,</t>
  </si>
  <si>
    <t>MSNBC</t>
  </si>
  <si>
    <t>The White House responded Thursday to former Alaska Gov. Sarah Palinâ€™s (R) assertion that her sonâ€™s domestic violence arrest was connected to his combat service in Iraq, and by extension to the Obama administrationâ€™s treatment of veterans.</t>
  </si>
  <si>
    <t>Sarah Palin</t>
  </si>
  <si>
    <t>The White House</t>
  </si>
  <si>
    <t>Alaska</t>
  </si>
  <si>
    <t xml:space="preserve"> Billionaire technology investor Peter Thiel, a lightning rod for criticism in Silicon Valley for his support of Donald Trump, predicted on Monday that the movement the Republican presidential nominee has created would carry on even if he loses his bid for the White House on Nov. 8.</t>
  </si>
  <si>
    <t>Peter Thiel</t>
  </si>
  <si>
    <t>Silicon Valley</t>
  </si>
  <si>
    <t>Century Fox were to co-finance the project, which would have reunited Spielberg with Fox for the first time since "Minority Report" in 2002.The film was also in talks to star both Anne Hathaway and Chris Hemworth and start production this spring with a 2014 release.</t>
  </si>
  <si>
    <t>Spielberg</t>
  </si>
  <si>
    <t>Anne Hathaway</t>
  </si>
  <si>
    <t>Chris Hemworth</t>
  </si>
  <si>
    <t>An organization that supports the families of murder victims, Partners in the Struggle, is hosting the event, according to Chattanoogas WRCB-TV.Anyone with information in the killing of Yhoana Arteaga is asked to contact Crime Stoppers at 615-742-7463.</t>
  </si>
  <si>
    <t>Partners in the Struggle</t>
  </si>
  <si>
    <t>Chattanoogas WRCB</t>
  </si>
  <si>
    <t>Chattanoogas WRCB-TV.Anyone</t>
  </si>
  <si>
    <t>Crime Stopper</t>
  </si>
  <si>
    <t>New York City Democratic Assemblyman Jim Brennan scolded the Metropolitan Transportation Authority over its new ad campaign for a clothing company that features a Pamela Anderson.</t>
  </si>
  <si>
    <t>Jim Brennan</t>
  </si>
  <si>
    <t>New York City</t>
  </si>
  <si>
    <t>a Pamela Anderson</t>
  </si>
  <si>
    <t>the Metropolitan Transportation Authority</t>
  </si>
  <si>
    <t>It wasnâ€™t in Germany until Thursday, when the parliament cast a rare unanimous vote closing what German Justice Minister Heiko Maas described as â€blatant loopholesâ€ in his countryâ€™s sexual assault laws.</t>
  </si>
  <si>
    <t>German</t>
  </si>
  <si>
    <t>Minister</t>
  </si>
  <si>
    <t>Minister Heiko Maas</t>
  </si>
  <si>
    <t>law</t>
  </si>
  <si>
    <t>Because deep in the archive at San Francisco University is a confidential memo written by an executive at the tobacco giant Philip Morris in the late 1990s, just as the WHO was defining obesity as a coming epidemic, advising the food giant Kraft on strategies to employ when it started being criticised for creating obesity.</t>
  </si>
  <si>
    <t>San Francisco University</t>
  </si>
  <si>
    <t>Philip Morris</t>
  </si>
  <si>
    <t>WHO</t>
  </si>
  <si>
    <t>Dona Ana County Sheriffâ€™s spokeswoman Kelly Jameson said Saturday that Jesse Hanes is suspected of gunning down Hatch Police Officer Jose Chavez during a traffic stop Friday.</t>
  </si>
  <si>
    <t>Kelly Jameson</t>
  </si>
  <si>
    <t>Dona Ana</t>
  </si>
  <si>
    <t>Jesse Hanes</t>
  </si>
  <si>
    <t>A passenger went berserk aboard an American Airlines flight Thursday, attempting to take a bite out of a flight attendant, and then jumping off the plane onto the tarmac in North Carolina.</t>
  </si>
  <si>
    <t>American Airlines</t>
  </si>
  <si>
    <t>American Airline</t>
  </si>
  <si>
    <t>In his State of the Union address Tuesday night, President Obama not so subtly responded to things that had been said by Donald Trump, Ted Cruz, and Chris Christie.</t>
  </si>
  <si>
    <t>Union</t>
  </si>
  <si>
    <t>They were educated in France, they learned to play soccer in France, they are French citizens.Noah, a US resident of South African origin, waded into the old clash between US-style identity politics and the French disquiet over communautarisme.</t>
  </si>
  <si>
    <t>Noah</t>
  </si>
  <si>
    <t>Bongiorno said investigators had invented a theory that Kercher was murdered in a sex game gone wrong in order to avoid causing panic in Perugia over the truth that a dangerous murderer was still on the run.</t>
  </si>
  <si>
    <t>Bongiorno</t>
  </si>
  <si>
    <t>Kercher</t>
  </si>
  <si>
    <t>Perugia</t>
  </si>
  <si>
    <t>The US billionaire who helped bankroll Donald Trumpâ€™s campaign for the presidency played a key role in the campaign for Britain to leave the EU, the Observer has learned.</t>
  </si>
  <si>
    <t>EU</t>
  </si>
  <si>
    <t>Observer</t>
  </si>
  <si>
    <t>Rep. Dave Brat ( ) will discuss the latest developments regarding House Speaker Paul Ryanâ€™s Obamacare replacement bill, which is coming under intense criticism from all quarters and has been dubbed â€œRyancare,â€ â€œ â€ and â€œ â€ by critics.</t>
  </si>
  <si>
    <t>Dave Brat</t>
  </si>
  <si>
    <t>Paul Ryan</t>
  </si>
  <si>
    <t>Wall Street dealmakers used to be sent to Hong Kong or London to win new business.</t>
  </si>
  <si>
    <t>win</t>
  </si>
  <si>
    <t>busine</t>
  </si>
  <si>
    <t>To be a girl in the Viwandani slum of Nairobi, Kenya, means sleeping in a shack with as many as eight members of your family.</t>
  </si>
  <si>
    <t>Nairobi</t>
  </si>
  <si>
    <t>Viwandani</t>
  </si>
  <si>
    <t>Kenya</t>
  </si>
  <si>
    <t xml:space="preserve"> Donald J. Trumpâ€™s incoming administration is girding for battle with corporatists, globalists, and special business interests over his core policy objective of bringing U. S. manufacturing jobs that have been shipped overseas back to the United States, several senior advisers to Trump tell Breitbart News.</t>
  </si>
  <si>
    <t>Donald J. Trumpâ€™s</t>
  </si>
  <si>
    <t>Donald J. Trumpâ€™</t>
  </si>
  <si>
    <t>Britains services firm Mitie (MTO.L) announced on Wednesday a new writedown costing as much as 50 million pounds and said it might restate accounts to March 2016, but its shares climbed more than 7 percent as it reported steady revenues.</t>
  </si>
  <si>
    <t>Britains</t>
  </si>
  <si>
    <t>Mitie</t>
  </si>
  <si>
    <t>MTO.L</t>
  </si>
  <si>
    <t xml:space="preserve"> President Trumpâ€™s administration was still in its first hours when Mitch McConnell snagged an open seat next to him for a private chat at his inaugural luncheon.</t>
  </si>
  <si>
    <t>Mitch McConnell</t>
  </si>
  <si>
    <t xml:space="preserve"> When she first sought elective office in 2000, capturing the U. S. Senate seat from New York once held by Robert F. Kennedy, Lady Hillary Clinton inherited her husbandâ€™s Democratic political machine </t>
  </si>
  <si>
    <t>Robert F. Kennedy</t>
  </si>
  <si>
    <t>New York</t>
  </si>
  <si>
    <t>In New York, Vongerichten recently opened abcV, an organic, restaurant that serves dishes like â€œstems and sproutsâ€ with sunflower seeds, and traffics in ayurvedic tonics, which have captivated millennials hunting for the next thing after juice.</t>
  </si>
  <si>
    <t>Vongerichten</t>
  </si>
  <si>
    <t>abcV</t>
  </si>
  <si>
    <t>At Homeland Security, for example, is Frank Wuc o, a former security consultant whose blog Red Wire describes the terrorist threat as rooted in Islam.</t>
  </si>
  <si>
    <t>Homeland Security</t>
  </si>
  <si>
    <t>Frank Wuc o</t>
  </si>
  <si>
    <t>Red Wire</t>
  </si>
  <si>
    <t>On that line were the likes of Willie Roaf, Will Shields, Casey Wiegmann and Brian Waters, to name four.That was a very good offensive line, Solari said.</t>
  </si>
  <si>
    <t>Willie Roaf</t>
  </si>
  <si>
    <t>Will Shields</t>
  </si>
  <si>
    <t>Casey Wiegmann</t>
  </si>
  <si>
    <t>The award-winning leaders of Oklahomas high-scoring offense and Georgias shut-down defense will be in the spotlight in the Jan. 1 Rose Bowl.</t>
  </si>
  <si>
    <t>Oklahomas</t>
  </si>
  <si>
    <t>Oklahoma</t>
  </si>
  <si>
    <t>Georgias</t>
  </si>
  <si>
    <t>Georgia</t>
  </si>
  <si>
    <t>Emirates President Tim Clark had said in June that the demand on U.S. routes had started to come back and that the airline was looking at restoring Boston and Seattle frequencies.</t>
  </si>
  <si>
    <t>Emirates President Tim Clark</t>
  </si>
  <si>
    <t>Tim Clark</t>
  </si>
  <si>
    <t>Boston</t>
  </si>
  <si>
    <t xml:space="preserve">The noise emanating from Dallas in the wake of the Cowboysâ€™ road loss to the Giants last Sunday night is everything that is wrong with sports today </t>
  </si>
  <si>
    <t>Cowboys</t>
  </si>
  <si>
    <t>Cowboy</t>
  </si>
  <si>
    <t>Giants</t>
  </si>
  <si>
    <t>Giant</t>
  </si>
  <si>
    <t>In 1989, Wen imagined phases like the fractional quantum Hall states arising not on a plane, but on different topological manifoldsconnected spaces such as the surface of a sphere or a torus.</t>
  </si>
  <si>
    <t>Wen</t>
  </si>
  <si>
    <t>Hall</t>
  </si>
  <si>
    <t>The Islamic Republic of Iran seized two U. S. Navy vessels while they were navigating the Persian Gulf on Tuesday, detaining the ships and ten American sailors near Iranâ€™s Farsi Island, the Pentagon said.</t>
  </si>
  <si>
    <t>U. S. Navy</t>
  </si>
  <si>
    <t>The Islamic Republic of Iran</t>
  </si>
  <si>
    <t>Brazil's President and Workers Party (PT) presidential candidate Dilma Rousseff (R) poses for a selfie with a supporter during a campaign rally in Sao Bernardo do Campo September 2, 2014.</t>
  </si>
  <si>
    <t>Workers Party</t>
  </si>
  <si>
    <t>Two things that really jumped out at me from Comeyâ€™s account is that at the end of the day Comey seemed to be going about as far as he possibly could to protect Trump from himself.</t>
  </si>
  <si>
    <t>Comey</t>
  </si>
  <si>
    <t>Comeyâ€™</t>
  </si>
  <si>
    <t>To make things worse, the special envoy for the United Nations Support Mission in Libya, Martin Kobler, declared last week that support for the Government of National Unity (GNA) is â€œcrumblingâ€ amid increased power problems and the quick fall of Libyaâ€™s currency.</t>
  </si>
  <si>
    <t>the United Nations Support Mission</t>
  </si>
  <si>
    <t>Martin Kobler</t>
  </si>
  <si>
    <t>the Government of National Unity</t>
  </si>
  <si>
    <t>Rep. Vern Buchanan ( ) tells Breitbart News he is stunned by the irresponsible conduct of President Barack Obama and his 10, 000 Syrian refugee scheme, and he wants it stopped.</t>
  </si>
  <si>
    <t>Vern Buchanan</t>
  </si>
  <si>
    <t>Barack Obama</t>
  </si>
  <si>
    <t>Syrian</t>
  </si>
  <si>
    <t>They argue the criticism of her report on John Basikbasik is based on "a misunderstanding of the role of the Commission".Twenty-five Australian legal experts have signed an open letter in support of the president of the Australian Human Rights Commission, Gillian Triggs.</t>
  </si>
  <si>
    <t>John Basikbasik</t>
  </si>
  <si>
    <t>Gillian Triggs</t>
  </si>
  <si>
    <t>As China challenges the United States for influence in Asia, the administration is concerned that any criticism of nations like Malaysia, Vietnam, the Philippines and Laos for backsliding on human rights could alienate them rather than pulling them closer.</t>
  </si>
  <si>
    <t>Philippine</t>
  </si>
  <si>
    <t>A Turkish police officer who angrily denounced the bloodshed in Syria killed the Russian ambassador to Turkey in Ankara on Monday, shooting the diplomat in front of a room full of horrified spectators at an art gallery in an assassination captured on video and quickly shared around the world.</t>
  </si>
  <si>
    <t>Ankara</t>
  </si>
  <si>
    <t>ambassador</t>
  </si>
  <si>
    <t>,</t>
  </si>
  <si>
    <t>The Macotakara report supports this theory, saying that because of ongoing tests the Edition "may be very much behind" the commercial release of the 7s.</t>
  </si>
  <si>
    <t>Macotakara</t>
  </si>
  <si>
    <t>Edition</t>
  </si>
  <si>
    <t>BLOW Jennifer Lopez's fiance sexted British Playboy model and begged for threesomes I WANNABE IN CHARGE Mel B and Geri Horner's lesbian fling reignites</t>
  </si>
  <si>
    <t>Jennifer Lopez's</t>
  </si>
  <si>
    <t>British Playboy</t>
  </si>
  <si>
    <t>Mel B</t>
  </si>
  <si>
    <t xml:space="preserve"> Former National Security Adviser Mike Flynn is seeking assurances that he wonâ€™t face â€œunfair prosecutionâ€ in exchange for testifying about the Trump campaignâ€™s ties to Russia, a move the president supported on Friday in response to what he called a â€œwitch hunt.</t>
  </si>
  <si>
    <t>Mike Flynn</t>
  </si>
  <si>
    <t xml:space="preserve"> With a Super Bowl 50 party circuit that could bring rock stars to their knees hitting overdrive on Saturday the Denver Broncos and Carolina Panthers may be the only ones for the NFLâ€™s title game.</t>
  </si>
  <si>
    <t>Denver Broncos</t>
  </si>
  <si>
    <t>the Denver Broncos and Carolina Panther</t>
  </si>
  <si>
    <t>Carolina Panthers</t>
  </si>
  <si>
    <t>Additionally, they expect that more small merchants will accept American Express, boosting AXP's US acceptance from 70% of Visa/Mastercard to 90% 18 to 24 months.</t>
  </si>
  <si>
    <t>American Express</t>
  </si>
  <si>
    <t>American Expre</t>
  </si>
  <si>
    <t>AXP</t>
  </si>
  <si>
    <t>President Donald Trump has officially violated the lease agreement he entered into with the federal government for his Washington, D. C. hotel, Democratic lawmakers charged Monday.</t>
  </si>
  <si>
    <t xml:space="preserve">Vivas was finally taken to a Secret Police (Sebin) prison in early April following the start of a new wave of protests. </t>
  </si>
  <si>
    <t>Vivas</t>
  </si>
  <si>
    <t>Viva</t>
  </si>
  <si>
    <t>Sebin</t>
  </si>
  <si>
    <t>Sutherland said there was every reason for the United States to back a Doha deal which could attract bipartisan support in Congress, historically been suspicious of free trade.</t>
  </si>
  <si>
    <t>Sutherland</t>
  </si>
  <si>
    <t>Meanwhile, an artificial intelligence system developed in India that takes into account data from Google, YouTube and social media says Trumpâ€™s â€œengagement dataâ€ points to a GOP victory.</t>
  </si>
  <si>
    <t>Google</t>
  </si>
  <si>
    <t>India</t>
  </si>
  <si>
    <t>YouTube</t>
  </si>
  <si>
    <t xml:space="preserve">In a marathon markup of the bill to repeal the Affordable Care Act in the House Rules Committee on Wednesday, Republicans argued that a package of amendments unveiled Monday night would make the legislation more â€ â€ by giving Americans more â€choicesâ€ and â€freedomâ€ in the health care market. </t>
  </si>
  <si>
    <t>A government official at North Koreaâ€™s Ministry of Foreign Affairs told Reuters in a separate interview on Monday that North Korea would have been attacked a long time ago like other countries if it did not have strong military capabilities.</t>
  </si>
  <si>
    <t>Ministry of Foreign Affairs</t>
  </si>
  <si>
    <t>North Koreaâ€™</t>
  </si>
  <si>
    <t>Reuters</t>
  </si>
  <si>
    <t>Reuter</t>
  </si>
  <si>
    <t xml:space="preserve">The Federal Agency for Migration and Refugees (BAMF) has had a hard time determining the age or country of origin of the migrants, but that may change as the government looks to allow them to examine the migrantsâ€™ mobile phones Die Welt reports. </t>
  </si>
  <si>
    <t>The Federal Agency for Migration and Refugees</t>
  </si>
  <si>
    <t>The Federal Agency for Migration and Refugees (</t>
  </si>
  <si>
    <t>BAMF</t>
  </si>
  <si>
    <t>Die Welt</t>
  </si>
  <si>
    <t>David Horowitz is also a significant donor to anti-Muslim causes and in 2015 donated 90,000 to the far-right Dutch politician Geert Wilders.</t>
  </si>
  <si>
    <t>David Horowitz</t>
  </si>
  <si>
    <t>Dutch</t>
  </si>
  <si>
    <t>Geert Wilders</t>
  </si>
  <si>
    <t>Geert Wilder</t>
  </si>
  <si>
    <t>Isaac Lee, entertainment and news chief for Univisionâ€™s digital platform, told the Washington Post (WaPo) the layoffs, along with a planned restructuring, come â€œin response to difficult times, challenging times.</t>
  </si>
  <si>
    <t>Isaac Lee</t>
  </si>
  <si>
    <t>Univision</t>
  </si>
  <si>
    <t>WaPo</t>
  </si>
  <si>
    <t>President Recep Tayyip Erdogan on Monday vigorously defended his narrow victory in a referendum granting him greater authority, dismissing criticism of the result by Turkish opposition parties, European election observers and protesters while making clear his government was moving on.</t>
  </si>
  <si>
    <t>President Recep Tayyip Erdogan</t>
  </si>
  <si>
    <t>Recep Tayyip Erdogan</t>
  </si>
  <si>
    <t>Turkish</t>
  </si>
  <si>
    <t>Sawalha said he tries to show Israel in a realistic light, but doesn't hide his politics: He supports the establishment of a Palestinian state in the lands Israel occupied in 1967 and opposes violence.</t>
  </si>
  <si>
    <t>Sawalha</t>
  </si>
  <si>
    <t>Israel</t>
  </si>
  <si>
    <t>Radio host Glenn Beck posted a link on his Facebook page to an article titled â€œ</t>
  </si>
  <si>
    <t>Glenn Beck</t>
  </si>
  <si>
    <t>Facebook</t>
  </si>
  <si>
    <t>But as the partyâ€™s nominee, he also has to produce a party platform that Republicans can rally behind, as well as cast a vice presidential pick who might be able to tackle some of the inevitable battles with Congress should Trump win.</t>
  </si>
  <si>
    <t>There are few things Congress agrees on these days, but one issue that has bipartisan support is ending the Independent Payment Advisory Board.</t>
  </si>
  <si>
    <t>the Independent Payment Advisory Board</t>
  </si>
  <si>
    <t>The Department of Justice (DOJ) says it plans to â€œpromote religious freedomâ€ in schools, particularly for Muslim students who allegedly experience â€œdiscriminationâ€ or â€œbullyingâ€ from other students in the nationâ€™s public schools.</t>
  </si>
  <si>
    <t>The Department of Justice</t>
  </si>
  <si>
    <t>DOJ</t>
  </si>
  <si>
    <t xml:space="preserve"> A few weeks ago, a person inside Mosul began to send text messages to Iraqi military intelligence in Baghdad.</t>
  </si>
  <si>
    <t>person</t>
  </si>
  <si>
    <t>Mosul</t>
  </si>
  <si>
    <t>Maja Kocijancic, a spokeswoman for EU foreign policy chief Catherine Ashton, said the Commission drew up the guidelines in response to a request from the European Parliament and said they clarified a system that the EU was already applying.</t>
  </si>
  <si>
    <t>Maja Kocijancic</t>
  </si>
  <si>
    <t>Catherine Ashton</t>
  </si>
  <si>
    <t>Commission</t>
  </si>
  <si>
    <t>Media advocates said the documents show that the FBI imposes few constraints on itself when it bypasses the requirement to go to court and obtain subpoenas or search warrants before accessing journalistsâ€™ information.</t>
  </si>
  <si>
    <t>FBI</t>
  </si>
  <si>
    <t>Media</t>
  </si>
  <si>
    <t>Sen. Lindsey Graham, a Republican from South Carolina, said heâ€™s known Sessions as a friend and colleague for two decades and has never seen an indication that heâ€™s â€motivated by race or religion.</t>
  </si>
  <si>
    <t>Lindsey Graham</t>
  </si>
  <si>
    <t>Sessions</t>
  </si>
  <si>
    <t>Session</t>
  </si>
  <si>
    <t>A Wall Street News poll released Monday found growing disapproval of Speaker of the House Paul Ryan.</t>
  </si>
  <si>
    <t>Wall Street News</t>
  </si>
  <si>
    <t>House Paul Ryan</t>
  </si>
  <si>
    <t>In twin letters sent Wednesday to the Justice Department and the Central Intelligence Agency, Senate Majority Leader Harry Reid renewed charges of unconstitutional CIA spying on the Senate, first made in a speech March 11 by the chair of the Senate Intelligence Committee, Dianne Feinstein.</t>
  </si>
  <si>
    <t>Harry Reid</t>
  </si>
  <si>
    <t>the Central Intelligence Agency</t>
  </si>
  <si>
    <t>Dianne Feinstein</t>
  </si>
  <si>
    <t>Fox News host Megyn Kelly is criticizing the media obsession with covering Donald Trump.</t>
  </si>
  <si>
    <t>Megyn Kelly</t>
  </si>
  <si>
    <t>Fox New</t>
  </si>
  <si>
    <t>Midland Co (ADM.N) and Wilmar International Ltd (WLIL.SI), the world's largest listed palm oil producer, said on Thursday they completed regulatory approvals for a partnership in the global fertilizer and European vegetable oil sectors.</t>
  </si>
  <si>
    <t>Midland Co</t>
  </si>
  <si>
    <t>ADM.N</t>
  </si>
  <si>
    <t>Wilmar International Ltd</t>
  </si>
  <si>
    <t xml:space="preserve"> A top Environmental Protection Agency official came under heavy fire Tuesday when Republicans at a congressional hearing accused the agency of failing to protect Flint, Michigan from their water being poisoned by lead. </t>
  </si>
  <si>
    <t>Environmental Protection Agency</t>
  </si>
  <si>
    <t>Flint</t>
  </si>
  <si>
    <t>Michigan</t>
  </si>
  <si>
    <t>Duncan Ferguson and David Unsworth, the coach and coach respectively, will take charge of the final game against relegated Norwich City, along with the former manager and striker Joe Royle.</t>
  </si>
  <si>
    <t>Duncan Ferguson</t>
  </si>
  <si>
    <t>David Unsworth</t>
  </si>
  <si>
    <t>Norwich City</t>
  </si>
  <si>
    <t>Donald Trump insisted on Thursday that he was â€œworking hardâ€ even during the Thanksgiving holiday, as the latest speculation around the â€™s cabinet focused on billionaire distressed debt investor Wilbur Ross.</t>
  </si>
  <si>
    <t>Wilbur Ross</t>
  </si>
  <si>
    <t>Wilbur Ro</t>
  </si>
  <si>
    <t xml:space="preserve"> The United States on Tuesday held what it dubbed a historic U. N. Security Council meeting on the link between rights abuses and conflict, but dropped a push for the broad issue to become a council fixture after at least six members opposed it. </t>
  </si>
  <si>
    <t>U. N. Security Council Council</t>
  </si>
  <si>
    <t>council</t>
  </si>
  <si>
    <t>U. N. Security Council</t>
  </si>
  <si>
    <t>Obamaâ€™s dire predictions, which failed to come true, were covered extensively by a newspaper called the New York Times.</t>
  </si>
  <si>
    <t>Obamaâ€™</t>
  </si>
  <si>
    <t>the New York Times</t>
  </si>
  <si>
    <t>the New York Time</t>
  </si>
  <si>
    <t>At times, it was tough to tell if New Englands defense was much improved or if the Eagles offense was just struggling.</t>
  </si>
  <si>
    <t>New Englands</t>
  </si>
  <si>
    <t>New England</t>
  </si>
  <si>
    <t>Eagles</t>
  </si>
  <si>
    <t>Eagle</t>
  </si>
  <si>
    <t>NPRâ€™s Planet Money podcast dug into this phenomenon, zeroing in on the year 1984: â€Personal computers started showing up in U. S. homes in significant numbers.</t>
  </si>
  <si>
    <t>Planet Money</t>
  </si>
  <si>
    <t>Hillary Clinton used the first major rally of her second run for the White House Saturday to make a populist case for her presidential campaign, declaring that the goal of her presidency would be to tip the nationâ€™s economic scales back toward the middle classâ€™s favor.</t>
  </si>
  <si>
    <t>major</t>
  </si>
  <si>
    <t>toward</t>
  </si>
  <si>
    <t>California-born author and playwright Frank Chin has written essays denouncing Chan: Chin would like to see him disappear altogether.</t>
  </si>
  <si>
    <t>Frank Chin</t>
  </si>
  <si>
    <t>Chan</t>
  </si>
  <si>
    <t>Chin</t>
  </si>
  <si>
    <t xml:space="preserve">While covering the New Yearâ€™s Eve celebration live in New Orleans this year, CNNâ€™s Don Lemon took ringing in the new year literally. </t>
  </si>
  <si>
    <t>New Orlean</t>
  </si>
  <si>
    <t>Don Lemon</t>
  </si>
  <si>
    <t>He may pay some cost up front for not meeting Washington expectations,â€ notes Stephen Hadley, national security adviser for President George W. Bush and a Tillerson supporter.</t>
  </si>
  <si>
    <t>Stephen Hadley</t>
  </si>
  <si>
    <t>George W. Bush</t>
  </si>
  <si>
    <t>U.S. Republican presidential candidate and former Massachusetts Governor Mitt Romney shakes hands with supporters during a rally at Crofton Industries in Portsmouth, Virginia May 3, 2012.</t>
  </si>
  <si>
    <t>Governor Mitt Romney</t>
  </si>
  <si>
    <t>Virginia</t>
  </si>
  <si>
    <t>With Tim Burton behind the camera, and the always-sharp screenwriter Jane Goldman keeping him on course, we have our answer in Miss Peregrines Home For Peculiar Children.</t>
  </si>
  <si>
    <t>Tim Burton</t>
  </si>
  <si>
    <t>With Tim Burton</t>
  </si>
  <si>
    <t>Jane Goldman</t>
  </si>
  <si>
    <t>Getty Images 9 Belgium remarkably scored five goals in Rotterdam in 1999 but failed to seal victoryThey invented Total Football, made it to back-to-back World Cup finals and brought us some of the greatest players in the games history  and</t>
  </si>
  <si>
    <t>Getty Images</t>
  </si>
  <si>
    <t>Belgium</t>
  </si>
  <si>
    <t>Total Football</t>
  </si>
  <si>
    <t>Breitbart News editor Milo Yiannopoulos has resigned amid a social media backlash over comments he made that appeared to condone pedophilia.</t>
  </si>
  <si>
    <t>Breitbart New</t>
  </si>
  <si>
    <t>Milo Yiannopoulos</t>
  </si>
  <si>
    <t>Milo Yiannopoulo</t>
  </si>
  <si>
    <t>Ever since Donald Trump ascended to the role of presumptive Republican nominee, those of us in the #NeverTrump movement have come under heavy fire.</t>
  </si>
  <si>
    <t>NeverTrump</t>
  </si>
  <si>
    <t>North Carolinaâ€™s GOP governor has closed a polling gap with his Democratic rival in the last two weeks, as voters push back against the Democratsâ€™ use of the transgender bathroom controversy to tarnish the governorâ€™s successful economic record.</t>
  </si>
  <si>
    <t>governor</t>
  </si>
  <si>
    <t>North Carolinaâ€™</t>
  </si>
  <si>
    <t>Glenn Beckâ€™s blog on Medium dishing on his trip to Facebook headquarters declares that the employees he met, while were not â€œprogressives,â€ a term he has used to label Republican politicians such as Newt Gingrich.</t>
  </si>
  <si>
    <t>Glenn Beckâ€™s</t>
  </si>
  <si>
    <t>Glenn Beckâ€™</t>
  </si>
  <si>
    <t>Dallas police are investigating whether the singer knowingly and intentionally transmitted herpes, without first disclosing that he had the STD, during a nearly nearly yearlong relationship with the accuser, according to the Dallas Morning News.</t>
  </si>
  <si>
    <t>STD</t>
  </si>
  <si>
    <t>the Dallas Morning News</t>
  </si>
  <si>
    <t>the Dallas Morning New</t>
  </si>
  <si>
    <t xml:space="preserve"> Sen. Ted Cruz and Ohio Gov. John Kasich have quit the GOP presidential primary race but continue to snipe about whoâ€™s to blame for letting </t>
  </si>
  <si>
    <t>John Kasich</t>
  </si>
  <si>
    <t>Ohio</t>
  </si>
  <si>
    <t>how upset he was that iPhone's emojis are growing more diverse thanks to the "P.C. police."And</t>
  </si>
  <si>
    <t>iPhone</t>
  </si>
  <si>
    <t>P.C.</t>
  </si>
  <si>
    <t>In court papers, both Jensen and Daniel Petrocelli, a lawyer for Trump, suggested Simpsonâ€™s objection might be politically motivated.</t>
  </si>
  <si>
    <t>Jensen</t>
  </si>
  <si>
    <t>Daniel Petrocelli</t>
  </si>
  <si>
    <t>Simpsonâ€™</t>
  </si>
  <si>
    <t>The reclusive leader of the Islamic State, Abu Bakr has purportedly issued an audio message calling on his fighters to stand firm in Mosul, as Iraqi security forces enter the city for the first time since ISIS seized it more than two years ago.</t>
  </si>
  <si>
    <t>Abu Bakr</t>
  </si>
  <si>
    <t>The white, Americans who form a backbone of Donald Trumpâ€™s political support have a split view of Muslim immigrants strong majorities believe both that immigrants from Muslim countries increase the threat of terrorism in the United States, but also that most immigrants from those countries are good people.</t>
  </si>
  <si>
    <t>majoritie</t>
  </si>
  <si>
    <t>immigrants</t>
  </si>
  <si>
    <t>threat</t>
  </si>
  <si>
    <t>In a private meeting with lawmakers last week to discuss infrastructure, Trump expressed support for hiking the federal gasoline tax by 25 cents a gallon, according to Democratic Senator Tom Carper, who attended the meeting.</t>
  </si>
  <si>
    <t>Tom Carper</t>
  </si>
  <si>
    <t>Pakistan has welcomed his death as a big step against militancy but it is angry over "unilateral" U.S. action it says has violated its sovereignty.(Writing by Augustine Anthony; editing by Michael Georgy)Copyright 2011 Thomson Reuters.</t>
  </si>
  <si>
    <t>Augustine Anthony</t>
  </si>
  <si>
    <t>Pakistan</t>
  </si>
  <si>
    <t>Michael Georgy)Copyright</t>
  </si>
  <si>
    <t>Thomson Reuter</t>
  </si>
  <si>
    <t>Hillary Clinton is joining with husband Bill and daughter Chelsea for her final stand in Iowa the night before the Monday caucus.</t>
  </si>
  <si>
    <t>Bill</t>
  </si>
  <si>
    <t>Iowa</t>
  </si>
  <si>
    <t>York, who didnt speak publicly about the teams turmoil during the season, chose Tomsula last year to replace Harbaugh over departed defensive coordinator Vic Fangio and now-Bears offensive coordinator Adam Gase.</t>
  </si>
  <si>
    <t>York</t>
  </si>
  <si>
    <t>Tomsula</t>
  </si>
  <si>
    <t>Harbaugh</t>
  </si>
  <si>
    <t>Chelsea Manning had not planned to share government documents with the public until she saw how disengaged her fellow Americans were from the wars in Iraq and Afghanistan during a leave from her posting at a military base outside of Baghdad.</t>
  </si>
  <si>
    <t>Chelsea Manning</t>
  </si>
  <si>
    <t>Afghanistan</t>
  </si>
  <si>
    <t xml:space="preserve"> A group that wanted to draft House Speaker Paul Ryan as a Republican presidential candidate is shutting down, a day after Ryanâ€™s political operation sent the organization a letter demanding it halt its campaign.</t>
  </si>
  <si>
    <t>Ryan</t>
  </si>
  <si>
    <t>When people talk about Floridaâ€™s Everglades, they often use superlatives: Itâ€™s the largest protected wilderness east of the Mississippi River, and itâ€™s the biggest subtropical wetland in North America.</t>
  </si>
  <si>
    <t>Florida</t>
  </si>
  <si>
    <t>the Mississippi River</t>
  </si>
  <si>
    <t>North America</t>
  </si>
  <si>
    <t>The head of the Senate, PMDB Senator Renan Calheiros, who appeared to be wavering in his support of Rousseff, echoed her position on impeachment after meeting with her predecessor and mentor, former President Luis Inacio Lula da Silva, who is back in Brasilia working to shore up her crumbling coalition.</t>
  </si>
  <si>
    <t>Renan Calheiros</t>
  </si>
  <si>
    <t>Rousseff</t>
  </si>
  <si>
    <t>Brasilia</t>
  </si>
  <si>
    <t>Editorâ€™s note, June 16: An earlier version of this story said Omar Mateen carried an based on comments from Orlando Police Chief John Mina, who said Sunday that the gun was an â€ rifle.</t>
  </si>
  <si>
    <t>Omar Mateen</t>
  </si>
  <si>
    <t>Orlando Police</t>
  </si>
  <si>
    <t>John Mina</t>
  </si>
  <si>
    <t>Russian opposition leader Alexei Navalny talks to journalists after he was sentenced by a court to 20 days in jail on charges of repeatedly violating laws governing the organisation of public meetings and rallies, during a hearing in Moscow, Russia October 2, 2017.</t>
  </si>
  <si>
    <t>Alexei Navalny</t>
  </si>
  <si>
    <t>Moscow</t>
  </si>
  <si>
    <t xml:space="preserve"> Freeing four American prisoners from Iranian prisons required billions of dollars and diplomacy, but liberating captives â€” including an American woman who was pregnant when she was taken in Afghanistan </t>
  </si>
  <si>
    <t>Some Sanders supporters, upset about this system, have taken to contacting superdelegates, as the AP reports.</t>
  </si>
  <si>
    <t>Sanders</t>
  </si>
  <si>
    <t>Sander</t>
  </si>
  <si>
    <t>AP</t>
  </si>
  <si>
    <t>After they had spent nearly two days emphasizing that this was a decision Trump arrived at after receiving a memo and recommendation from Deputy Attorney General Rod J. Rosenstein, Trump just blurted out that he was going to fire Comey all along.</t>
  </si>
  <si>
    <t>Rod J. Rosenstein</t>
  </si>
  <si>
    <t>Youth was disowned by his family due to drug addictionTraditionally built kiosks where women sell miraa, also known as khat, sourced from Meru County welcome visitors to Mandera town.</t>
  </si>
  <si>
    <t>Meru County</t>
  </si>
  <si>
    <t>Youth</t>
  </si>
  <si>
    <t>Mandera</t>
  </si>
  <si>
    <t>But just in case the proposal is approved, Hall has set up a new Twitter account that visa applicants can write down on customs forms if they donâ€™t want to reveal their own.</t>
  </si>
  <si>
    <t>His speech, at the palace of the Palestinian president, Mahmoud Abbas, answered Palestinians' hopes that he would use the visit to one of the most sacred sites in Christendom, the birthplace of Jesus, to highlight their plight under Israeli occupation."I</t>
  </si>
  <si>
    <t>Mahmoud Abbas</t>
  </si>
  <si>
    <t>Jesus</t>
  </si>
  <si>
    <t>Christendom</t>
  </si>
  <si>
    <t>Police found the bodies of five infants in a home near Bordeaux, France, according to news reports.</t>
  </si>
  <si>
    <t>according</t>
  </si>
  <si>
    <t>Bordeaux</t>
  </si>
  <si>
    <t>new</t>
  </si>
  <si>
    <t>Nairobi County Police Commander Japheth Koome said the couple had a disagreement before they engaged in a physical fight which resulted in the woman sustaining injuries.She was taken to hospital unconscious after that evening fight</t>
  </si>
  <si>
    <t>Nairobi County Police</t>
  </si>
  <si>
    <t>Japheth Koome</t>
  </si>
  <si>
    <t xml:space="preserve"> said on Thursday it will lay off 118 workers at its York, Pennsylvania, plant and shift the jobs to Kansas City, Missouri.</t>
  </si>
  <si>
    <t>Kansas City</t>
  </si>
  <si>
    <t>Missouri</t>
  </si>
  <si>
    <t>While Mrs. Clinton must be cautious not to alienate liberal Democrats who oppose some of her hawkish foreign policy stances, her campaign says national security could be the catalyst that drives independents and wavering Republicans to support her this fall.</t>
  </si>
  <si>
    <t>Probably not is the short answer to that one, Sky Sports reporter Hughes said when asked if there were more deals to be done at Arsenal.</t>
  </si>
  <si>
    <t>Sky Sports</t>
  </si>
  <si>
    <t>Sky Sport</t>
  </si>
  <si>
    <t>Hughes</t>
  </si>
  <si>
    <t>Arsenal</t>
  </si>
  <si>
    <t xml:space="preserve"> An attempted attack by Islamic State on a military base in northern Iraq shows Turkeyâ€™s decision to deploy troops there was justified, President Tayyip Erdogan said on Friday, suggesting Russia was stirring up a row over the issue.</t>
  </si>
  <si>
    <t>Iraq</t>
  </si>
  <si>
    <t>President Tayyip Erdogan</t>
  </si>
  <si>
    <t xml:space="preserve"> An hour before Mike Pence gave the biggest speech of his life at the Republican National Convention in Cleveland, officials from Donald Trumpâ€™s campaign read over the text for the first time.</t>
  </si>
  <si>
    <t>Mike Pence</t>
  </si>
  <si>
    <t>Great Britain moved to the verge of a Davis Cup victory against Canada after Jamie Murray and Dom Inglot won a tight doubles rubber.</t>
  </si>
  <si>
    <t>Jamie Murray</t>
  </si>
  <si>
    <t>Canada</t>
  </si>
  <si>
    <t>Dom Inglot</t>
  </si>
  <si>
    <t>Getty Images 4 Peter Andre sparked a backlash after voicing opinions about nursery careInstead of doing research himself, Pete ranted that he thought it was an outrage that some nurseries couldnt stretch their funding to cover a government pledge to offer 30 hours of free childcare.</t>
  </si>
  <si>
    <t>Peter Andre</t>
  </si>
  <si>
    <t>Getty Image</t>
  </si>
  <si>
    <t>Pete</t>
  </si>
  <si>
    <t>The UNâ€™s deputy secretary general has accused President Donald Trump of â€œtreading waterâ€ over a decision on the future of the Paris climate change agreement, on which the fate of millions of people depend.</t>
  </si>
  <si>
    <t>UN</t>
  </si>
  <si>
    <t>Bossertâ€™s appointment also elevates a defender of the Iraq War, which Trump pilloried during his campaign for president as a mistake, to a senior White House position.</t>
  </si>
  <si>
    <t>Bossert</t>
  </si>
  <si>
    <t>Bossertâ€™</t>
  </si>
  <si>
    <t>Breitbart News recently reported that the leftist Silicon Valley â€œthought policeâ€ were attempting to retaliate against top venture capitalist Peter Thiel for following up his July speech in support of Trump at the Republican National Convention with a $1. 25 million campaign contribution.</t>
  </si>
  <si>
    <t>I donâ€™t think Ryan feels as productive as he wants to,â€ said Dave Fuchs, another supporter.</t>
  </si>
  <si>
    <t>Dave Fuchs</t>
  </si>
  <si>
    <t>Dave Fuch</t>
  </si>
  <si>
    <t>Said Moran: "If it were not for the strong support of the Jewish community for this war with Iraq we would not be doing this.</t>
  </si>
  <si>
    <t>Moran</t>
  </si>
  <si>
    <t>Said Moran</t>
  </si>
  <si>
    <t>Jewish</t>
  </si>
  <si>
    <t>In the wake of the Paris bloodbath, the attacks in San Bernardino, Calif. and Bamako, Mali, and murders elsewhere before and since, people desperately want to understand the root cause of all this violence.</t>
  </si>
  <si>
    <t>Paris</t>
  </si>
  <si>
    <t>ince</t>
  </si>
  <si>
    <t>San Bernardino</t>
  </si>
  <si>
    <t>understand</t>
  </si>
  <si>
    <t>Turkish officials have kept mum about whether they would support Syrian rebels in any attempt to move on Aleppo.</t>
  </si>
  <si>
    <t>Aleppo</t>
  </si>
  <si>
    <t>McConnell v. FEC, 540 U.S. 93, 182 (2003).Even Justice Kennedy, who voted to strike down the other restrictions on soft money, agreed that the ban on the solicitation of large soft money contributions by federal officeholders was constitutional.</t>
  </si>
  <si>
    <t>McConnell</t>
  </si>
  <si>
    <t>FEC</t>
  </si>
  <si>
    <t>Kennedy</t>
  </si>
  <si>
    <t>Because of the obvious national security implications of turning over control of large quantities of uranium to the Russian government, the deal required approval from Hillary Clintonâ€™s State Department before it could go forward.</t>
  </si>
  <si>
    <t xml:space="preserve">The Pulse shooting was a direct attack on Orlandoâ€™s LGBTQ community, which is consistently targeted by some politicians of faith who claim religious freedom when writing, lobbying for, and passing laws. </t>
  </si>
  <si>
    <t>Orlando</t>
  </si>
  <si>
    <t>Pulse</t>
  </si>
  <si>
    <t>Orlandoâ€™s LGBTQ</t>
  </si>
  <si>
    <t>Hollywood comedy guru Judd Apatow took on President Donald Trump, his wife Melania, and their son Barron over the weekend in an routine.</t>
  </si>
  <si>
    <t>Judd Apatow</t>
  </si>
  <si>
    <t>Hollywood</t>
  </si>
  <si>
    <t xml:space="preserve"> If you believed the Trouble Brewing beers sold at Walmart are truly craft beers, instead of beers produced at a large industrial brewery in Rochester, N. Y.</t>
  </si>
  <si>
    <t>Trouble Brewing</t>
  </si>
  <si>
    <t>Walmart</t>
  </si>
  <si>
    <t>Rochester</t>
  </si>
  <si>
    <t xml:space="preserve"> Judge Neil Gorsuch did not think much of the original line of attack that Democrats drew up to go after his nomination to the Supreme Court.</t>
  </si>
  <si>
    <t>Neil Gorsuch</t>
  </si>
  <si>
    <t>The Italian government is likely to put in around 6. 5 billion euros ($6. 8 billion) to rescue the countryâ€™s third biggest lender Monte dei Paschi di Siena, more than initially expected, sources close to the matter said on Tuesday.</t>
  </si>
  <si>
    <t>Italian</t>
  </si>
  <si>
    <t>Monte dei Paschi di Siena</t>
  </si>
  <si>
    <t>Siena</t>
  </si>
  <si>
    <t xml:space="preserve">After five decades of Graham Nashâ€™s voice is hard to mistake: Itâ€™s that light, airy tenor you hear in his work with The Hollies and Crosby, Stills </t>
  </si>
  <si>
    <t>Graham Nashâ€™s</t>
  </si>
  <si>
    <t>Crosby</t>
  </si>
  <si>
    <t>Crosby, Stills</t>
  </si>
  <si>
    <t>Stills</t>
  </si>
  <si>
    <t>Michelle Obama has had to contend with vile online attacks since her husband first ran for president, including a racist slur not long ago by a nonprofit official in West Virginia, Pamela Taylor, who referred to the first lady as an â€œape in heels.</t>
  </si>
  <si>
    <t>Michelle Obama</t>
  </si>
  <si>
    <t>Pamela Taylor</t>
  </si>
  <si>
    <t>West Virginia</t>
  </si>
  <si>
    <t>In response, Michael Gove, the former cabinet minister and leading Brexit campaigner, pressed for the UK to achieve a â€œquickie divorceâ€ with the EU regardless of the economic consequences, as he raised concerns that civil servants were overcomplicating the process.</t>
  </si>
  <si>
    <t>Michael Gove</t>
  </si>
  <si>
    <t>minister</t>
  </si>
  <si>
    <t>Jo Becker and Matthew Rosenberg report in the New York Times that President Trumpâ€™s and senior adviser Jared Kushner omitted mention of his meetings foreign government officials when he filed his security clearance paperwork.</t>
  </si>
  <si>
    <t>Jo Becker</t>
  </si>
  <si>
    <t>Matthew Rosenberg</t>
  </si>
  <si>
    <t>Jared Kushner</t>
  </si>
  <si>
    <t>My friend told me it all started when Abu Sayyaf and Maute terrorists filmed gunmen desecrating a Catholic church at the start of the 5-month old Marawi City siege.</t>
  </si>
  <si>
    <t>Abu Sayyaf</t>
  </si>
  <si>
    <t>Catholic</t>
  </si>
  <si>
    <t>Maute</t>
  </si>
  <si>
    <t>Some Muslim women there have said they support Modiâ€™s proposal, although they are less sure about him.</t>
  </si>
  <si>
    <t>Modi</t>
  </si>
  <si>
    <t>Modiâ€™</t>
  </si>
  <si>
    <t>The mainstream media are satisfied with NBC Newsâ€™ Lester Holtâ€™s performance as moderator at the first debate of the 2016 presidential contest between Hillary Clinton and Donald Trump.</t>
  </si>
  <si>
    <t>Lester Holt</t>
  </si>
  <si>
    <t>NBC New</t>
  </si>
  <si>
    <t xml:space="preserve"> Islamic State terror leaders are reportedly preparing for the fall of its caliphate after the U. S. coalition and forces made significant gains in recent months in Iraq and Syria.</t>
  </si>
  <si>
    <t>Sentance's response came after Bell requested Sentance provide to the board "a complete list, including names, titles, date of hire, current source of salary funding and salaries" of any hires in the Montgomery school intervention.</t>
  </si>
  <si>
    <t>Sentance</t>
  </si>
  <si>
    <t>Bell</t>
  </si>
  <si>
    <t>Montgomery</t>
  </si>
  <si>
    <t>To be fair, the CBO also said that the Republicans plan was not likely to lead to a market collapse either.</t>
  </si>
  <si>
    <t>CBO</t>
  </si>
  <si>
    <t>A top Microsoft executive partly blamed the US government for the WannaCry ransomware attack, saying hackers found a crucial Windows vulnerability in data that had been stockpiled by the NSA.</t>
  </si>
  <si>
    <t>Microsoft</t>
  </si>
  <si>
    <t>NSA</t>
  </si>
  <si>
    <t>Window</t>
  </si>
  <si>
    <t xml:space="preserve">And the answer is obvious: Trump told us itâ€™s about banning Muslims,â€ said Micah Schwartzman, a professor at the University of Virginia School of Law. </t>
  </si>
  <si>
    <t>Micah Schwartzman</t>
  </si>
  <si>
    <t>the University of Virginia School of Law</t>
  </si>
  <si>
    <t>Republican presidential nominee Donald Trump issued a statement Sunday commemorating the 53rd anniversary of Rev. Martin Luther Kingâ€™s historic march on Washington.</t>
  </si>
  <si>
    <t>Martin Luther King</t>
  </si>
  <si>
    <t>Martin Luther Kingâ€™</t>
  </si>
  <si>
    <t>Israel had interpreted the arrangement as giving it a relatively free hand to attack warehouses and shipments of advanced weapons destined for Hezbollah, the and Lebanese militant group.</t>
  </si>
  <si>
    <t>Hezbollah</t>
  </si>
  <si>
    <t>Lebanese</t>
  </si>
  <si>
    <t>El Motassadeq also signed the will of Mohammed Atta, the suspected ringleader of the Sept. attacks.</t>
  </si>
  <si>
    <t>El Motassadeq</t>
  </si>
  <si>
    <t>Mohammed Atta</t>
  </si>
  <si>
    <t>Sept.</t>
  </si>
  <si>
    <t>Zimbabwe were due to be the first test-playing nation to tour Pakistan since a 2009 gun attack on Sri Lankas team bus in Lahore left six Pakistani policemen and a van driver dead.</t>
  </si>
  <si>
    <t>Sri Lankas</t>
  </si>
  <si>
    <t>Pakistani</t>
  </si>
  <si>
    <t>Lahore</t>
  </si>
  <si>
    <t>The Unifor autoworkers' union chose GM as its strike target and is demanding the company commit to producing new vehicle models in its Oshawa, Ontario plant.</t>
  </si>
  <si>
    <t>Unifor</t>
  </si>
  <si>
    <t>GM</t>
  </si>
  <si>
    <t>Ontario</t>
  </si>
  <si>
    <t>Asked about the meeting, which was first reported by The New York Times, Kasich told reporters he doesnâ€™t know Bushâ€™s plans and whether he intends to endorse.</t>
  </si>
  <si>
    <t>Kasich</t>
  </si>
  <si>
    <t>The New York Time</t>
  </si>
  <si>
    <t>Bush</t>
  </si>
  <si>
    <t>Uber, for its part, tried to repair the damage by denouncing Trumpâ€™s ban, and a wide range of other corporations also made statements of protest â€” an unusually broad response that may speak to how immigrants contribute to U. S. innovation and industry.</t>
  </si>
  <si>
    <t>Uber</t>
  </si>
  <si>
    <t xml:space="preserve"> Usama bin Laden may have gotten the idea for the attacks after watching news coverage of the 1999 crash of EgyptAir Flight 990, in which a jihadist caused the airliner to nosedive into the Atlantic, according to a account from one of the terror chiefâ€™s top lieutenants.</t>
  </si>
  <si>
    <t>Usama bin Laden</t>
  </si>
  <si>
    <t>bin Laden</t>
  </si>
  <si>
    <t>jihadist</t>
  </si>
  <si>
    <t>Atlantic</t>
  </si>
  <si>
    <t>The City manager took full responsibility as Andy Carroll scored the first two goals of his Liverpool career since his 35m move from Newcastle United, yet afterwards the Italian guaranteed to lead the club into next season's Champions League and into the FA Cup Final at United's expense.</t>
  </si>
  <si>
    <t>Andy Carroll</t>
  </si>
  <si>
    <t>Newcastle United</t>
  </si>
  <si>
    <t>Trump touted the program during a Fox News town hall that was for Wednesday night but didnâ€™t air, responding to a question about how he would stem â€violence in the black community.</t>
  </si>
  <si>
    <t>Fox News</t>
  </si>
  <si>
    <t>nâ€™t</t>
  </si>
  <si>
    <t>about</t>
  </si>
  <si>
    <t>Well, thankfully Mr Trump, this isnâ€™t your America. â€</t>
  </si>
  <si>
    <t>Mr Trump</t>
  </si>
  <si>
    <t>Spanish oil major Repsol, which in 2006 had gas fields in Bolivia nationalized, has made rebalancing its portfolio toward the OECD a cornerstone of its strategy, prompting new ventures in the Gulf of Mexico, Alaska and Canada, a spokesman said.</t>
  </si>
  <si>
    <t>Spanish</t>
  </si>
  <si>
    <t>Repsol</t>
  </si>
  <si>
    <t>The Rapper revealed as headliners BOYS ON TOUR Busted 2019 UK tour - tickets, venues, set list and support act SPICE UP YOUR LIFE</t>
  </si>
  <si>
    <t>Rapper</t>
  </si>
  <si>
    <t>UK</t>
  </si>
  <si>
    <t>SPICE UP YOUR LIFE</t>
  </si>
  <si>
    <t>: This piece first appeared in the April 27, 1973, issue of National Review under the headline â€œIrene, Attila, and We.</t>
  </si>
  <si>
    <t>Irene</t>
  </si>
  <si>
    <t>headline</t>
  </si>
  <si>
    <t>Attila</t>
  </si>
  <si>
    <t>We</t>
  </si>
  <si>
    <t>In choosing Priebus, 44, Trump has tapped a Washington insider who is viewed as broadly acceptable by vast swaths of the Republican Party.</t>
  </si>
  <si>
    <t>the Republican Party</t>
  </si>
  <si>
    <t>These latest sex attacks against young European women by migrant males comes just days after Swedish police, mindful of the migrant sex attacks at the Stockholm music festival over the past two summers, launched a new â€œ</t>
  </si>
  <si>
    <t>Swedish police</t>
  </si>
  <si>
    <t>Swedish</t>
  </si>
  <si>
    <t xml:space="preserve"> Supreme Court Justice Ruth Bader Ginsburg said Thursday she regrets the critical comments she made about presumptive Republican presidential nominee Donald Trump, after facing a bipartisan backlash.</t>
  </si>
  <si>
    <t>Ruth Bader Ginsburg</t>
  </si>
  <si>
    <t>Supreme Court</t>
  </si>
  <si>
    <t>If recent misadventures ("Super" Committee, anyone?) in this governing genre are any guide, there's a good chance that somehow, the Bauer-Ginsburg commission will find a way to make voter lines 16 hours long and the voters standing in them will be constantly attacked by marauding mountain lions.</t>
  </si>
  <si>
    <t>them</t>
  </si>
  <si>
    <t>Super" Committee</t>
  </si>
  <si>
    <t>Bauer-Ginsburg</t>
  </si>
  <si>
    <t>Dallas Police Chief David Brown said Friday that an attacker told authorities â€œhe was upset about the recent police shootingsâ€ and â€œwanted to kill white people, especially white officers,â€ and the Facebook page of Micah Johnson seems to confirm that race relations were on his mind.</t>
  </si>
  <si>
    <t>David Brown</t>
  </si>
  <si>
    <t>Micah Johnson</t>
  </si>
  <si>
    <t xml:space="preserve">Sunday on CBSâ€™s â€œFace the Nation,â€ Republican presidential candidate Donald Trump argued a lot of Democrats would cross over to support him in a general election. </t>
  </si>
  <si>
    <t>The future of Oâ€™Reillyâ€™s long career at Fox News may hinge on a accusation raised by a woman named Wendy Walsh, who has alleged that Oâ€™Reilly propositioned her in a Los Angeles hotel in 2013, then retaliated against her when she rebuffed him.</t>
  </si>
  <si>
    <t>Oâ€™Reilly</t>
  </si>
  <si>
    <t>Wendy Walsh</t>
  </si>
  <si>
    <t xml:space="preserve">Maurice White â€” the prolific songwriter, singer, producer, arranger, bandleader, organizer and conceptualist at the helm of act Earth, Wind Fire who transitioned on Thursday at 74 after a struggle with Parkinsonâ€™s Disease </t>
  </si>
  <si>
    <t>Maurice White</t>
  </si>
  <si>
    <t>bandleader</t>
  </si>
  <si>
    <t>Earth, Wind Fire</t>
  </si>
  <si>
    <t>after</t>
  </si>
  <si>
    <t>The Bishop of Grantham, Nicholas Chamberlain, has become the first Church of England Bishop to publicly announce that he is gay and in a relationship.</t>
  </si>
  <si>
    <t>Nicholas Chamberlain</t>
  </si>
  <si>
    <t>Church of England</t>
  </si>
  <si>
    <t>the first Church of England Bishop</t>
  </si>
  <si>
    <t>Nearly every Democratic Senator and over 80 percent of House Democrats support expanding, not cutting, Social Security.</t>
  </si>
  <si>
    <t>Democratic Senator</t>
  </si>
  <si>
    <t>Social Security</t>
  </si>
  <si>
    <t>Mushtaq Sukhera, inspector general of police in Punjab, said five police officers were among the dead when an explosion rocked a protest organised by Pakistan's chemists and pharmaceuticals manufacturers."It was a suicide attack.</t>
  </si>
  <si>
    <t>Mushtaq Sukhera</t>
  </si>
  <si>
    <t>Punjab</t>
  </si>
  <si>
    <t xml:space="preserve"> Just over a year ago, Allegiant Air pilot Jason Kinzer was sitting in the cockpit of a McDonnell Douglas aircraft bound for Hagerstown, Md. having just taken off from St. Petersburg,</t>
  </si>
  <si>
    <t>Allegiant Air</t>
  </si>
  <si>
    <t>McDonnell Douglas</t>
  </si>
  <si>
    <t>Jason Kinzer</t>
  </si>
  <si>
    <t>St. Petersburg</t>
  </si>
  <si>
    <t>In Nevada, the Republican candidate for Senate, Representative Joe Heck, withdrew his support from Mr. Trump over the weekend, and is facing a furious backlash.</t>
  </si>
  <si>
    <t>Joe Heck</t>
  </si>
  <si>
    <t xml:space="preserve"> There was a mass shooting in Hesston, Kansas.</t>
  </si>
  <si>
    <t>Hesston</t>
  </si>
  <si>
    <t>Kansas</t>
  </si>
  <si>
    <t>Kansa</t>
  </si>
  <si>
    <t>Le Monde and BFM television reported Thursday that a fifth attacker may also be at large: a man filmed by surveillance cameras in the Brussels metro on Tuesday carrying a large bag alongside Khalid El Bakraoui.</t>
  </si>
  <si>
    <t>BFM</t>
  </si>
  <si>
    <t>Khalid El Bakraoui</t>
  </si>
  <si>
    <t>Drogba is set to be presented to a full compliment of fans on Sunday, when Phoenix play Swope Park Rangers - he is not likely to play.</t>
  </si>
  <si>
    <t>Drogba</t>
  </si>
  <si>
    <t>Phoenix</t>
  </si>
  <si>
    <t>Swope Park Rangers -</t>
  </si>
  <si>
    <t>The French film icon Brigitte Bardot has urged her fellow countrymen not to vote for Emmanuel Macron in France</t>
  </si>
  <si>
    <t>Brigitte Bardot</t>
  </si>
  <si>
    <t>Emmanuel Macron</t>
  </si>
  <si>
    <t>France</t>
  </si>
  <si>
    <t>Trump would most likely focus on weapons systems already in development or production, instead of starting new ones, said Mackenzie Eaglen, a defense analyst with the American Enterprise Institute, which would be good news for programs such as the Joint Strike Fighter, the Joint Light Tactical Vehicle, the Littoral Combat Ship as well as building new aircraft carriers.</t>
  </si>
  <si>
    <t>Mackenzie Eaglen</t>
  </si>
  <si>
    <t>the Joint Light Tactical Vehicle</t>
  </si>
  <si>
    <t>Medrano, who has been responsible for strengthening overall coordination among UN entities and mobilizing a coherent and effective response by the international community, recalled that in the 1990s there had been an outbreak of cholera in the Latin American region that started in Peru.</t>
  </si>
  <si>
    <t>Medrano</t>
  </si>
  <si>
    <t>Latin American</t>
  </si>
  <si>
    <t>Last year, a University of Montana football player was awarded $245, 000 after he was expelled for sexual misconduct in a case highlighted in Jon Krakauerâ€™s 2015 book â€œMissoula.</t>
  </si>
  <si>
    <t>University of Montana</t>
  </si>
  <si>
    <t>Jon Krakauerâ€™s</t>
  </si>
  <si>
    <t>Jon Krakauerâ€™</t>
  </si>
  <si>
    <t>The Futurist.As a result, Digital Domain never held its planned initial public offering.I had begun to dislike the dynamic, Cameron told Keegan.</t>
  </si>
  <si>
    <t>Cameron</t>
  </si>
  <si>
    <t>Digital Domain</t>
  </si>
  <si>
    <t>Keegan</t>
  </si>
  <si>
    <t>All the more ironic then that this study of family and race in Tower Hamlets, The New East End, comes out of the heart of the left - from the foundation set up by the social pioneer Michael Young and recently relaunched by the former Blair adviser Geoff Mulgan.</t>
  </si>
  <si>
    <t>Michael Young</t>
  </si>
  <si>
    <t>Blair</t>
  </si>
  <si>
    <t>Geoff Mulgan</t>
  </si>
  <si>
    <t>The leaders of the Democratic party, especially Senator Chuck Schumer, need to think a little more deeply about the precedent they are setting with their and purely partisan opposition to virtually all of President Donald Trumpâ€™s remaining Cabinet choices.</t>
  </si>
  <si>
    <t>Chuck Schumer</t>
  </si>
  <si>
    <t>Cabinet</t>
  </si>
  <si>
    <t>They protest, picket and sing to defend Maoâ€™s memory, yearning for the East to be red again.</t>
  </si>
  <si>
    <t>They</t>
  </si>
  <si>
    <t>yearning</t>
  </si>
  <si>
    <t>Mao</t>
  </si>
  <si>
    <t>again</t>
  </si>
  <si>
    <t xml:space="preserve">Madrid, Spain (CNN) President Barack Obama and former President George W. Bush on Tuesday will speak at an interfaith memorial service in Dallas for five police officers slain late last week, as well as meet with the victimsâ€™ families. </t>
  </si>
  <si>
    <t>We'll explain below how one of the world's greatest distance runners, an 85-year-old Catholic nun triathlete, cryotherapy, and a strange anxiety-reducing headset have contributed to Robbins' seemingly limitless energy.</t>
  </si>
  <si>
    <t>Robbins</t>
  </si>
  <si>
    <t>Robbin</t>
  </si>
  <si>
    <t>A former Obama Administration official responsible for the detention of illegal immigrants said President Donald Trump and Department of Homeland Security (DHS)</t>
  </si>
  <si>
    <t>Administration</t>
  </si>
  <si>
    <t>Obama Administration</t>
  </si>
  <si>
    <t>DHS</t>
  </si>
  <si>
    <t>Ontario, Alberta and Quebec, which together account for well over half of Canada's population, posted the largest declines.</t>
  </si>
  <si>
    <t>Alberta</t>
  </si>
  <si>
    <t>Quebec</t>
  </si>
  <si>
    <t>Bush, in response to a question from South Carolina Sen. Lindsey Graham, said his life had already begun to change as a result of his nomination."I've</t>
  </si>
  <si>
    <t>South Carolina</t>
  </si>
  <si>
    <t>Larry Hammond, a Phoenix defense attorney and former Watergate prosecutor, praised Bolick to the Arizona Republic:</t>
  </si>
  <si>
    <t>Larry Hammond</t>
  </si>
  <si>
    <t>Bolick</t>
  </si>
  <si>
    <t>the Arizona Republic</t>
  </si>
  <si>
    <t>The last time Arsenal played a competitive match without Wenger in charge was in September 1996, when Pat Rice was caretaker for a 2-0 Premier League win over Sunderland.</t>
  </si>
  <si>
    <t>Wenger</t>
  </si>
  <si>
    <t>Pat Rice</t>
  </si>
  <si>
    <t>Premier League</t>
  </si>
  <si>
    <t>I am, and by the way the United States was founded on dissent, contrariness, critical thinking; if not for independent thought, we might still be carrying water for the Brits.A barn on the road to Clinton, Iowa, decorated with American Gothic by Grant Wood.</t>
  </si>
  <si>
    <t>Brits</t>
  </si>
  <si>
    <t>American Gothic</t>
  </si>
  <si>
    <t>Grant Wood</t>
  </si>
  <si>
    <t>Azarenka will play either number 16 seed Elena Vesnina in the round of 16 after the Russian beat Roberta Vinci from Italy 4-6, 7-6 (7-4), 6-4.In other action on Saturday, former world number one Caroline Wozniacki progressed to the fourth round with a 6-4, 6-3 win over Ukrainian Lesia Tsurenko.</t>
  </si>
  <si>
    <t>Azarenka</t>
  </si>
  <si>
    <t>Elena Vesnina</t>
  </si>
  <si>
    <t>The refunds are a sign Adelson is not yet willing to publicly commit to supporting Rubio's White House bid.</t>
  </si>
  <si>
    <t>Adelson</t>
  </si>
  <si>
    <t xml:space="preserve">The Islamic State recently released a video featuring Uighur terrorists who vowed to return home to conduct terrorist attacks there. </t>
  </si>
  <si>
    <t>The Islamic State</t>
  </si>
  <si>
    <t>Uighur</t>
  </si>
  <si>
    <t>The whole world knows Christians are being slaughtered in the Middle East,â€ said Rep. Dana Rohrabacher, a California Republican and frequent critic of the Obama Administration.</t>
  </si>
  <si>
    <t>Dana Rohrabacher</t>
  </si>
  <si>
    <t>the Middle East</t>
  </si>
  <si>
    <t>gear."I really cant see that thats an appropriate or reasonable response," Arthur Reingold, Head of Epidemiology at the University of California, Berkeley, told The Huffington Post.</t>
  </si>
  <si>
    <t>Arthur Reingold</t>
  </si>
  <si>
    <t>the University of California, Berkeley</t>
  </si>
  <si>
    <t>The Huffington Post</t>
  </si>
  <si>
    <t>Trumpâ€™s Supporters, The False Priests.</t>
  </si>
  <si>
    <t>The False Priest</t>
  </si>
  <si>
    <t xml:space="preserve">Sunday on CNNâ€™s â€œState of the Union,â€ House Minority Leader Nancy Pelosi ( ) passed blame on to the press for giving attention to revelations uncovered by WikiLeaks, which made public emails by top Clinton aide John Podesta and the Democratic National Committee. </t>
  </si>
  <si>
    <t>Nancy Pelosi</t>
  </si>
  <si>
    <t>So, if Georgia has an ulterior motive behind the approval of Trumpâ€™s property in Batumi, it would be to keep Russia at bay and maintain the status quo in the region.</t>
  </si>
  <si>
    <t>Former "Sex and the City" star Cynthia Nixon was named best guest actress in a drama for her chilling role as a mother with multiple personalities accused of killing her daughters on NBC's "Law &amp; Order: Special Victims Unit.</t>
  </si>
  <si>
    <t>Cynthia Nixon</t>
  </si>
  <si>
    <t>NBC</t>
  </si>
  <si>
    <t>Special Victims Unit</t>
  </si>
  <si>
    <t>The 23 Meiji period (1868-1912) sites include coalmines and shipyards that Japan says contributed to its transformation from feudalism into a successful modern economy.</t>
  </si>
  <si>
    <t>Japan</t>
  </si>
  <si>
    <t>Meiji</t>
  </si>
  <si>
    <t>Hillary Clinton will be â€œreal transparentâ€ with Americans after learning lessons from the controversy over her use of a private email server,</t>
  </si>
  <si>
    <t>R-Fla.) introduced the Recognizing Americas Children, or RAC, Act with support from 18 fellow Republicans.</t>
  </si>
  <si>
    <t>R</t>
  </si>
  <si>
    <t>the Recognizing Americas Children</t>
  </si>
  <si>
    <t>RAC</t>
  </si>
  <si>
    <t>Carson, a conservative who briefly led opinion polls among Republicans earlier in the campaign, said he did not â€see a political path forwardâ€ after performing poorly in this weekâ€™s Super Tuesday nominating contests.</t>
  </si>
  <si>
    <t>Carson</t>
  </si>
  <si>
    <t>â€™s Super</t>
  </si>
  <si>
    <t xml:space="preserve">The 72nd anniversary of the end of the European War â€” well known as â€˜VE Dayâ€™ in Britain and the United States </t>
  </si>
  <si>
    <t>In the Rose Garden last week President Trump and the House Republican leadership celebrated their vote to repeal and replace the Affordable Care Act as though it had actually repealed and replaced the 2010 law colloquially known as Obamacare.</t>
  </si>
  <si>
    <t xml:space="preserve">There wonâ€™t be any long goodbyes for President Obama after Donald Trumpâ€™s inauguration on Friday </t>
  </si>
  <si>
    <t>The New York tabloid endorsed Sandersâ€™ rival, Hillary Clinton, in a Wednesday editorial.</t>
  </si>
  <si>
    <t>When news broke Friday that the FBI had discovered emails that might be pertinent to its investigation of Democratic presidential candidate Hillary Clinton, stock prices suddenly took a tumble.</t>
  </si>
  <si>
    <t xml:space="preserve"> The central premise of Bernie Sandersâ€™s presidential bid is that heâ€™ll spark a â€political revolutionâ€ in America. </t>
  </si>
  <si>
    <t>Bernie Sandersâ€™s</t>
  </si>
  <si>
    <t>Bernie Sandersâ€™</t>
  </si>
  <si>
    <t>From the start, Klinsmann, 52, was a polarizing figure as the United States coach, attracting both praise and disdain from fans throughout his tenure.</t>
  </si>
  <si>
    <t>Klinsmann</t>
  </si>
  <si>
    <t>United States</t>
  </si>
  <si>
    <t>Britain will support Zimbabwe to get on to an interim IMF staff program to help the country quickly clear its foreign arrears, Britains ambassador in Harare said on Tuesday,</t>
  </si>
  <si>
    <t>IMF</t>
  </si>
  <si>
    <t>Britains ambassador</t>
  </si>
  <si>
    <t>Harare</t>
  </si>
  <si>
    <t>For more than 30 years, conservative evangelical Christians have been tied to the Republican Party.</t>
  </si>
  <si>
    <t>Christian</t>
  </si>
  <si>
    <t>filled."Yesterday, two US defense officials told CNN that the Russians are already planning their next move: a ground offensive to help government forces beat back rebels between Homs and Idlib.</t>
  </si>
  <si>
    <t>Russians</t>
  </si>
  <si>
    <t xml:space="preserve">The line between city and suburb has already started to blur, Fadi Masoud, an urban planning professor at the University of Toronto who contributed to a forthcoming book called â€Infinite Suburbiaâ€ told Business Insiderâ€™â€™s Leanna Garfield. </t>
  </si>
  <si>
    <t>Fadi Masoud</t>
  </si>
  <si>
    <t>Leanna Garfield</t>
  </si>
  <si>
    <t>Business Insiderâ€™â€™s Leanna Garfield</t>
  </si>
  <si>
    <t>Bird and wildlife watching contributed $3.1 billion to Floridas economy in 2006, the UFSWS study shows.</t>
  </si>
  <si>
    <t>Floridas</t>
  </si>
  <si>
    <t>UFSWS</t>
  </si>
  <si>
    <t xml:space="preserve"> Itâ€™s official: Senate Democrats are going to try to filibuster Neil Gorsuchâ€™s nomination to the Supreme Court. </t>
  </si>
  <si>
    <t>Neil Gorsuchâ€™</t>
  </si>
  <si>
    <t>Neil Gorsuchâ€™s</t>
  </si>
  <si>
    <t>the Supreme Court</t>
  </si>
  <si>
    <t>So the Senate will hold its cloture vote on Thursday and it will fail, a temporary victory for the Democratsâ€™ filibuster.</t>
  </si>
  <si>
    <t>Gold Coast's Campbell Brown can accept a three-game ban for unreasonable contact with his boot to the face of Melbourne's James Strauss during Saturday night's game at Carrara.</t>
  </si>
  <si>
    <t>Campbell Brown</t>
  </si>
  <si>
    <t>Melbourne</t>
  </si>
  <si>
    <t>James Strauss</t>
  </si>
  <si>
    <t>Carrara</t>
  </si>
  <si>
    <t xml:space="preserve"> Adidas has been testing a store where shoppers can design a sweater, have a body scan to determine fit and get it knitted by a machine within hours, as the German company looks at ways to respond more quickly to customer demands. </t>
  </si>
  <si>
    <t>Adidas</t>
  </si>
  <si>
    <t>Adida</t>
  </si>
  <si>
    <t>Nonetheless, Suprun said, he was willing to vote for Trump in the electoral college until the candidate claimed with no evidence that millions of Clinton supporters voted illegally.</t>
  </si>
  <si>
    <t>Suprun</t>
  </si>
  <si>
    <t>Currently, the North American Free Trade Agreement (NAFTA) between the US, Canada and Mexico is the world's largest free-trade area, producing $US17 trillion worth of goods and services.</t>
  </si>
  <si>
    <t>the North American Free Trade Agreement</t>
  </si>
  <si>
    <t>Last month, Adm. Michael Rogers, head of the National Security Agency and U.S. Cyber Command, told the Senate Armed Services Committee that Trump had not given him any authority to take action against Russian cyber attacks.</t>
  </si>
  <si>
    <t>Michael Rogers</t>
  </si>
  <si>
    <t>the Senate Armed Services Committee</t>
  </si>
  <si>
    <t>Jordon is charged with GBH and common assault.News Group Newspapers Ltd 3 Andy Potts, 67, says Emmerdale's Mark Jordon bit him on his face and handsNews Group Newspapers Ltd 3 Potts says the actor chomped on his face, thumb and handMOST READ IN</t>
  </si>
  <si>
    <t>Jordon</t>
  </si>
  <si>
    <t>Andy Potts</t>
  </si>
  <si>
    <t>Group Newspapers Ltd 3</t>
  </si>
  <si>
    <t>For the millions of Americans who have gained health coverage since 2010, itâ€™s safe to assume that their idea of fixing Obamacare does not involve ripping away their own health care coverage without a responsible alternative in place,â€ wrote Kasich.</t>
  </si>
  <si>
    <t xml:space="preserve">Borussia Dortmundâ€™s chief executive has confirmed that the Olympic sprint champion Usain Bolt will train with the Bundesliga team. </t>
  </si>
  <si>
    <t>Borussia Dortmundâ€™s</t>
  </si>
  <si>
    <t>Borussia Dortmundâ€™</t>
  </si>
  <si>
    <t>Usain Bolt</t>
  </si>
  <si>
    <t>U. S. Army soldier Chelsea Manning, imprisoned for leaking classified documents, has tweeted a message confirming her health and safety following a suicide attempt.</t>
  </si>
  <si>
    <t>U. S. Army</t>
  </si>
  <si>
    <t>imprisoned</t>
  </si>
  <si>
    <t>leaking</t>
  </si>
  <si>
    <t>It was reported in The Observer that Morrison was recently invited to a meeting with the agent, Mark Curtis, to see if he wanted to become one of his clients and that pressure has been placed on him by Allardyce and West Ham's captain, Kevin Nolan, to accept the offer.</t>
  </si>
  <si>
    <t>Morrison</t>
  </si>
  <si>
    <t>Mark Curtis</t>
  </si>
  <si>
    <t>West Ham</t>
  </si>
  <si>
    <t>Obamacare 2. 0 will be labeled as â€œTrumpcare,â€ and Democrats and their media allies will highlight every hard case to attack Republicans for hurting the poor and elderly.</t>
  </si>
  <si>
    <t>Obamacare 2</t>
  </si>
  <si>
    <t>Democrats are paying tribute to the victims of the June attack on a gay nightclub in Orlando, Florida, and the 2012 shootings at Sandy Hook Elementary School in Connecticut.</t>
  </si>
  <si>
    <t>Connecticut</t>
  </si>
  <si>
    <t>In February, Manhattan Supreme Court Justice Carol Huff voided the parole board's determination and ordered a new hearing, saying the board failed to identify factors justifying its determination other than the seriousness of Kozlowski's crimes.</t>
  </si>
  <si>
    <t>Carol Huff</t>
  </si>
  <si>
    <t>Manhattan Supreme Court</t>
  </si>
  <si>
    <t>Kozlowski</t>
  </si>
  <si>
    <t xml:space="preserve"> Billionaire investor Carl Icahn turned down an invitation to join Republican presidential candidate Donald Trump</t>
  </si>
  <si>
    <t>Carl Icahn</t>
  </si>
  <si>
    <t>Vladimir Zhirinovsky, the head of the nationalist party LDPR, called the reports an â€œattempt ahead of time to cause a quarrel between the new president of the United Statesâ€ and Russia, arguing no one in Russia could have thought in 2013 to collect compromising material on Trump.</t>
  </si>
  <si>
    <t>Vladimir Zhirinovsky</t>
  </si>
  <si>
    <t>LDPR</t>
  </si>
  <si>
    <t>While Thompson isn't endorsing any Republican candidate for president yet, he said he's been approached by some of them.</t>
  </si>
  <si>
    <t>Thompson</t>
  </si>
  <si>
    <t>The installation, Kurt Schwitters Merz Barn wall, can now be viewed at the citys Hatton Gallery, but the original barn still stands in Elterwater.</t>
  </si>
  <si>
    <t>Kurt Schwitters Merz Barn</t>
  </si>
  <si>
    <t>Kurt Schwitters</t>
  </si>
  <si>
    <t>Hatton Gallery</t>
  </si>
  <si>
    <t>A white Tulsa, Oklahoma officer charged in the shooting death of an unarmed black motorist last year said race was not a factor in her decision to open fire.</t>
  </si>
  <si>
    <t>Tulsa</t>
  </si>
  <si>
    <t>charged</t>
  </si>
  <si>
    <t>the</t>
  </si>
  <si>
    <t xml:space="preserve">Democrats lost to Donald Trump because they were unable to capitalize sufficiently on his political weaknesses â€” lying, bigotry, bankruptcies, allegations of serial sexual assault </t>
  </si>
  <si>
    <t>Bianchi is a member of the Ferrari young driver academyMarussia driver Jules Bianchi's condition is "critical but stable" following his crash in the Japanese GP, world motorsport's governing body the FIA has told BBC Sport.</t>
  </si>
  <si>
    <t>Bianchi</t>
  </si>
  <si>
    <t>GP</t>
  </si>
  <si>
    <t>Jules Bianchi</t>
  </si>
  <si>
    <t>FIA</t>
  </si>
  <si>
    <t>Twenty years after Arundhati Roy won the 1997 Booker prize for her debut novel The God of Small Things, the Indian novelist</t>
  </si>
  <si>
    <t>Arundhati Roy</t>
  </si>
  <si>
    <t>Indian</t>
  </si>
  <si>
    <t>Booker</t>
  </si>
  <si>
    <t>During the 1978-79 season, four of Boston Colleges top players were paid $2500 apiece by gamblers for each game the Eagles failed to cover the point spread; the scheme, engineered in part by Henry Hill of Goodfellas fame, earned one of the players, Rick Kuhn, a 10-year prison sentence for sports racketeering.</t>
  </si>
  <si>
    <t>Henry Hill</t>
  </si>
  <si>
    <t>Goodfella</t>
  </si>
  <si>
    <t>Rick Kuhn</t>
  </si>
  <si>
    <t>Dr. Pea clearly states why the City of Los Angeles has not met the "Fair Standard", "The minimal impact threshold has not been met and the current IS and MND fails to adequately identify the full range of significant impacts emanating from the Industrial Project and further fails to mitigate those impacts to below significance.</t>
  </si>
  <si>
    <t>Pea</t>
  </si>
  <si>
    <t>the City of Los Angele</t>
  </si>
  <si>
    <t>the Industrial Project</t>
  </si>
  <si>
    <t>MND</t>
  </si>
  <si>
    <t>(Editorâ€™s note: Both major presidential candidates this year are Protestants.</t>
  </si>
  <si>
    <t>Protestants</t>
  </si>
  <si>
    <t>Editorâ€™</t>
  </si>
  <si>
    <t>Protestant</t>
  </si>
  <si>
    <t>Millwalls centre-back Jake Cooper is believed to be his next target, with Gerrard full of praise for a Rangers board not short on critics.They have been superb, he said.</t>
  </si>
  <si>
    <t>Jake Cooper</t>
  </si>
  <si>
    <t>Millwall</t>
  </si>
  <si>
    <t>Gerrard</t>
  </si>
  <si>
    <t>The England man was at fault for Braga's second when he was turned far too easily by Eder, who provided Alan with the easiest of finishes.</t>
  </si>
  <si>
    <t>Braga</t>
  </si>
  <si>
    <t>Eder</t>
  </si>
  <si>
    <t>Alan</t>
  </si>
  <si>
    <t>Elite Turkish police arrested several people Thursday during fresh raids over the nightclub attack that killed 39, as authorities tightened Turkeyâ€™s borders to prevent the fugitive killer from escaping.</t>
  </si>
  <si>
    <t>Turkish police</t>
  </si>
  <si>
    <t>Turkey</t>
  </si>
  <si>
    <t xml:space="preserve"> An autopsy conducted on an American tourist brutally killed in the Caribbean island of Grenada over the weekend revealed Tuesday that an extensive skull fracture and asphyxia were the causes of death, according to local media.</t>
  </si>
  <si>
    <t>Grenada</t>
  </si>
  <si>
    <t>Caribbean</t>
  </si>
  <si>
    <t>After releasing some data this weekend about the way people use Airbnb in its hometown of San Francisco, the company has vowed to crack down on listings that violate the cityâ€™s rental regulations.</t>
  </si>
  <si>
    <t>Airbnb</t>
  </si>
  <si>
    <t>crack</t>
  </si>
  <si>
    <t>violate</t>
  </si>
  <si>
    <t>Hugh Hefner is being sued by a model, who at one time accused Bill Cosby of sexually abusing her, suggesting the Playboy icon and founder was an enabler of Cosbyâ€™s behavior with her and other women.</t>
  </si>
  <si>
    <t>Hugh Hefner</t>
  </si>
  <si>
    <t>Bill Cosby</t>
  </si>
  <si>
    <t>Cosbyâ€™</t>
  </si>
  <si>
    <t>His third marriage, also to a commoner, Srirasmi Suwadee, in 2001, produced the boy who is considered the next heir to the throne, Prince Dipangkorn Rasmijoti, 11, who lives in Bavaria with his father.</t>
  </si>
  <si>
    <t>Srirasmi Suwadee</t>
  </si>
  <si>
    <t>Dipangkorn Rasmijoti</t>
  </si>
  <si>
    <t>Bavaria</t>
  </si>
  <si>
    <t>Gereb's litigation became a rallying point for Hungarians seeking to accept home births as a regulated method of delivery.</t>
  </si>
  <si>
    <t>Gereb</t>
  </si>
  <si>
    <t>Hungarians</t>
  </si>
  <si>
    <t>Hungarian</t>
  </si>
  <si>
    <t xml:space="preserve"> Justin Nojan Sullivan pled guilty on Tuesday morning to a chilling terrorist plot in which he planned to use a silenced gun to murder hundreds of people in Virginia and North Carolina on behalf of the Islamic State.</t>
  </si>
  <si>
    <t>Justin Nojan Sullivan</t>
  </si>
  <si>
    <t>s rules, as well as violating the law, Tencent said in its own Weibo post on Friday.Making mistakes can be forgiven, but how can breaking the law be tolerated?</t>
  </si>
  <si>
    <t>Tencent</t>
  </si>
  <si>
    <t>Weibo</t>
  </si>
  <si>
    <t>Friday.Making</t>
  </si>
  <si>
    <t>And last yearâ€™s winner for best supporting actor, Mark Rylance, briefly pondered how actors and filmmakers might work to unite Americans.</t>
  </si>
  <si>
    <t>Mark Rylance</t>
  </si>
  <si>
    <t xml:space="preserve">Gingrich, the former House speaker, was critical of Trump but also laid out a hypothesis for the campaign against Hillary Clinton on stage at the Aspen Ideas Festival in Colorado on Saturday. </t>
  </si>
  <si>
    <t>Gingrich</t>
  </si>
  <si>
    <t>An investigation into possible collusion between Donald Trumpâ€™s associates and Moscow had been under way for more than three months at the time of the US election and is continuing.</t>
  </si>
  <si>
    <t>Although Bernie Sanders failed to win the Democratic presidential nomination, the Vermont senatorâ€™s campaign did succeed in mobilizing thousands of progressive activists.</t>
  </si>
  <si>
    <t>Vermont</t>
  </si>
  <si>
    <t>Isisâ€™s claims of responsibility for the killings by the Normandy and Nice â€œsoldiersâ€ further heightens a growing sense of helplessness and despair, especially among the young people in France I talk to, as to whether or not any direct connection to Isis even matters for its murderous contagion to spread.</t>
  </si>
  <si>
    <t>Isis</t>
  </si>
  <si>
    <t>Isisâ€™</t>
  </si>
  <si>
    <t>Normandy</t>
  </si>
  <si>
    <t>Just a few miles down the road, at GOP candidate Bob Grayâ€™s results party, voters seemed much more passionate about Trump and his agenda.</t>
  </si>
  <si>
    <t>Bob Gray</t>
  </si>
  <si>
    <t xml:space="preserve">Senator Charles Grassley, an Iowa Republican, praised Obamaâ€™s remarks on Twitter, writing â€even conservatives would applaud it.â€ </t>
  </si>
  <si>
    <t>Charles Grassley</t>
  </si>
  <si>
    <t>Mondo Mondo, a repertory series of films running at New Yorkâ€™s Anthology Film Archives from July, serves up a platter of grotesque, chewy and challenging work that one would be to label as â€œentertainmentâ€ in any conventional sense.</t>
  </si>
  <si>
    <t>New Yorkâ€™s Anthology Film Archives</t>
  </si>
  <si>
    <t>Mondo Mondo</t>
  </si>
  <si>
    <t>New Yorkâ€™</t>
  </si>
  <si>
    <t>Seth Klarman is worried about what the election of President Donald Trump means for global markets.</t>
  </si>
  <si>
    <t>Seth Klarman</t>
  </si>
  <si>
    <t>global</t>
  </si>
  <si>
    <t>In 1970, Eric Claptonâ€™s drummer, Jim Gordon, composed a gorgeous progression on the piano, and played it for a woman he was dating, singer Rita Coolidge.</t>
  </si>
  <si>
    <t>Eric Claptonâ€™s</t>
  </si>
  <si>
    <t>Eric Claptonâ€™</t>
  </si>
  <si>
    <t>Jim Gordon</t>
  </si>
  <si>
    <t>In 2006, when the book was published, Anicic along with his friend Charlie Dall, 73, of Fontana, held an open house to mark its release."That's when all this other stuff started showing up," Anicic said, motioning to the walls, shelves and display cases in the Kaiser Steel Museum in Rancho Cucamonga.</t>
  </si>
  <si>
    <t>Anicic</t>
  </si>
  <si>
    <t>Charlie Dall</t>
  </si>
  <si>
    <t>Fontana</t>
  </si>
  <si>
    <t>Itâ€™s also informed a primary in which Clinton and Sanders often spend debates trading, respectively, granular policy proposals and progressive indictments of problems in the United States.</t>
  </si>
  <si>
    <t xml:space="preserve"> Mexico recaptured the worldâ€™s most notorious drug lord Joaquin â€El Chapoâ€ Guzman with U. S. help in a violent standoff on Friday, six months after he humiliated President Enrique Pena Nieto with a escape from a maximum security prison.</t>
  </si>
  <si>
    <t>Joaquin â€El Chapoâ€ Guzman</t>
  </si>
  <si>
    <t>Joaquin â€</t>
  </si>
  <si>
    <t>Enrique Pena Nieto</t>
  </si>
  <si>
    <t>But North Korea is not a very trusting state, so its leaders may not issue a NOTAM for fear the U. S. or South Korea might strike the missile before it launches.</t>
  </si>
  <si>
    <t>North Korea</t>
  </si>
  <si>
    <t>the U. S.</t>
  </si>
  <si>
    <t>NOTAM</t>
  </si>
  <si>
    <t>Alex Burns of the New York Times lists five Republican figures that the party might nominate at a contested convention and the rationale behind each one.</t>
  </si>
  <si>
    <t>Alex Burns</t>
  </si>
  <si>
    <t>Alex Burn</t>
  </si>
  <si>
    <t>Washington state asked a federal judge Thursday to block President Donald Trumpâ€™s new travel ban, claiming that White House officials have admitted â€current motivations are no different than the first time around.</t>
  </si>
  <si>
    <t>federal</t>
  </si>
  <si>
    <t>ban</t>
  </si>
  <si>
    <t>Amnesty advocates say federal agencies have begun to enforce the nationâ€™s immigration laws, prompting defiance among activists and alarm among some of the estimated 11 million illegal immigrants in the United States.</t>
  </si>
  <si>
    <t>Amnesty</t>
  </si>
  <si>
    <t>After spending months attacking Donald Trump at every opportunity, Dallas Maverickâ€™s owner and billionaire businessman Mark Cuban was spotted meeting with White House strategist Stephen Bannon on Tuesday.</t>
  </si>
  <si>
    <t>Dallas Maverickâ€™</t>
  </si>
  <si>
    <t>Mark Cuban</t>
  </si>
  <si>
    <t>Stephen Bannon</t>
  </si>
  <si>
    <t xml:space="preserve"> The United States has seen increased activity around a North Korean missile site, suggesting preparations for a possible space launch in the near future, U. S. officials told Reuters on Thursday. </t>
  </si>
  <si>
    <t>North Korean</t>
  </si>
  <si>
    <t>When Shannon Harmon moved to the United Kingdom from Chicago, she did not plan to put down roots.</t>
  </si>
  <si>
    <t>Shannon Harmon</t>
  </si>
  <si>
    <t>did</t>
  </si>
  <si>
    <t>plan</t>
  </si>
  <si>
    <t>The same could be said for the clause referring to "economic wellbeing".Arguably, GCHQ's responsibilities have broadened even further over the past decade: it has become the UK's lead agency for cyber-security  identifying the hackers, criminal gangs and state actors who are stealing ideas, information and blueprints from British firms.</t>
  </si>
  <si>
    <t>GCHQ</t>
  </si>
  <si>
    <t>wellbeing".Arguably</t>
  </si>
  <si>
    <t>The head of Germanyâ€™s domestic intelligence agency (BfV) has said Albakr was building a bomb and probably planned to attack one of the airports in Berlin.</t>
  </si>
  <si>
    <t>BfV</t>
  </si>
  <si>
    <t>Albakr</t>
  </si>
  <si>
    <t>Berlin</t>
  </si>
  <si>
    <t>Real Timeâ€ Friday night over his refusal to support Hillary.</t>
  </si>
  <si>
    <t>Hillary</t>
  </si>
  <si>
    <t>Time</t>
  </si>
  <si>
    <t>Frank and Lorenzo Fertitta, who also own the Ultimate Fighting Championship franchise, are just a few years after causing it to go bankrupt.</t>
  </si>
  <si>
    <t>Frank</t>
  </si>
  <si>
    <t>few</t>
  </si>
  <si>
    <t>Lorenzo Fertitta</t>
  </si>
  <si>
    <t>rules."Chinese Foreign Ministry spokesman Liu Weimin called on foreign diplomatic missions to respect China's laws and regulations and to stop issuing the readings, "especially over the Internet"."If the foreign embassies want to collect this kind of information for their own staff and diplomats</t>
  </si>
  <si>
    <t>Foreign Ministry</t>
  </si>
  <si>
    <t>Liu Weimin</t>
  </si>
  <si>
    <t>Pollster and analyst Pat Caddell spoke with Breitbart News Daily SiriusXM host Raheem Kassam on Wednesday regarding President Trumpâ€™s firing of FBI Director James Comey.</t>
  </si>
  <si>
    <t>Pat Caddell</t>
  </si>
  <si>
    <t>Raheem Kassam</t>
  </si>
  <si>
    <t>James Comey</t>
  </si>
  <si>
    <t xml:space="preserve"> With Bernie Sanders now leading in both Iowa and New Hampshire, Hillary Clintonâ€™s been trying to blunt his economic populist appeal by showing that she, too, is serious about taxing rich people.</t>
  </si>
  <si>
    <t>Hillary Clintonâ€™</t>
  </si>
  <si>
    <t xml:space="preserve"> hosts spoke about the presidentâ€™s latest personal attacks as well as the ongoing fallout from his firing of FBI director James Comey.</t>
  </si>
  <si>
    <t>Lester Holt, in a rare push back on Trump, said a judge had ruled the tactic unconstitutional Trump awkwardly called the judge, â€œa very against policeâ€ judge, And once the subject of the judge arose, Trump shifted his tone, framing himself as the candidate who has more support from police, touting his endorsement from the Fraternal Order of Police.</t>
  </si>
  <si>
    <t>the Fraternal Order of Police</t>
  </si>
  <si>
    <t>At a White House press gaggle Wednesday with no cameras present, press secretary Sean Spicer explained how the Navy SEAL widow was invited to the presidentâ€™s address to both houses of Congress Tuesday night.</t>
  </si>
  <si>
    <t>secretary Sean Spicer</t>
  </si>
  <si>
    <t>Sean Spicer</t>
  </si>
  <si>
    <t xml:space="preserve">Womenâ€™s March organizers also now have a huge list of supporters who said they wanted to stay involved in activism after the march was over Theyâ€™re keeping those activists busy with 10 major actions in the first 100 days of Trumpâ€™s presidency </t>
  </si>
  <si>
    <t>Womenâ€™s March</t>
  </si>
  <si>
    <t>H. R. McMaster, who was once Trumps national security adviser, said that evidence of Russias guilt was incontrovertible.</t>
  </si>
  <si>
    <t>H. R. McMaster</t>
  </si>
  <si>
    <t>Trumps</t>
  </si>
  <si>
    <t>While Mr. Trump embraced the idea, the commerce secretary, Wilbur L. Ross, noted that the plan would have â€œway stationsâ€ to measure progress, suggesting the White House was not willing to wait the full 100 days for results.</t>
  </si>
  <si>
    <t>Wilbur L. Ross</t>
  </si>
  <si>
    <t>Chaffetz, a Mormon who says he is morally opposed to assisted suicide, contends he is fulfilling his responsibility to oversee the District and brushed off any suggestion that heâ€™s catering to conservative voters.</t>
  </si>
  <si>
    <t>Chaffetz</t>
  </si>
  <si>
    <t>Mormon</t>
  </si>
  <si>
    <t>District</t>
  </si>
  <si>
    <t xml:space="preserve">Trumpâ€™s hard rupture with Obamaâ€™s legacy means that the exact same 2017 economic data is going to play very differently, as a series of new highs hit thanks to Trumpian deregulation and Greatness Making rather than the pretty sweet situation he was handed by his predecessor. </t>
  </si>
  <si>
    <t>Greatness Making</t>
  </si>
  <si>
    <t xml:space="preserve">The first thing the 28 heads of NATO member states will see when arriving in Warsaw, Poland, later this week will be enormous billboards advertising the groundbreaking exposÃ© Clinton Cash. </t>
  </si>
  <si>
    <t>NATO</t>
  </si>
  <si>
    <t>Warsaw</t>
  </si>
  <si>
    <t>Clinton Cash</t>
  </si>
  <si>
    <t>Poland</t>
  </si>
  <si>
    <t>With its control and manipulation of the World Bank, IMF and WTO, the US has been able to lever the trade and the financial system to its advantage by various means (for example, see this analysis of how Saudi Arabias oil profits enabled Wall Street to entrap African nations into debt).</t>
  </si>
  <si>
    <t>Saudi Arabias</t>
  </si>
  <si>
    <t>African</t>
  </si>
  <si>
    <t>At the event held at the Newseum in Washington, D. C. Mnuchin confirmed that Trumpâ€™s tax plan would involve cutting the corporate tax rate from 35 percent to 15 percent â€” a promise that Trump made repeatedly during his presidential campaign.</t>
  </si>
  <si>
    <t>Mnuchin</t>
  </si>
  <si>
    <t>Newseum</t>
  </si>
  <si>
    <t>D. C. Mnuchin</t>
  </si>
  <si>
    <t>The White House did not respond to a request for comment on the criticism of Trumpâ€™s tweets.</t>
  </si>
  <si>
    <t>In fact, it seems that she is working to build her career on the notion that Muslims are dangerous terrorists, singling them out much the way the Westboro Baptist Church blames gays for all of America's woes.</t>
  </si>
  <si>
    <t>the Westboro Baptist Church</t>
  </si>
  <si>
    <t>Noah Oppenheim, the executive in charge of â€Todayâ€ had written in a memo to staff that â€there is simply no excuse for Billyâ€™s language and behavior on that tape.</t>
  </si>
  <si>
    <t>Noah Oppenheim</t>
  </si>
  <si>
    <t>Billy</t>
  </si>
  <si>
    <t>Billyâ€™</t>
  </si>
  <si>
    <t>Stephen Colbert believes Republicans in the House â€œkicked America in the ballsâ€ with their passage of the American Health Care Act on Thursday.</t>
  </si>
  <si>
    <t>Stephen Colbert</t>
  </si>
  <si>
    <t>â€ Both Conrad and Wahler found their happy endings away from reality TV, with William Tell and Ashley Slack, respectively, but as the â€œLaguna Beachâ€ alumna shares, she rarely looks back to the past.</t>
  </si>
  <si>
    <t>Conrad</t>
  </si>
  <si>
    <t>Wahler</t>
  </si>
  <si>
    <t>Ashley Slack</t>
  </si>
  <si>
    <t>An undercover IRS agent allegedly pinned KATâ€™s bank account by going undercover to buy an ad on the site.</t>
  </si>
  <si>
    <t>IRS</t>
  </si>
  <si>
    <t>KAT</t>
  </si>
  <si>
    <t>KATâ€™</t>
  </si>
  <si>
    <t>Next week, the Congressional Budget Office will also forecast how many people could lose coverage if the measure is enacted, an area where the Republican plan is vulnerable.If youre looking to the CBO for accuracy, youre looking in the wrong place, Spicer said, accusing the office of mistakes in its forecasts about the Affordable Care Act.</t>
  </si>
  <si>
    <t>the Congressional Budget Office</t>
  </si>
  <si>
    <t>Spicer</t>
  </si>
  <si>
    <t>Al-Quds Rally was held in Islamabad that started from Melody Chowk to Aapara Chowk in which hundreds of people participated, central secretary general (SUC) and vice president Markazi Al-Quds Committee Pakistan Allama Arif Hussein Wahdi and others.</t>
  </si>
  <si>
    <t>Melody Chowk</t>
  </si>
  <si>
    <t>SUC</t>
  </si>
  <si>
    <t>EastEnders sacking prompts job hunt for 'worried' Jacqueline Jossa DAN'S PAIN Devastated</t>
  </si>
  <si>
    <t>Jacqueline Jossa</t>
  </si>
  <si>
    <t>EastEnder</t>
  </si>
  <si>
    <t>PAIN</t>
  </si>
  <si>
    <t xml:space="preserve"> The .4 earthquake struck 14 miles northeast of Pingtung City at 3:57 a. m. local time, at a depth of 6.</t>
  </si>
  <si>
    <t>Pingtung City</t>
  </si>
  <si>
    <t>m.</t>
  </si>
  <si>
    <t>In 1988 the firm acquired the rights to manufacture and distribute Cadbury's branded products in the US.After the second world war in 1946, Piera and Pietro Ferrero turned their bar and pastry shop in Alba, Italy into a small factory to mass produce chocolates.</t>
  </si>
  <si>
    <t>Piera</t>
  </si>
  <si>
    <t>Pietro Ferrero</t>
  </si>
  <si>
    <t>Alba</t>
  </si>
  <si>
    <t>When the voltage fluctuations caused the San Onofre nuclear station to shut down to protect itself, it deprived the grid of a huge source of California-generated power.</t>
  </si>
  <si>
    <t>San Onofre</t>
  </si>
  <si>
    <t>German Chancellor Angela Merkel has announced she believes the full Islamic face veil or â€œburqaâ€ has no place in her country and should be banned.</t>
  </si>
  <si>
    <t>German Chancellor Angela Merkel</t>
  </si>
  <si>
    <t>Rachael Figueiredo, 52, was charged with simple assault and harassment from the Nov. 9 incident, said Chief Michael Reilly of the Mansfield police.</t>
  </si>
  <si>
    <t>Rachael Figueiredo</t>
  </si>
  <si>
    <t>Michael Reilly</t>
  </si>
  <si>
    <t>Mansfield</t>
  </si>
  <si>
    <t>Milledge found the investigation of Warrens disappearance grossly inadequate and shameful, and the investigation of Russells death inadequate and naive.</t>
  </si>
  <si>
    <t>Milledge</t>
  </si>
  <si>
    <t>Warren</t>
  </si>
  <si>
    <t>Warrens</t>
  </si>
  <si>
    <t>Russell</t>
  </si>
  <si>
    <t xml:space="preserve">Douglass often gave his portraits away to promote his talks, to increase his public persona and to support African American causes. </t>
  </si>
  <si>
    <t>Douglass</t>
  </si>
  <si>
    <t>Dougla</t>
  </si>
  <si>
    <t>African American</t>
  </si>
  <si>
    <t>An ex-girlfriend of former NFL defensive end Hugh Douglas accused him in a new lawsuit of assaulting her multiple times, including an encounter at a Connecticut hotel last year that resulted in his arrest but no jail time.</t>
  </si>
  <si>
    <t>Hugh Douglas</t>
  </si>
  <si>
    <t>Curt Schilling discussed the Battle of Brandywine with Breitbart News Sunday SiriusXM host Stephen K. Bannon in some detail, while also addressing American culture today and what can be done to ingrain the nationâ€™s unique history into future generations.</t>
  </si>
  <si>
    <t>Curt Schilling</t>
  </si>
  <si>
    <t>Stephen K. Bannon</t>
  </si>
  <si>
    <t>host</t>
  </si>
  <si>
    <t xml:space="preserve"> THE Congress has wasted entirely too much time sitting on President Obamaâ€™s request for emergency funding to combat the arrival of the Zika virus to the mainland United States.</t>
  </si>
  <si>
    <t>United State</t>
  </si>
  <si>
    <t>Many major East Coast cities including New York, Philadelphia, Baltimore and Washington, D.C., can expect disruptive weather.Pockets of rain today and early tonight along the I-95 corridor will be heavy enough to cause flooding of poor-drainage areas, as well as of some streets and highways, said AccuWeather Senior Meteorologist Carl Babinski.</t>
  </si>
  <si>
    <t>AccuWeather</t>
  </si>
  <si>
    <t>Baltimore</t>
  </si>
  <si>
    <t>Carl Babinski</t>
  </si>
  <si>
    <t>That fact makes Browns proposal to block In-Home Supportive Services workers from earning overtime pay even more painful, advocates for people with disabilities say.Continuing cuts is  not only uncaring, it is unwarranted amidst a multibillion dollar surplus, said Karen Forde, a San Diego County resident who cares for an 89-year-old client.</t>
  </si>
  <si>
    <t>Browns</t>
  </si>
  <si>
    <t>Brown</t>
  </si>
  <si>
    <t>Karen Forde</t>
  </si>
  <si>
    <t>San Diego County</t>
  </si>
  <si>
    <t>The renewed push to block Trump from securing the nomination comes after two incredibly choppy weeks for the presumptive nominee, following his comments on federal Judge Gonzalo Curiel and his promise to pursue a ban on Muslims entering the country in response to the Orlando terror attack.</t>
  </si>
  <si>
    <t>Gonzalo Curiel</t>
  </si>
  <si>
    <t>The Obamaâ€™s administrationâ€™s support for activists raises the question of whether the U. S. has an obligation to protect them.</t>
  </si>
  <si>
    <t>On Monday Rajoy brushed off demands he should resign after text messages emerged that seemed to show him comforting a former political party treasurer under investigation over a slush fund and secret Swiss bank accounts.</t>
  </si>
  <si>
    <t>Rajoy</t>
  </si>
  <si>
    <t>Swiss</t>
  </si>
  <si>
    <t>Swi</t>
  </si>
  <si>
    <t>Prime Minister Shinzo Abeâ€™s Cabinet approved legislation Friday allowing Japanâ€™s emperor to abdicate the throne.</t>
  </si>
  <si>
    <t>Minister Shinzo Abe</t>
  </si>
  <si>
    <t>Shinzo Abeâ€™s Cabinet</t>
  </si>
  <si>
    <t>Gov. Greg Abbott of Texas, noting that the attack occurred less than a year after the attacks in and around Paris, said that for the second time in nine months, the French flag was being flown over the Texas Governorâ€™s Mansion in remembrance.</t>
  </si>
  <si>
    <t>Greg Abbott</t>
  </si>
  <si>
    <t>Governor</t>
  </si>
  <si>
    <t>Canadians outraged by U.S. President Donald Trumps attack on their prime minister have called for a consumer boycott targeting the United States, but indignation may be hard to sustain in a nation enamored by U.S. popular culture and larded with American goods.</t>
  </si>
  <si>
    <t>President Donald Trumps</t>
  </si>
  <si>
    <t>After a meeting to discuss the potential threat posed by a nuclear Iran, Israeli President Shimon Peres offered words of support for the Obama administration's approach to the problem, including tough sanctions and seeking diplomatic solutions.</t>
  </si>
  <si>
    <t>Shimon Peres</t>
  </si>
  <si>
    <t>Shimon Pere</t>
  </si>
  <si>
    <t>You have to sympathize with the makers of Sully, director Clint Eastwood and screenwriter Todd Komarnicki.</t>
  </si>
  <si>
    <t>Clint Eastwood</t>
  </si>
  <si>
    <t>Sully</t>
  </si>
  <si>
    <t>Todd Komarnicki</t>
  </si>
  <si>
    <t xml:space="preserve">Breitbart also made strange and unconnected claims about Ryan and Muslims, writing that â€as a result of unbridled Muslim migration into the United States, more than 2, 100 U. S. girls in Wisconsin â€” </t>
  </si>
  <si>
    <t>Breitbart</t>
  </si>
  <si>
    <t>Dubai courts allege the two attacked a policewoman and 'cursed Arab women'Three policeman and a police lieutenant also gave evidence  supporting the alleged victims statement.</t>
  </si>
  <si>
    <t>Arab</t>
  </si>
  <si>
    <t>Dubai</t>
  </si>
  <si>
    <t>Schwarzmanâ€™s firm is a major Clinton Foundation donor, but he personally donates heavily to GOP candidates and causes.</t>
  </si>
  <si>
    <t>Schwarzman</t>
  </si>
  <si>
    <t>Schwarzmanâ€™</t>
  </si>
  <si>
    <t>Clinton Foundation</t>
  </si>
  <si>
    <t>Now REV, the No. 3 seed in the CIF-Southern Section Division 3 playoffs, plays top-seeded Los Angeles Cathedral in the D3 championship game at 7 p.m. tonight at Corona High School.The hard part is,</t>
  </si>
  <si>
    <t>REV</t>
  </si>
  <si>
    <t>CIF</t>
  </si>
  <si>
    <t>Los Angeles Cathedral</t>
  </si>
  <si>
    <t>Noting cross-party support in Scotland for staying in the EU, Allan said the Scottish National Party (SNP) of First Minister Nicola Sturgeon - reappointed following elections to the Scottish parliament on May 5 - would stress the benefits of membership in campaigning for the June 23 referendum.</t>
  </si>
  <si>
    <t>Allan</t>
  </si>
  <si>
    <t>the Scottish National Party</t>
  </si>
  <si>
    <t>Nicola Sturgeon</t>
  </si>
  <si>
    <t>The BBC, as the nationâ€™s broadcaster, should not be supporting the view that there is a legitimate debate to be had over being transâ€ the Liberal Democrat activist said to GayStarNews.</t>
  </si>
  <si>
    <t>BBC</t>
  </si>
  <si>
    <t>Liberal Democrat</t>
  </si>
  <si>
    <t>GayStarNew</t>
  </si>
  <si>
    <t>Related Coverage Power problem grounds Polish LOT Dreamliner in Bangkok: TVBoeing welcomed the agreement with the union."This is important to everyone with a stake in Boeing - including our employees, the community and our customers," said Ray Conner, head of Boeing's commercial airplanes unit, in a statement.</t>
  </si>
  <si>
    <t>Polish LOT</t>
  </si>
  <si>
    <t>Polish</t>
  </si>
  <si>
    <t>TVBoeing</t>
  </si>
  <si>
    <t>Ray Conner</t>
  </si>
  <si>
    <t>To the great consternation of conservatives, the Obama years have demonstrated, if there was any doubt, where the political sympathies of giants such as Google, Facebook, and Twitter really lie.</t>
  </si>
  <si>
    <t>In response to the initial Journal report, Obama said it was necessary to transact the payment in foreign currency due to U. S. sanctions, which prohibit trading in dollars.</t>
  </si>
  <si>
    <t>Journal</t>
  </si>
  <si>
    <t xml:space="preserve">Understandably, that attitude led to a strained relationship with the intelligence community, a state of affairs not helped by the presidentâ€™s unfounded, yet continuing, accusations that the community spied on his campaign. </t>
  </si>
  <si>
    <t>the intelligence community</t>
  </si>
  <si>
    <t>Understandably</t>
  </si>
  <si>
    <t>But Netanyahu is convinced the Obama administration would accept a bad deal rather than come away warning recently that the agreement in the works would allow Iran to preserve far too many centrifuges.</t>
  </si>
  <si>
    <t>Netanyahu</t>
  </si>
  <si>
    <t>Theyâ€™ve created this Dumpster fire they have to put it out,â€ said Eric Winston, an offensive lineman with the Cincinnati Bengals and the president of the N. F. L. Players Association.</t>
  </si>
  <si>
    <t>Eric Winston</t>
  </si>
  <si>
    <t>Dumpster</t>
  </si>
  <si>
    <t>Zelenakâ€™s stepfather, Mark Wallace, said from Brisbane that British authorities had been unable to shed any light on where she was following the attack on Saturday night UK time.</t>
  </si>
  <si>
    <t>Zelenak</t>
  </si>
  <si>
    <t>Mark Wallace</t>
  </si>
  <si>
    <t>Like Obama, Abe does not plan to apologize for Japanâ€™s sneak attack, which wounded an additional 1, 178 and prompted the United Statesâ€™ entry into World War II.</t>
  </si>
  <si>
    <t>Abe</t>
  </si>
  <si>
    <t>United had suffocated Citys adventure, snuffing out any danger, when Craig Bellamy attempted one last desperate attack for a side with the scent of the Champions League in their nostrils.</t>
  </si>
  <si>
    <t>United</t>
  </si>
  <si>
    <t>Craig Bellamy</t>
  </si>
  <si>
    <t>Citys</t>
  </si>
  <si>
    <t>the Champions League</t>
  </si>
  <si>
    <t>Univision Communications Inc. the parent company to the nationâ€™s leading broadcast channel, has acquired a controlling stake in the satirical news site The Onion, NPR has learned.</t>
  </si>
  <si>
    <t>Univision Communications Inc.</t>
  </si>
  <si>
    <t>The Onion</t>
  </si>
  <si>
    <t>The cheerleaders in Kountze, Texas, have been painting Bible verses on the banners they hold up at football games for nearly four years.</t>
  </si>
  <si>
    <t>Kountze</t>
  </si>
  <si>
    <t>football</t>
  </si>
  <si>
    <t>Texas</t>
  </si>
  <si>
    <t>for</t>
  </si>
  <si>
    <t xml:space="preserve">If we can take something about the Fergie time, it is welcome, a pleasurePep Guardiola praised Manchester Citys increasing ability to win in </t>
  </si>
  <si>
    <t>Fergie</t>
  </si>
  <si>
    <t>pleasurePep Guardiola</t>
  </si>
  <si>
    <t>Guardiola</t>
  </si>
  <si>
    <t>When Abdul Aziz bin Fahd, a prince of Saudi Arabia, was photographed stepping out of a New York City nightclub this week, The Post duly his â€œdad jeans.</t>
  </si>
  <si>
    <t>Abdul Aziz bin Fahd</t>
  </si>
  <si>
    <t>Saudi Arabia</t>
  </si>
  <si>
    <t>The Post</t>
  </si>
  <si>
    <t>Gary Davidson with the Volusia County Sheriff's Office tells MyFoxOrlando.com authorities have determined the three are dead but their bodies have not been located."The search for the victims' bodies and the investigation into their deaths is still ongoing, and no one has been charged at this time," Davidson said.</t>
  </si>
  <si>
    <t>Gary Davidson</t>
  </si>
  <si>
    <t>Davidson</t>
  </si>
  <si>
    <t>Volusia County Sheriff's Office</t>
  </si>
  <si>
    <t>A key figure at the Republican national convention where Donald Trump was nominated for president has strong business ties with Ukraine, the Guardian has learned.</t>
  </si>
  <si>
    <t>Joined by Vice President-elect Joe Biden, Obama will seek swift passage of the measure to stem a deepening U.S. economic recession.</t>
  </si>
  <si>
    <t>Joe Biden</t>
  </si>
  <si>
    <t>I dont know how to interpret it, Defense Secretary Robert McNamara answered.</t>
  </si>
  <si>
    <t>Defense</t>
  </si>
  <si>
    <t>Defense Secretary Robert McNamara</t>
  </si>
  <si>
    <t>Robert McNamara</t>
  </si>
  <si>
    <t xml:space="preserve">Minutes into Trumpâ€™s Harrisburg speech, he told the crowd just how much he preferred spending the evening with supporters than the Washington media. </t>
  </si>
  <si>
    <t>Harrisburg</t>
  </si>
  <si>
    <t>â€ Solomonâ€™s site, based in Oakland, California, started choosing a word of the year in 2010, based on search data and agreement of experts that include a broad swath of the company, from lexicographers to the marketing and product teams to the CEO, Liz McMillan.</t>
  </si>
  <si>
    <t>Solomonâ€™s</t>
  </si>
  <si>
    <t>Liz McMillan</t>
  </si>
  <si>
    <t xml:space="preserve"> Gunmen were holding at least 20 people hostage in a restaurant in Somaliaâ€™s capital Mogadishu on Thursday, police said, after a suicide bomber rammed a car next door and militants stormed inside in an attack claimed by Islamist al Shabaab militants.</t>
  </si>
  <si>
    <t>Somalia</t>
  </si>
  <si>
    <t>Islamist</t>
  </si>
  <si>
    <t>Mogadishu</t>
  </si>
  <si>
    <t>: A reader, Don, digs in: Kellyanne Conway deliberately conflates challenges to a voting count, resulting in statutorily sanctioned recount processes, with Trumpâ€™s allegations of fraud and â€œrigging.</t>
  </si>
  <si>
    <t>Don</t>
  </si>
  <si>
    <t>Duncan Keith scored a power-play goal in the first period for Chicago, and Corey Crawford finished with 29 saves in his fifth start in six games.</t>
  </si>
  <si>
    <t>Duncan Keith</t>
  </si>
  <si>
    <t>Corey Crawford</t>
  </si>
  <si>
    <t>Rojas was also charged with drunken driving in 2008 and 2015, according to New York City police.</t>
  </si>
  <si>
    <t>Rojas</t>
  </si>
  <si>
    <t>Roja</t>
  </si>
  <si>
    <t>In an interview with Bloomberg Politics, Trump said among them is one former foe who has not even endorsed the presumptive Republican nominee, but who he predicted will â€œcome over to my side.</t>
  </si>
  <si>
    <t>Bloomberg Politic</t>
  </si>
  <si>
    <t>On Wednesdayâ€™s Breitbart News Daily with SiriusXM host Alex Marlow, former Navy SEAL and Blackwater CEO Erik Prince talked about how Hillary Clintonâ€™s leaked emails â€œtruly indicates that everything is for sale for the Democrats, that it really is â€” and if you donâ€™t pay them, they crush you. â€</t>
  </si>
  <si>
    <t>Alex Marlow</t>
  </si>
  <si>
    <t>Breitbart News Daily</t>
  </si>
  <si>
    <t>Erik Prince</t>
  </si>
  <si>
    <t>No matter who our Republican presidential nominee is at the end of this process, one thing is clear, we cannot allow Democrats to double down on the failed policies of the last seven years.</t>
  </si>
  <si>
    <t xml:space="preserve"> Clint Eastwood believes that Donald Trump is benefitting from a trend in American culture by saying what he believes, despite criticism from all sides.</t>
  </si>
  <si>
    <t xml:space="preserve"> U. S. appeals court judges on Monday questioned the lawyer defending President Donald Trumpâ€™s temporary travel ban about whether it discriminates against Muslims and pressed challengers to explain why the court should not defer to Trumpâ€™s presidential powers to set the policy.</t>
  </si>
  <si>
    <t>The FBI has moved to vacate the court hearing in its case against Apple that was scheduled to take place on Tuesday, and the hearing has been canceled.</t>
  </si>
  <si>
    <t>moved</t>
  </si>
  <si>
    <t>Apple</t>
  </si>
  <si>
    <t>The Number 2 Republican in the Senate told a reporter in Austin, Texas Friday that he supports Donald J. Trump for president because he is the right man for the job.</t>
  </si>
  <si>
    <t>Donald J. Trump</t>
  </si>
  <si>
    <t>A majority of the illegal aliens the Department of Homeland Security attempted to remove from the United States so far this fiscal year have been shielded from deportation by immigration judges.</t>
  </si>
  <si>
    <t>the Department of Homeland Security</t>
  </si>
  <si>
    <t>To underline the threat, Sadrist supporters set up a tented protest camp just beyond the Green Zoneâ€™s fortified walls, echoing similar camps set up elsewhere in the region during the Arab Spring revolts â€” except that unlike those popular revolts, this one was underwritten by a private army.</t>
  </si>
  <si>
    <t>Sadrist</t>
  </si>
  <si>
    <t>Iraq suffered one of its most devastating attacks to date when, late on Saturday, Islamic State struck a busy district in Baghdad and killed at least 149 people and injured many more.</t>
  </si>
  <si>
    <t>Baghdad</t>
  </si>
  <si>
    <t>Some, including Feinstein, went further in their assertions: Only days before, Trump had apparently reversed one of his stances toward China by offering a endorsement of the â€œOne China Policyâ€ (under which countries officially recognize the mainland Chinese government but not Taiwan) leading to the suggestion that the courtâ€™s decision was part of a deal between the two governments.</t>
  </si>
  <si>
    <t>Feinstein</t>
  </si>
  <si>
    <t>(Paul Guilfoyle) a prominent investor who manages Dianeâ€™s personal fortune, is arrested and accused of running a Bernard Ponzi scheme.</t>
  </si>
  <si>
    <t>Paul Guilfoyle</t>
  </si>
  <si>
    <t>Diane</t>
  </si>
  <si>
    <t>Bernard Ponzi</t>
  </si>
  <si>
    <t>Northern Iowa led Texas A&amp;M, with 44 seconds remaining and my attention turned to an outcome still to be decided.</t>
  </si>
  <si>
    <t>Northern Iowa</t>
  </si>
  <si>
    <t>44 second</t>
  </si>
  <si>
    <t>Texas A&amp;M</t>
  </si>
  <si>
    <t>and</t>
  </si>
  <si>
    <t>Comedian Louis C. K. says he regrets comparing President Donald Trump to Adolf Hitler, although he now believes the is a â€œlying sack of sh*t.</t>
  </si>
  <si>
    <t>Louis C. K.</t>
  </si>
  <si>
    <t>Comedian</t>
  </si>
  <si>
    <t>Adolf Hitler</t>
  </si>
  <si>
    <t>The Senate confirmed Oklahoma Attorney General Scott Pruitt to be the next administrator of the Environmental Protection Agency, on the Friday before Congress leaves for a Presidents Day recess.</t>
  </si>
  <si>
    <t>Scott Pruitt</t>
  </si>
  <si>
    <t>the Environmental Protection Agency</t>
  </si>
  <si>
    <t>2010.Alabama coach Nick Saban has yet to make a public announcement that Sims will start.</t>
  </si>
  <si>
    <t>Nick Saban</t>
  </si>
  <si>
    <t>Sims</t>
  </si>
  <si>
    <t>Sim</t>
  </si>
  <si>
    <t>With the Packers nursing a four-point lead, and the Lambeau Field crowd nervously quiet early in the third quarter, Rodgers answered by dropping deep and throwing a rainbow pass to Nelson, who blew through the Chicago secondary and hauled in the ball for a 55-yard touchdown.</t>
  </si>
  <si>
    <t>Rodgers</t>
  </si>
  <si>
    <t>Packer</t>
  </si>
  <si>
    <t>Nelson</t>
  </si>
  <si>
    <t>A trio of conservative House members said Tuesday that they were open to further congressional investigations into accusations that retired Lt. Gen. Michael Flynn, who resigned as national security adviser Monday night, had inappropriate contacts with Russia during the presidential transition.</t>
  </si>
  <si>
    <t>Michael Flynn</t>
  </si>
  <si>
    <t xml:space="preserve"> Furner said.There was contact involved and I know he's pretty excited."With Campese's long-range kicking game out, McCrone said he and Williams would share the responsibility in a hope to create problems for stand-in Bulldogs full-back Sam Perrett."One thing in our favour</t>
  </si>
  <si>
    <t>Furner</t>
  </si>
  <si>
    <t>Campese</t>
  </si>
  <si>
    <t>Bulldog</t>
  </si>
  <si>
    <t>The Senate on Tuesday sent President Donald Trump a measure to expand the number of applicants for jobless benefits who can be .</t>
  </si>
  <si>
    <t>measure</t>
  </si>
  <si>
    <t>of</t>
  </si>
  <si>
    <t>She said that the same old politicians in the state that come from political families  have sort of reigned up there for so many years.More broadly, Palin stressed the importance of getting new blood in politics.Ted Cruz needs reinforcements, she said of the Texas freshman.</t>
  </si>
  <si>
    <t>Palin</t>
  </si>
  <si>
    <t>Texa</t>
  </si>
  <si>
    <t>July 8 Belgium's finance minister asked the head of French bank BNP Paribas on Tuesday for a meeting to discuss the implications of a record $9 billion fine for violating U.S. sanctions against Sudan, Cuba and Iran.</t>
  </si>
  <si>
    <t>BNP Pariba</t>
  </si>
  <si>
    <t>Clintonâ€™s press secretary, Brian Fallon, provided fodder for charges of Justice campaign coziness, writing in May of last year that â€DOJ folks inform me there is a status hearing in this case this morning</t>
  </si>
  <si>
    <t>Brian Fallon</t>
  </si>
  <si>
    <t>Justice</t>
  </si>
  <si>
    <t>An Muslim woman who claimed that three men attacked her on a Manhattan subway this month and tried to pull off her hijab was charged on Wednesday with filing a false report, the police said.</t>
  </si>
  <si>
    <t>The video, which was lavishly praised by Chinese state media, played over 2. 2 million times on Chinaâ€™s popular news portal qq.</t>
  </si>
  <si>
    <t>qq</t>
  </si>
  <si>
    <t>â€™s university Barnard College has released draft recommendations for the school that include hiring a Chief Diversity Officer and social justice workshops.</t>
  </si>
  <si>
    <t>Barnard College</t>
  </si>
  <si>
    <t>recommendation</t>
  </si>
  <si>
    <t xml:space="preserve"> When Donald Trumpâ€™s administration put together its controversial executive order on immigration, it was Steve Bannon </t>
  </si>
  <si>
    <t xml:space="preserve"> A man killed in a crash last year while using the driving system on his Tesla Model S sedan kept his hands off the wheel for extended periods of time despite repeated automated warnings not to do so, a U. S. government report said on Monday The National Transportation Safety Board (NTSB) released 500 pages of findings into the May 2016 death of Joshua Brown, a former Navy SEAL, near Williston, Florida.</t>
  </si>
  <si>
    <t>Joshua Brown</t>
  </si>
  <si>
    <t>The National Transportation Safety Board</t>
  </si>
  <si>
    <t xml:space="preserve"> Sen. Jeff Sessions ( .) has been the subject of intense debate ever since Donald Trump nominated him to be attorney general.</t>
  </si>
  <si>
    <t>Jeff Sessions</t>
  </si>
  <si>
    <t>Jeff Session</t>
  </si>
  <si>
    <t>Evan Spiegel, 26, one of Snapâ€™s two founders, started the company while he was a student at Stanford.</t>
  </si>
  <si>
    <t>Evan Spiegel</t>
  </si>
  <si>
    <t>Snap</t>
  </si>
  <si>
    <t>Stanford</t>
  </si>
  <si>
    <t xml:space="preserve"> A meeting Friday afternoon between President Trump and Ohio Gov. John Kasich, his former rival in the GOP primaries, had no set agenda.</t>
  </si>
  <si>
    <t>People respect the BBC, and they believe them,â€ she told GayStarNews.</t>
  </si>
  <si>
    <t>GayStarNews</t>
  </si>
  <si>
    <t>Thousands took to the streets here on Thursday to demand the ouster of President NicolÃ¡s Maduro in what appeared to be the yearâ€™s largest display of frustration with Venezuelaâ€™s economic collapse and leadership.</t>
  </si>
  <si>
    <t>President NicolÃ¡s Maduro</t>
  </si>
  <si>
    <t>be</t>
  </si>
  <si>
    <t>Venezuela</t>
  </si>
  <si>
    <t>leadership</t>
  </si>
  <si>
    <t>â€Paid family and medical leave is a public good as well as private benefit,â€ says Shabo, the women and families advocate.</t>
  </si>
  <si>
    <t>Shabo</t>
  </si>
  <si>
    <t>Paid</t>
  </si>
  <si>
    <t>The Premier League's top managerial earners - Pep Guardiola at Manchester City and Jose Mourinho at Manchester United - both collect around 12m a year with former Chelsea manager Mourinho bringing in another 10m with various endorsements.</t>
  </si>
  <si>
    <t>Pep Guardiola</t>
  </si>
  <si>
    <t>Jose Mourinho</t>
  </si>
  <si>
    <t>Chelsea</t>
  </si>
  <si>
    <t>For Jernica QuiÃ±ones, the reality of sudden infant death syndrome, or SIDS, hit close to home this year when a friend woke up on New Yearâ€™s Day and discovered the lifeless body of her baby girl.</t>
  </si>
  <si>
    <t>Jernica QuiÃ±ones</t>
  </si>
  <si>
    <t>Jernica QuiÃ±one</t>
  </si>
  <si>
    <t>SIDS</t>
  </si>
  <si>
    <t>Trump, with backing from Devin Nunes, claims that the Memo shows that Russiagate is a witch hunt, rotten with partisanship from the start.</t>
  </si>
  <si>
    <t>Memo</t>
  </si>
  <si>
    <t>Devin Nunes</t>
  </si>
  <si>
    <t>Russiagate</t>
  </si>
  <si>
    <t>Just enormous appreciation and surprise.It was in Israel in the 1950s that Grosss directing career first kicked off, with early feature film Joseph the Dreamer (1961) picking up international film festival awards and One Pound Only (1964) finding local box office success.</t>
  </si>
  <si>
    <t>Gross</t>
  </si>
  <si>
    <t>Grosss</t>
  </si>
  <si>
    <t>Joseph the Dreamer</t>
  </si>
  <si>
    <t>The â€Hamiltonâ€ actor who addressed Mike Pence from the stage shortly after the presidential election said Saturday he expects politics to play a role in the acceptance speeches of this yearâ€™s Oscar winners.</t>
  </si>
  <si>
    <t>Hamilton</t>
  </si>
  <si>
    <t>The show was originally produced in Boston, where one of my non-profit boards, Keshet, the national Jewish LGBT education and advocacy organization, played a part during one performance.</t>
  </si>
  <si>
    <t>Keshet</t>
  </si>
  <si>
    <t>â€ European officials met in Brussels to begin discussing a response and to emphasize their commitment to strengthening and improving the bloc, which will have 27 members after Britainâ€™s departure.</t>
  </si>
  <si>
    <t>Mrs. May, eager to forge a relationship with him akin to Margaret Thatcherâ€™s alliance with Ronald Reagan, reciprocated the warm sentiments, praising his â€œstunning election victoryâ€ and conveying an invitation from Queen Elizabeth II for the president to make a state visit, which he accepted.</t>
  </si>
  <si>
    <t>May</t>
  </si>
  <si>
    <t>Margaret Thatcherâ€™s</t>
  </si>
  <si>
    <t>Queen Elizabeth II</t>
  </si>
  <si>
    <t>Mahes initial response got lost in Keefes Twitter feed and the two only connected after he sent her a message on the networking site LinkedIn, Keefe said in a phone interview with PBS NewsHour Weekend.</t>
  </si>
  <si>
    <t>Mahes</t>
  </si>
  <si>
    <t>Mahe</t>
  </si>
  <si>
    <t>Keefes</t>
  </si>
  <si>
    <t>PBS NewsHour Weekend</t>
  </si>
  <si>
    <t>Venezuelan President Maduro has actually promoted government officials accused of drug trafficking by the United States, namely General NÃ©stor Reverol in an effort to secure their loyalty.</t>
  </si>
  <si>
    <t>Maduro</t>
  </si>
  <si>
    <t>Venezuelan</t>
  </si>
  <si>
    <t>NÃ©stor Reverol</t>
  </si>
  <si>
    <t>But like many other investigations into Benghazi, theirs found no evidence of any links, and the generalâ€™s stubborn insistence reminded some officials at the agency of how the Bush administration had once relentlessly sought to connect Saddam Hussein and Iraq to the Sept. 11, 2001, attacks.</t>
  </si>
  <si>
    <t>Benghazi</t>
  </si>
  <si>
    <t>Saddam Hussein</t>
  </si>
  <si>
    <t xml:space="preserve">Before the chemical attack, the Trump administration said the US would no longer make regime change in Syria a priority </t>
  </si>
  <si>
    <t xml:space="preserve">Sharapova out of Wimbledon qualifying, He lost his first grand slam final in four attempts, having opened his account by topping Nadal at the 2014 Australian Open. </t>
  </si>
  <si>
    <t>Sharapova</t>
  </si>
  <si>
    <t>Wimbledon</t>
  </si>
  <si>
    <t>Nadal</t>
  </si>
  <si>
    <t xml:space="preserve"> Donald Trump continued his Twitter tirade against the auto industry on Thursday, slamming Toyota for investing in Mexico but appearing to misstate key details of the companyâ€™s operations.</t>
  </si>
  <si>
    <t>Toyota</t>
  </si>
  <si>
    <t>Condemnation also came from the United States, France, Britain, the European Union and the United Nations."There has been a clear pattern of assassinations and attempted assassinations in Lebanon since October 2004," U.S. President George W. Bush said.</t>
  </si>
  <si>
    <t>the United Nations</t>
  </si>
  <si>
    <t>One of the biggest winners on Capitol Hill is Representative Lamar Smith, chairman of the House Science, Space, and Technology Committee.</t>
  </si>
  <si>
    <t>Capitol Hill</t>
  </si>
  <si>
    <t>the House Science, Space</t>
  </si>
  <si>
    <t>Representative Lamar Smith</t>
  </si>
  <si>
    <t>Technology Committee</t>
  </si>
  <si>
    <t>A Black Lives Matter activist interrupted Clinton at a private event in South Carolina on Wednesday, asking the former Secretary of State to answer for the remarks and apologize to black people for mass incarceration.</t>
  </si>
  <si>
    <t>Black Lives Matter</t>
  </si>
  <si>
    <t>Secretary</t>
  </si>
  <si>
    <t>The third-round opponent could be Maryland, the other seed in Stanfords eight-team pod.</t>
  </si>
  <si>
    <t>Maryland</t>
  </si>
  <si>
    <t>Stanfords</t>
  </si>
  <si>
    <t>The ICC issued arrest warrants for Bashir in 2009 and 2010, accusing him of masterminding genocide and other atrocities in his campaign to crush a revolt in the Darfur region - a conflict that killed as many as 300,000 people, the United Nations says.</t>
  </si>
  <si>
    <t>ICC</t>
  </si>
  <si>
    <t>Bashir</t>
  </si>
  <si>
    <t>Darfur</t>
  </si>
  <si>
    <t>â€ Mr. Comeyâ€™s announcement also served to take the spotlight off Ms. Lynch, who was widely criticized after she met Mr. Clinton on her plane in Arizona last week and after she said on Friday that she would defer to the F. B. I. and to prosecutors about whether to bring charges.</t>
  </si>
  <si>
    <t>Lynch</t>
  </si>
  <si>
    <t>the F. B. I.</t>
  </si>
  <si>
    <t xml:space="preserve">Hillary Clintonâ€™s latest narrative of blaming the Democratic National Committee and its â€œpoorâ€ data operation for her election loss has not been greeted kindly by those who worked for the DNC in 2016 </t>
  </si>
  <si>
    <t>the Democratic National Committee</t>
  </si>
  <si>
    <t>DNC</t>
  </si>
  <si>
    <t>Faced with a US president who had abdicated all responsibility to lead or even participate in the global effort, the European Union led a remarkable diplomatic bid to save Kyoto.</t>
  </si>
  <si>
    <t>Kyoto</t>
  </si>
  <si>
    <t>The Dubai index ended 0.8 percent higher, supported by property stocks after Emaar Malls reported a 15 percent rise in second-quarter net profit, broadly in line with market forecasts..</t>
  </si>
  <si>
    <t>Emaar Malls</t>
  </si>
  <si>
    <t>Emaar Mall</t>
  </si>
  <si>
    <t>Liberally adapted from a Mark Millar comic book scenario circa Civil War finds the Avengers disassembled: The cumulative human cost of their adventures, plus a botched mission in this movie resulting in still more loss of life, has the world demanding the team submit to United Nations oversight.</t>
  </si>
  <si>
    <t>Mark Millar</t>
  </si>
  <si>
    <t>Avengers</t>
  </si>
  <si>
    <t xml:space="preserve">Itâ€™s incredible that our institutions of gov, WH, Congress, DOJ, and big media are corrupt </t>
  </si>
  <si>
    <t>gov</t>
  </si>
  <si>
    <t>WH</t>
  </si>
  <si>
    <t>It can be nasty.In Phoebes case, we now know from Northwestern District Attorney Elizabeth Scheibel, who outlined the criminal charges on Monday, relationship aggression means that a group of girls turned on Phoebe after she briefly dated a 17-year-old named Sean Mulveyhill.</t>
  </si>
  <si>
    <t>Phoebes</t>
  </si>
  <si>
    <t>Elizabeth Scheibel</t>
  </si>
  <si>
    <t>Sean Mulveyhill</t>
  </si>
  <si>
    <t>Republican presidential Donald Trumpâ€™s campaign isnâ€™t slowing down, at least when it comes to national polling.</t>
  </si>
  <si>
    <t>presidential</t>
  </si>
  <si>
    <t>campaign</t>
  </si>
  <si>
    <t>During a visit to Orlando this week, Attorney General Loretta Lynch said that it was possible authorities may never know Mateenâ€™s motives for attacking Pulse, despite his repeated assertions that he had committed the attack in the name of the Islamic State.</t>
  </si>
  <si>
    <t>Loretta Lynch</t>
  </si>
  <si>
    <t>Mateen</t>
  </si>
  <si>
    <t>Mateenâ€™</t>
  </si>
  <si>
    <t>STREET ATTACKS SLOWED Actions inspired by Islamic State in Israel, the occupied West Bank and Jerusalem have been rare and only a few dozen Arab Israelis and Palestinians are known to have declared their sympathy with the militant group.</t>
  </si>
  <si>
    <t>Arab Israelis</t>
  </si>
  <si>
    <t>West Bank</t>
  </si>
  <si>
    <t>Palestinians</t>
  </si>
  <si>
    <t>Noah Oppenheim, executive producer of NBCâ€™s Today show, suspended Billy Bush from the program on Sunday for his involvement in a sexually explicit conversation with Donald Trump in 2005.</t>
  </si>
  <si>
    <t>Billy Bush</t>
  </si>
  <si>
    <t>Adam Cancryn, healthcare reporter for POLITICO Pro in Washington, D. C. will join us in the Hive to discuss issues relating to health care.</t>
  </si>
  <si>
    <t>Adam Cancryn</t>
  </si>
  <si>
    <t>POLITICO Pro</t>
  </si>
  <si>
    <t>D. C.</t>
  </si>
  <si>
    <t>Migowski also blamed the City Council for the disease because officials have not held an Index Survey on the Aedes aegypti mosquito since last October.</t>
  </si>
  <si>
    <t>Migowski</t>
  </si>
  <si>
    <t>Council</t>
  </si>
  <si>
    <t>Aede</t>
  </si>
  <si>
    <t>The clash ensued around 7:00am when Absar's men allegedly attacked Hiru supporters who were trying to build a fence around the piece of land, Md Shahjahan, officer-in-charge of Lohagara Police Station, told The Daily Star yesterday.</t>
  </si>
  <si>
    <t>Hiru</t>
  </si>
  <si>
    <t>Absar</t>
  </si>
  <si>
    <t>Shahjahan</t>
  </si>
  <si>
    <t>The Daily Star</t>
  </si>
  <si>
    <t>If you guessed Benjamin Church, the chief physician of the Medical Service of the Continental Army, then you know your insider threat history.</t>
  </si>
  <si>
    <t>Benjamin Church</t>
  </si>
  <si>
    <t>then</t>
  </si>
  <si>
    <t>the Medical Service of the Continental Army</t>
  </si>
  <si>
    <t>history</t>
  </si>
  <si>
    <t>Russia, a staunch ally of Syria, openly says it is supplying military equipment to Damascus, but opposition and Western countries also accuse Iran of sending weapons.</t>
  </si>
  <si>
    <t>Damascu</t>
  </si>
  <si>
    <t>Lynch, the 26th overall pick out of Memphis last April, got the starting nod because Siemianâ€™s bruised AC joint in his shoulder was still bothering him a week after he was flung to the turf in Tampa.</t>
  </si>
  <si>
    <t>Memphi</t>
  </si>
  <si>
    <t>Siemian</t>
  </si>
  <si>
    <t>Siemianâ€™</t>
  </si>
  <si>
    <t>The Bank of Italy expressed concern as long ago as 2010 over derivative investments at Monte dei Paschi di Siena bank despite its denials it knew about the full risks, an Italian newspaper said on Friday citing an official document.</t>
  </si>
  <si>
    <t>The Bank of Italy</t>
  </si>
  <si>
    <t>In just his second career start and third career appearance, Herrera completed 20 of 28 passes for 335 yards and three touchdowns to lead the Wildcats to a 26-0 victory over the Thunderbirds on Friday night."You have to give a lot of credit to their quarterback," Price said.</t>
  </si>
  <si>
    <t>Herrera</t>
  </si>
  <si>
    <t>Wildcat</t>
  </si>
  <si>
    <t>Price</t>
  </si>
  <si>
    <t>Thunderbird</t>
  </si>
  <si>
    <t>He cofounded PayPal and invested early in Facebook, and is worth about $2. 7 billion, .â€™ â€</t>
  </si>
  <si>
    <t>PayPal</t>
  </si>
  <si>
    <t>about $2</t>
  </si>
  <si>
    <t>From Hope King writing at CNN: Snapchat thought it had found a way to have a little fun on Wednesday, April 20, with a Bob Marley themed graphic.</t>
  </si>
  <si>
    <t>Hope King</t>
  </si>
  <si>
    <t>Bob Marley</t>
  </si>
  <si>
    <t>Newly emboldened, populist voices of the Democratic party called on Sunday for the grassroots revival of progressive forces in America, to remake the party and rebound following Donald Trumpâ€™s crushing victory over Hillary Clinton in the presidential election.</t>
  </si>
  <si>
    <t>A new Field poll released Tuesday shows that while Democratic presidential nominee Hillary Clinton still enjoys a sizable lead among likely voters in California, her lead is slipping significantly, falling seven points since July.</t>
  </si>
  <si>
    <t>A Chinese tourist on a grand tour of Europe was accidentally identified as a migrant and drawn into Germanyâ€™s migration system, finding himself locked in a migrant camp for two weeks after he attempted to report a crime.</t>
  </si>
  <si>
    <t>Europe</t>
  </si>
  <si>
    <t>Venezuelan opposition groups have long accused El Aissami of repressing dissent, participating in drug trafficking rings, and supporting Middle Eastern groups such as Hezbollah.</t>
  </si>
  <si>
    <t>El Aissami</t>
  </si>
  <si>
    <t>Middle Eastern</t>
  </si>
  <si>
    <t xml:space="preserve"> We were so wrong about Nevada; Obamaâ€™s cunning plot for SCOTUS; you now have a Facebook â€threatening to swallow someoneâ€ emoji! </t>
  </si>
  <si>
    <t>SCOTUS</t>
  </si>
  <si>
    <t>State Savings Bank was built in the Beaux Arts style by the acclaimed McKim, Mead and White architectural firm of New York in 1900 and received an addition 15 years later from Detroit architect firm Donaldson and Meier.</t>
  </si>
  <si>
    <t>State Savings Bank</t>
  </si>
  <si>
    <t>McKim, Mead</t>
  </si>
  <si>
    <t>McKim, Mead and White</t>
  </si>
  <si>
    <t>Donaldson and Meier</t>
  </si>
  <si>
    <t xml:space="preserve"> So many people have died in the Syrian war that the United Nations has given up counting </t>
  </si>
  <si>
    <t>the United Nation</t>
  </si>
  <si>
    <t>If youâ€™ve been around NR a long time, if youâ€™ve been an institutional groupie, you probably never met Linda Bridges, or ever saw her (something I try to offset below).</t>
  </si>
  <si>
    <t>NR</t>
  </si>
  <si>
    <t>Linda Bridges</t>
  </si>
  <si>
    <t>Linda Bridge</t>
  </si>
  <si>
    <t>Spike Lee will boycott this yearâ€™s Academy Awards after the Academy of Motion Picture Arts and Sciences nominated exclusively white actors in top categories for a second consecutive year.</t>
  </si>
  <si>
    <t>Spike Lee</t>
  </si>
  <si>
    <t>Lee</t>
  </si>
  <si>
    <t>the Academy of Motion Picture Arts and Sciences</t>
  </si>
  <si>
    <t>the Academy of Motion Picture Arts and Science</t>
  </si>
  <si>
    <t>* Will limit funds flowing to speculative housing purchases (Adds details, background)BEIJING, May 12 (Reuters) - Chinas central bank said on Friday it will maintain a prudent and neutral monetary policy and keep liquidity basically stable, reinforcing its intent to dampen speculative investment while keeping the economy adequately funded.</t>
  </si>
  <si>
    <t>background)BEIJING</t>
  </si>
  <si>
    <t xml:space="preserve">But in a recent Gallup poll, it was Clinton, not Sanders, who had the lead in enthusiasm among supporters. </t>
  </si>
  <si>
    <t>Gallup</t>
  </si>
  <si>
    <t>But Obi and Di Nardo, accused of being middlemen and taking illegal kickbacks, had asked for a separate fast-track trial which, under Italian law, allows sentences to be cut by a third.</t>
  </si>
  <si>
    <t>Obi</t>
  </si>
  <si>
    <t>Di Nardo</t>
  </si>
  <si>
    <t>BUT MONOLITHIC Faced with such difficulties, top IRGC commanders have publicly backed the nuclear deal, which in any case would have been impossible to reach without the full support of Supreme Leader Ayatollah Ali Khamenei.</t>
  </si>
  <si>
    <t>MONOLITHIC</t>
  </si>
  <si>
    <t>IRGC</t>
  </si>
  <si>
    <t>Ayatollah Ali Khamenei</t>
  </si>
  <si>
    <t>Supreme</t>
  </si>
  <si>
    <t>This is about a character.Disney brought in Howard mid-way through production to film extensive reshoots of the film after the studio fired original co-directors Phil Lord and Chris Miller.</t>
  </si>
  <si>
    <t>Howard</t>
  </si>
  <si>
    <t>Phil Lord</t>
  </si>
  <si>
    <t>Chris Miller</t>
  </si>
  <si>
    <t>Representative Mike Pompeo was once pointedly asked why his committeeâ€™s inquiry into the 2012 attacks on the American diplomatic compound in Benghazi, Libya, had dragged on longer than the Watergate investigation.</t>
  </si>
  <si>
    <t>Representative Mike Pompeo</t>
  </si>
  <si>
    <t>had</t>
  </si>
  <si>
    <t>Wall Street declared victory on Thursday after Maria Vullo, the recently appointed head of the Department of Financial Services, finalized and rules that spared top compliance officers from taking the fall for illegal money transfers.</t>
  </si>
  <si>
    <t>Maria Vullo</t>
  </si>
  <si>
    <t>the Department of Financial Services</t>
  </si>
  <si>
    <t>the Department of Financial Service</t>
  </si>
  <si>
    <t>A Mexican man, wanted for murder in his home country, was on Friday after being apprehended crossing the border into Texas.</t>
  </si>
  <si>
    <t>Mexican man</t>
  </si>
  <si>
    <t>Because I live in Brooklyn, not Helsinki, our baby box was merely a commercial replica inspired by the original Finnish product and was not provided to us free of charge by our government.</t>
  </si>
  <si>
    <t>Brooklyn</t>
  </si>
  <si>
    <t>Helsinki</t>
  </si>
  <si>
    <t>Finnish</t>
  </si>
  <si>
    <t>player.The entire game was intensely played, causing Priory coach Buck Matthews to pace up and down in front of his bench, wiping his face with a towel</t>
  </si>
  <si>
    <t>Priory</t>
  </si>
  <si>
    <t>Buck Matthews</t>
  </si>
  <si>
    <t>Buck Matthew</t>
  </si>
  <si>
    <t>Then in August 2013, following the Ghouta attack, the U. S. government assessment said it was â€œhighly likelyâ€ Assadâ€™s regime was responsible.</t>
  </si>
  <si>
    <t>Ghouta</t>
  </si>
  <si>
    <t>Assadâ€™</t>
  </si>
  <si>
    <t xml:space="preserve">We expect and urge all schools to meet their moral and legal responsibility to fully respect and include their transgender students, as thousands of schools around the country have already been doing for years,â€ Mara Keisling, executive director of the National Center for Transgender Equality advocacy group, said after the high courtâ€™s action. </t>
  </si>
  <si>
    <t>Mara Keisling</t>
  </si>
  <si>
    <t>National Center for Transgender Equality</t>
  </si>
  <si>
    <t>At a media briefing in Beijing after hurriedly flying to deal with the fallout in one of its largest markets, Fonterra's chief executive, Theo Spierings, said food safety was the company's top priority."We really regret the distress and anxiety which this issue could have caused," he said.</t>
  </si>
  <si>
    <t>Fonterra</t>
  </si>
  <si>
    <t>Theo Spierings</t>
  </si>
  <si>
    <t>The report found that when the CIA picked up increasing numbers of signals that a major attack was imminent, some agency officials, including Mr Tenet's deputy, were impatient with the administration's response."Some CIA officials expressed frustration about the pace of policymaking during the stressful summer of 2001," the report found.</t>
  </si>
  <si>
    <t>Tenet</t>
  </si>
  <si>
    <t>CIA</t>
  </si>
  <si>
    <t>Mr Tenet</t>
  </si>
  <si>
    <t>In her acceptance speech as the new provincial Liberal Party leader, Kathleen Wynne, 59, a former Ontario education minister, thanked her partner, Jane, for her support during a three-month campaign.</t>
  </si>
  <si>
    <t>Kathleen Wynne</t>
  </si>
  <si>
    <t>Liberal Party</t>
  </si>
  <si>
    <t>Jane</t>
  </si>
  <si>
    <t>â€™â€™ â€™CNN is standing by its report that senior campaign advisers for Sen. Marco Rubio of Florida have urged him to drop out of the Republican primary.</t>
  </si>
  <si>
    <t>Marco Rubio</t>
  </si>
  <si>
    <t>If social mediaâ€™s purpose is to connect people, it worked for the Steelers and Bills.</t>
  </si>
  <si>
    <t>Steelers</t>
  </si>
  <si>
    <t>Steeler</t>
  </si>
  <si>
    <t>Bills</t>
  </si>
  <si>
    <t xml:space="preserve"> Two of Americaâ€™s biggest commercial brands discount retailer Target and chain McDonaldâ€™s have taken steps to tamp down hysteria stemming from a recent spate of creepy clown sightings in the to Halloween at the end of this month.</t>
  </si>
  <si>
    <t>Target</t>
  </si>
  <si>
    <t>McDonaldâ€™s</t>
  </si>
  <si>
    <t>McDonaldâ€™</t>
  </si>
  <si>
    <t>Whether itâ€™s bringing a running motorcycle on stage, performing with hordes of fans dressed up as aliens and Santas, or having Miley Cyrus unexpectedly pop out of Wayne Coyneâ€™s oversize robe, the Oklahomans have always made their live shows as gloriously bizarre as possible.</t>
  </si>
  <si>
    <t>Miley Cyrus</t>
  </si>
  <si>
    <t>robe</t>
  </si>
  <si>
    <t>Wayne Coyneâ€™s</t>
  </si>
  <si>
    <t>have</t>
  </si>
  <si>
    <t xml:space="preserve"> Mondo we Langa, also known as David Rice, died in a Lincoln, Nebraska prison Saturday night, the Associated Press reported.</t>
  </si>
  <si>
    <t>Mondo we Langa</t>
  </si>
  <si>
    <t>Lincoln</t>
  </si>
  <si>
    <t>David Rice</t>
  </si>
  <si>
    <t>Nebraska</t>
  </si>
  <si>
    <t>Family and friends said goodbye Saturday to Bobbi Kristina Brown, the only child of the late Whitney Houston and singer Bobby Brown, at a private funeral just north of Atlanta.</t>
  </si>
  <si>
    <t>Bobbi Kristina Brown</t>
  </si>
  <si>
    <t>child</t>
  </si>
  <si>
    <t>Whitney Houston</t>
  </si>
  <si>
    <t>private</t>
  </si>
  <si>
    <t>McCain, Palin "sowing seeds of hatred and division" Discussing the Republican campaign, the civil rights icon invokes the memory of George Wallace's rallies.</t>
  </si>
  <si>
    <t>McCain</t>
  </si>
  <si>
    <t>George Wallace</t>
  </si>
  <si>
    <t>Bill Belichick stood, as he always does after Patriots homes games, at the podium late Saturday night wearing a pair of jeans and an expression that told you heâ€™d rather be locked in a closet with his .</t>
  </si>
  <si>
    <t>Bill Belichick</t>
  </si>
  <si>
    <t>Patriots</t>
  </si>
  <si>
    <t>Patriot</t>
  </si>
  <si>
    <t>This time he enters the House of Christopher Nolan, who executive produces, for a sci-fi thriller with Morgan Freeman and Kate Mara directed by Wally Pfister, Nolan's longtime cinematographer.</t>
  </si>
  <si>
    <t>Morgan Freeman</t>
  </si>
  <si>
    <t>Kate Mara</t>
  </si>
  <si>
    <t>Wally Pfister</t>
  </si>
  <si>
    <t xml:space="preserve">A dispute over whether the US government deported an undocumented immigrant with protected status heated up Wednesday, as the Department of Homeland Security released further details about the case. </t>
  </si>
  <si>
    <t>undocumented</t>
  </si>
  <si>
    <t>As the investigation revealed, Swiss accounts were held by numerous Clinton donors.</t>
  </si>
  <si>
    <t>But what really riled Turnbull was an error-riddled and ideological attack by ABC reporter Emma Alberici on his company tax cuts, Bolt said.</t>
  </si>
  <si>
    <t>Turnbull</t>
  </si>
  <si>
    <t>ABC</t>
  </si>
  <si>
    <t>Emma Alberici</t>
  </si>
  <si>
    <t>Bolt</t>
  </si>
  <si>
    <t xml:space="preserve"> The wind is up in Wilson, N. C. Giant pinwheels and propellers start spinning atop tall and spindly kinetic sculptures called whirligigs, which have been erected on a village green being developed into Whirligig Park.</t>
  </si>
  <si>
    <t>Wilson</t>
  </si>
  <si>
    <t>N. C.</t>
  </si>
  <si>
    <t>N. C. Giant</t>
  </si>
  <si>
    <t>I can say.France would support new industrial pairings for its biggest carmaker, Finance Minister Pierre Moscovici said.We want this company to be able to conclude strategic partnerships that will enable it to achieve the renaissance that it deserves, he told reporters.</t>
  </si>
  <si>
    <t>Finance Minister Pierre Moscovici</t>
  </si>
  <si>
    <t>Pierre Moscovici</t>
  </si>
  <si>
    <t>President Trumpâ€™s former national security adviser, Michael Flynn, collected more than $50, 000 from Russian companies, including a television network, according to documents released in a congressional inquiry.</t>
  </si>
  <si>
    <t>Donald Sterlingâ€™s career was destroyed after tapes surfaced of racist comments he made to his mistress Paula Deen lost publishing deals and endorsements over similar allegations that she had used racist language decades earlier.</t>
  </si>
  <si>
    <t>Donald Sterlingâ€™s</t>
  </si>
  <si>
    <t>Donald Sterlingâ€™</t>
  </si>
  <si>
    <t>Paula Deen</t>
  </si>
  <si>
    <t>Google's Android software, which Apple's late founder Steve Jobs denounced as a "stolen product," has become the world's No.1 smartphone operating system.</t>
  </si>
  <si>
    <t>Steve Job</t>
  </si>
  <si>
    <t>No.1</t>
  </si>
  <si>
    <t>Earlier in the day, third seed Stan Wawrinka was sent packing in the fourth round and the Swiss was very nearly joined by Rafa Nadal, who pulled off a Houdini-like escape to reach the last eight.</t>
  </si>
  <si>
    <t>Stan Wawrinka</t>
  </si>
  <si>
    <t>Rafa Nadal</t>
  </si>
  <si>
    <t xml:space="preserve"> On Wednesday, something surprising and strange happened in Brazil: The president, Dilma Rousseff, appointed former President Luiz InÃ¡cio Lula da Silva, her political mentor, to her own Cabinet. </t>
  </si>
  <si>
    <t>Luiz InÃ¡cio Lula da Silva</t>
  </si>
  <si>
    <t>Interviewed in Belgian newspaper, Lâ€™Echo, he says Europe is dealing with CRIMINALS and must be stoical as it faces the risk of further attacks.</t>
  </si>
  <si>
    <t>Belgian</t>
  </si>
  <si>
    <t>Lâ€™Echo</t>
  </si>
  <si>
    <t>In response, Mexico has lined the cityâ€™s coastal boulevard with heavily armed police and soldiers, turning Acapulco into a test case for a security strategy that the government has used elsewhere: When homicides spike, flood the area with troops.</t>
  </si>
  <si>
    <t>Acapulco</t>
  </si>
  <si>
    <t>Top US diplomats on Sunday gave mixed signals as to what President Trump intends to do next after in retaliation for a poison gas attack</t>
  </si>
  <si>
    <t>gave</t>
  </si>
  <si>
    <t>next</t>
  </si>
  <si>
    <t>Gotye's trickily rhythmic "Somebody That I Used to Know" and Katy Perry's self-helpy "Wide Awake" may be potential nominees, while Miguel's "Adorn" has emerged as dark horse from the artsy R&amp;B world.</t>
  </si>
  <si>
    <t>Gotye</t>
  </si>
  <si>
    <t>Katy Perry</t>
  </si>
  <si>
    <t>Katy Perry's</t>
  </si>
  <si>
    <t>R&amp;B</t>
  </si>
  <si>
    <t>Zika will likely spread to all countries in the Americas except for Canada and Chile, the World Health Organization said on Monday.</t>
  </si>
  <si>
    <t>Zika</t>
  </si>
  <si>
    <t>Chile</t>
  </si>
  <si>
    <t>the World Health Organization</t>
  </si>
  <si>
    <t>The United States should help Ukraine fulfill the promise of the past and enable the country to choose its own role in the international community.,</t>
  </si>
  <si>
    <t>The United States</t>
  </si>
  <si>
    <t>Ukraine</t>
  </si>
  <si>
    <t>Tyler Anderson allowed just two hits over eight scoreless innings in a second straight dominant start Wednesday night, when Chris Iannetta homered in the seventh inning to provide the only run as the Colorado Rockies completed a three-game sweep of the visiting San Francisco Giants with a rare 1-0 victory at Coors Field.</t>
  </si>
  <si>
    <t>Tyler Anderson</t>
  </si>
  <si>
    <t>Chris Iannetta</t>
  </si>
  <si>
    <t>the Colorado Rockie</t>
  </si>
  <si>
    <t>The town of Houla in Homs province was the scene in May 2012 of the killings of 108 people, including nine children and 34 women, which U.N. monitors blamed on the army and pro-Assad militia.</t>
  </si>
  <si>
    <t>U.N.</t>
  </si>
  <si>
    <t>Houla in Homs province</t>
  </si>
  <si>
    <t>pro-Assad</t>
  </si>
  <si>
    <t>Keep Tax Reform Simple: Republicans should support a tax plan that cuts the corporate income tax rate and includes billions in infrastructure spending, argues Fred Barnes.</t>
  </si>
  <si>
    <t>Fred Barnes</t>
  </si>
  <si>
    <t>Fred Barne</t>
  </si>
  <si>
    <t>Shirt number all but obliterated with mud, Cristiano Ronaldo's early departure from the latest instalment of Manchester United's thrilling renaissance was accompanied by the fans behind Brad Friedel's goal hissing expletives and flashing V-signs, all presumably in the cause of In-ger-land.</t>
  </si>
  <si>
    <t>Cristiano Ronaldo's</t>
  </si>
  <si>
    <t>Cristiano Ronaldo</t>
  </si>
  <si>
    <t>Brad Friedel's</t>
  </si>
  <si>
    <t>Brad Friedel</t>
  </si>
  <si>
    <t>Itâ€™s a sweltering night in July and Los Angelesâ€™ Underground Museum is packed.</t>
  </si>
  <si>
    <t>Los Angelesâ€™</t>
  </si>
  <si>
    <t>Underground Museum</t>
  </si>
  <si>
    <t>London has elected a Muslim mayor, Sadiq Khan, who is praised as a moderate</t>
  </si>
  <si>
    <t>mayor</t>
  </si>
  <si>
    <t>Sadiq Khan</t>
  </si>
  <si>
    <t xml:space="preserve">Updated at 5:52 p. m. ET, Democrats on the House Oversight Committee want to see White House records on the presidentâ€™s </t>
  </si>
  <si>
    <t>the House Oversight Committee</t>
  </si>
  <si>
    <t>They occasionally threatened in amongst Derbys attacks with ex-Ram Steve Davies going close with a header from Paul Andersons corner.</t>
  </si>
  <si>
    <t>Derbys</t>
  </si>
  <si>
    <t>Derby</t>
  </si>
  <si>
    <t>Steve Davies</t>
  </si>
  <si>
    <t>Paul Anderson</t>
  </si>
  <si>
    <t xml:space="preserve"> FCC Chairman Ajit Pai outlined his plan to roll back net neutrality rules during a speech at the Newseum in Washington, DC today.</t>
  </si>
  <si>
    <t>FCC</t>
  </si>
  <si>
    <t>Ajit Pai</t>
  </si>
  <si>
    <t>DC</t>
  </si>
  <si>
    <t>The police raided dozens of sites across Belgium and brought in 40 people for questioning in an operation to interrupt a terrorist plot to attack fans gathering to watch a televised soccer match between the Belgian and Irish national teams, government officials said on Saturday.</t>
  </si>
  <si>
    <t>team</t>
  </si>
  <si>
    <t>government</t>
  </si>
  <si>
    <t>Republican Congressman David Jolly has introduced legislation that would ban the federal government from purchasing Apple products until the Silicon Valley firm agrees to cooperate with the FBIâ€™s request to decrypt the iPhone of San Bernardino jihadi Syed Farook.</t>
  </si>
  <si>
    <t>David Jolly</t>
  </si>
  <si>
    <t>Syed Farook</t>
  </si>
  <si>
    <t>In an epic 10-minute game, Muguruza held for 4-3 with the crowd appreciating some hugely entertaining rallies between the determined pair.That definitely was an important game, said the Spaniard.I fight.</t>
  </si>
  <si>
    <t>Muguruza</t>
  </si>
  <si>
    <t>Spaniard</t>
  </si>
  <si>
    <t>Spaniard.I</t>
  </si>
  <si>
    <t>Built around a rousing tale of heroism, Peter Bergâ€™s Deepwater Horizon seemed poised to follow Clint Eastwoodâ€™s Sully as a hit.</t>
  </si>
  <si>
    <t>Peter Bergâ€™s</t>
  </si>
  <si>
    <t>Peter Bergâ€™</t>
  </si>
  <si>
    <t>Clint Eastwoodâ€™s</t>
  </si>
  <si>
    <t>Clint Eastwoodâ€™s Sully</t>
  </si>
  <si>
    <t>â€™s westernmost Baltic region, the Interfax news agency has reported, a move that comes amid rising tensions in ties between Russia and the west.</t>
  </si>
  <si>
    <t>Baltic</t>
  </si>
  <si>
    <t>that</t>
  </si>
  <si>
    <t>Interfax</t>
  </si>
  <si>
    <t>tension</t>
  </si>
  <si>
    <t>â€™â€™ â€™Just after North Korea carried out a and a in Malyasia, the that the US was considering direct military action against the Kim regime.</t>
  </si>
  <si>
    <t>Malyasia</t>
  </si>
  <si>
    <t>Kim</t>
  </si>
  <si>
    <t>Sajjad Karim, the legal affairs spokesman for the Conservatives in the European parliament, claimed that the result in the hotly contested marginal seat of Pendle, Lancashire, could be affected by voter intimidation and postal vote fraud.</t>
  </si>
  <si>
    <t>Sajjad Karim</t>
  </si>
  <si>
    <t>Lancashire</t>
  </si>
  <si>
    <t>Gmail accounts belonging to human-rights activists were targeted by Chinese hackers  almost certainly with the approval of the Chinese government  though Google said that only certain details about the accounts, such as the subject lines of emails and the date when the accounts were created, were compromised.</t>
  </si>
  <si>
    <t>Gary Cahill has described his prospective first appearance in a final since youth-team football as "sink or swim" as he prepares to partner David Luiz at the heart of Chelsea's defence in Saturday's Champions League showpiece against Bayern Munich.</t>
  </si>
  <si>
    <t>Gary Cahill</t>
  </si>
  <si>
    <t>David Luiz</t>
  </si>
  <si>
    <t>Champions League</t>
  </si>
  <si>
    <t>Hillary Clinton has also articulated a strong stance on China, but is less likely to take the protectionist steps that could spark a trade war with the Asian power.</t>
  </si>
  <si>
    <t>While during Monday nightâ€™s first presidential debate, outspoken liberal documentary filmmaker Michael Moore contended that Republican Donald Trump â€œwonâ€ the contest over his Democratic rival, Hillary Clinton.</t>
  </si>
  <si>
    <t>Michael Moore</t>
  </si>
  <si>
    <t>And, like any self-respecting electric skateboard, the Acton iOS and Android app connects to the board via Bluetooth, which lets you record your routes, and log your miles, as well as take on levels and challenges.</t>
  </si>
  <si>
    <t>Acton</t>
  </si>
  <si>
    <t>you</t>
  </si>
  <si>
    <t>Android</t>
  </si>
  <si>
    <t>For months, Chief James P. Oâ€™Neill was the man in the blue uniform with four gold stars standing, shoulders square, just behind Police Commissioner William J. Bratton in his pressed suits and HermÃ¨s ties.</t>
  </si>
  <si>
    <t>James P. Oâ€™Neill</t>
  </si>
  <si>
    <t>William J. Bratton</t>
  </si>
  <si>
    <t>we donâ€™t believe in anything, we donâ€™t trust anybodyâ€ mood that helped the â€œleaveâ€ campaign win the Brexit vote is now working in the Labour Partyâ€™s favor.</t>
  </si>
  <si>
    <t>the Labour Partyâ€™s</t>
  </si>
  <si>
    <t>Brexit</t>
  </si>
  <si>
    <t>the Labour Partyâ€™</t>
  </si>
  <si>
    <t>On a mission to â€œrespect taxpayersâ€ and â€œstop the gravy train,â€ Ford consistently voted against funding everything from the cityâ€™s Pride Parade to community grants programs, the Toronto Symphony, the Toronto International Film Festival, and the Canadian Opera Company.</t>
  </si>
  <si>
    <t>Ford</t>
  </si>
  <si>
    <t>the Toronto Symphony</t>
  </si>
  <si>
    <t>the Canadian Opera Company</t>
  </si>
  <si>
    <t>East Baton Rouge Sheriffâ€™s Deputy Nick Tullier has been in a coma for over 90 days since he was shot in the head on July 17.</t>
  </si>
  <si>
    <t>East Baton Rouge Sheriffâ€™s</t>
  </si>
  <si>
    <t>ha</t>
  </si>
  <si>
    <t>Nick Tullier</t>
  </si>
  <si>
    <t xml:space="preserve"> Polish authorities said on Thursday they had found the remains of two other people in the coffin of former president Lech Kaczynski while investigating the plane crash in Russia that killed him and 95 others in 2010.</t>
  </si>
  <si>
    <t>Lech Kaczynski</t>
  </si>
  <si>
    <t>president Lech Kaczynski</t>
  </si>
  <si>
    <t>Gabbard has been critical of the committeeâ€™s small debate schedule, which critics say is designed to protect Democratic Hillary Clinton.</t>
  </si>
  <si>
    <t>Gabbard</t>
  </si>
  <si>
    <t>This provision would effectively make Americaâ€™s southern neighbor responsible for the lives of nationals seeking life or refuge in the United States.</t>
  </si>
  <si>
    <t>When Social and Emotional Learning Is Key to College Success | Emmanuel Felton, The Preschoolerâ€™s Empathy Void | Alia Wong, STEM | STEAM, Definition:</t>
  </si>
  <si>
    <t>Emmanuel Felton</t>
  </si>
  <si>
    <t>Social</t>
  </si>
  <si>
    <t>Alia Wong</t>
  </si>
  <si>
    <t>Democrats now are planning to, at least for now, block most Senate action or delay most Senate action until, they say, there is a vote on these appropriations bills that we expect to start coming out of the House.</t>
  </si>
  <si>
    <t>Those HUD Grants, As has been noted on several previous occasions, one of the overarching questions about Americaâ€™s first businessman presidency is just how President Trumpâ€™s vast empire will interact with federal agencies that answer to him.</t>
  </si>
  <si>
    <t>HUD</t>
  </si>
  <si>
    <t>HUD Grant</t>
  </si>
  <si>
    <t>Thats the best expression I can use."Phoenix Coyotes forward Shane Doan told the Arizona Republic the lockout players are starting to feel embarrassed about saying they play in the NHL."Youve always been proud to say youre an NHL player, to tell people that you play for the NHL.</t>
  </si>
  <si>
    <t>Shane Doan</t>
  </si>
  <si>
    <t>NHL."Youve</t>
  </si>
  <si>
    <t>In broad outline, North Korean threat reduction requires progressive development of defenses against the DPRKâ€™s means of destruction while simultaneously weakening Pyongyangâ€™s capabilities for supporting both conventional and strategic offense.</t>
  </si>
  <si>
    <t>DPRK</t>
  </si>
  <si>
    <t>Pyongyang</t>
  </si>
  <si>
    <t>Meanwhile, the US embassy in London felt it necessary to contradict Trump and praise Khanâ€™s leadership.</t>
  </si>
  <si>
    <t>Khan</t>
  </si>
  <si>
    <t>A California serial killer is preparing to try to overturn one of his slay convictions by using a defense a la Manhattan â€œPreppy Killerâ€ Robert Chambers, The Post has learned.</t>
  </si>
  <si>
    <t>Robert Chambers</t>
  </si>
  <si>
    <t>Robert Chamber</t>
  </si>
  <si>
    <t>A US official said an American review of radar and other data indicated that Syrian aircraft flew in the area at the time of the attack.</t>
  </si>
  <si>
    <t>(Reuters) - Pakistans Supreme Court on Tuesday upheld a lower courts decision to release an Islamist militant who India accuses of masterminding a 2008 assault on Mumbai, dismissing a government appeal.</t>
  </si>
  <si>
    <t>Pakistans</t>
  </si>
  <si>
    <t>Mumbai</t>
  </si>
  <si>
    <t>(It was also the night she met future husband Bobby Brown, with whom she had a volatile, drug-fueled relationship.)Youre not black enough for them, the seven-time Grammy winner later said in an interview, recounting her detractors complaints.</t>
  </si>
  <si>
    <t>Bobby Brown</t>
  </si>
  <si>
    <t>Grammy</t>
  </si>
  <si>
    <t>Many parliamentarians in his own Conservative Party are pressuring him to call a full-fledged referendum on whether Britain should remain in the EU, and growing support for the anti-European party UKIP at the expense of the Conservatives has fuelled their demands.</t>
  </si>
  <si>
    <t>Conservative Party</t>
  </si>
  <si>
    <t>anti-European</t>
  </si>
  <si>
    <t>Then the evidence emerged: pictures of the bruises on Heardâ€™s face, the broken champagne bottles Heard said Depp threw at her, the shattered glass on the floor.</t>
  </si>
  <si>
    <t>Heard</t>
  </si>
  <si>
    <t>Heardâ€™</t>
  </si>
  <si>
    <t>Depp</t>
  </si>
  <si>
    <t>While Chaffetz has often been aggressive in investigating President Obama's administration, he said he's only launched investigations in the past after there were allegations of wrongdoing following Obama's inauguration."If people have questions about this, the White House is going to be the one that has to answer those questions," he said.</t>
  </si>
  <si>
    <t xml:space="preserve">Itâ€™s a small step for Uncle Sam, but a sign of much bigger things to come: For the first time ever, the US government has OKâ€™d a private firmâ€™s mission beyond low Earth orbit </t>
  </si>
  <si>
    <t>Uncle Sam</t>
  </si>
  <si>
    <t>Earth</t>
  </si>
  <si>
    <t>Elections Supervisor Ross Hein set out the timetable following the recount requests Friday by Stein and Independent Party candidate Rocky De La Fuente.</t>
  </si>
  <si>
    <t>Ross Hein</t>
  </si>
  <si>
    <t>Stein and Independent Party</t>
  </si>
  <si>
    <t>Stein</t>
  </si>
  <si>
    <t>Rocky De La Fuente</t>
  </si>
  <si>
    <t>Pipeline supporters speak out, Energy Transfer Partners and Sunoco Logistics Partners, the corporations behind the Dakota Access Pipeline, said in a statement Sunday night they â€fully expect to complete construction of the pipeline without any additional rerouting in and around Lake Oahe.â€ As far as theyâ€™re concerned, the White Houseâ€™s directive does not change past court decisions to green light the project.</t>
  </si>
  <si>
    <t>Energy Transfer Partners</t>
  </si>
  <si>
    <t>Sunoco Logistics Partner</t>
  </si>
  <si>
    <t>Sunoco Logistics Partners</t>
  </si>
  <si>
    <t>Lake Oahe</t>
  </si>
  <si>
    <t>As Fox News continues to reel from the summary dismissal of its top star Bill Oâ€™Reilly this week and its creator, Roger Ailes earlier this year, a lot of attention has been given to women who worked there and whether they experienced any sort of harassment.</t>
  </si>
  <si>
    <t>Bill Oâ€™Reilly</t>
  </si>
  <si>
    <t>from</t>
  </si>
  <si>
    <t>Roger Ailes</t>
  </si>
  <si>
    <t>creator</t>
  </si>
  <si>
    <t>Maine law gives the governor five business days to certify the results of an election, she said, and LePage doesnâ€™t want to â€prematurelyâ€ cut off the unsuccessful candidateâ€™s statutory right to request a recount.</t>
  </si>
  <si>
    <t>Maine</t>
  </si>
  <si>
    <t>LePage</t>
  </si>
  <si>
    <t>â€Brexit cannot lead to a kind of optimization of Britainâ€™s relationship with the rest of Europe.</t>
  </si>
  <si>
    <t xml:space="preserve">During an interview on SiriusXM 102 Radio Andyâ€™s program â€œAlter Family Politicsâ€ on Thursday, Senator Elizabeth Warren ( ) said she was â€œtroubledâ€ by President Obama accepting a $400, 000 for an upcoming speech to Wall Street firm Cantor Fitzgerald. </t>
  </si>
  <si>
    <t>Andy</t>
  </si>
  <si>
    <t>Elizabeth Warren</t>
  </si>
  <si>
    <t>Cantor Fitzgerald</t>
  </si>
  <si>
    <t xml:space="preserve"> President Trump met Tuesday morning with a group of sheriffs from the National Sheriffs Association, a group that consists of more than 3, 000 sheriffs from around the country.</t>
  </si>
  <si>
    <t>the National Sheriffs Association</t>
  </si>
  <si>
    <t>The Senate Democratsâ€™ leader is warning Republicans against blocking President Obamaâ€™s Supreme Court nominee to replace Justice Antonin Scalia, claiming such an action would be a radical abdication of their duties as senators.</t>
  </si>
  <si>
    <t>Antonin Scalia</t>
  </si>
  <si>
    <t>â€™s Supreme Court</t>
  </si>
  <si>
    <t>Masticha has a very innocent taste which carries one back to the days of childhood and the comforting draught of paregoric but for all that it belongs to the American genus â€tanglefoot,â€ the temptatura pedes of Master Virgil, and our missionaries in Constantinople make merry over tourists when they praise the sobriety of the Turk who eschews wine, but is no stranger to the â€innocent cordialsâ€ of the country.</t>
  </si>
  <si>
    <t>Virgil</t>
  </si>
  <si>
    <t>Soul legend Aretha Franklin donned a Lions beanie and belted out the National Anthem ahead of Detroitâ€™s home game against the Minnesota Vikings on Thanksgiving, delivering one of the longest renditions of â€œ</t>
  </si>
  <si>
    <t>Aretha Franklin</t>
  </si>
  <si>
    <t>Lions</t>
  </si>
  <si>
    <t>Detroitâ€™</t>
  </si>
  <si>
    <t xml:space="preserve"> Police questioned and then released relatives of a man shot dead at a Paris airport, as investigators sought clues on why he attacked an army patrol in an incident that has pushed security to the forefront of Franceâ€™s election campaign.</t>
  </si>
  <si>
    <t>The capstone of the Stanford class, and a key part of the book, is an assignment to come up with three â€œOdyssey Plansâ€ that map out the next five years of your life in radically different ways.</t>
  </si>
  <si>
    <t>Odyssey</t>
  </si>
  <si>
    <t>U. S. District Judge William Orrick issued his temporary ruling as a result of two lawsuits brought against the administration by the city of San Francisco and the county of Santa Clara.</t>
  </si>
  <si>
    <t>William Orrick</t>
  </si>
  <si>
    <t>U. S. District</t>
  </si>
  <si>
    <t>Santa Clara</t>
  </si>
  <si>
    <t>To do them justice, here are their full responses to the Guardian's questionsTo me, Godspeed is more than just a band, it's an idea.</t>
  </si>
  <si>
    <t>Godspeed</t>
  </si>
  <si>
    <t>Gabbard, a member of the House Armed Services Committee and a military veteran who served in Iraq, also has been critical of President Obamaâ€™s strategy for stopping the Islamic State.</t>
  </si>
  <si>
    <t>Boris Johnson will tell cabinet colleagues that all experts are agreed on the need for an urgent financial boost for the NHS, as he warns that Conservative failure to act will result in Jeremy Corbyn winning the next election.</t>
  </si>
  <si>
    <t>Boris Johnson</t>
  </si>
  <si>
    <t>Jeremy Corbyn</t>
  </si>
  <si>
    <t>After having spent years starring in the blockbuster Harry Potter film franchise, Emma Watsonâ€™s latest film, The Colony, pulled in a paltry Â£47 in her native United Kingdom this weekend â€” or about $60.</t>
  </si>
  <si>
    <t>Harry Potter</t>
  </si>
  <si>
    <t>Emma Watsonâ€™</t>
  </si>
  <si>
    <t>Emma Watsonâ€™s</t>
  </si>
  <si>
    <t>United Kingdom</t>
  </si>
  <si>
    <t xml:space="preserve">His British analogue, Labourâ€™s Jeremy Corbyn, espouses far nuttier and more troubling beliefs (including past praise of Fidel Castro, Hugo ChÃ¡vez and Moammar Gaddafi). </t>
  </si>
  <si>
    <t>Labour</t>
  </si>
  <si>
    <t>Fidel Castro</t>
  </si>
  <si>
    <t>â€™s economic vision for the US, Hillary Clinton said Donald Trumpâ€™s proposals will only benefit the rich, while destroying the economy in tandem.</t>
  </si>
  <si>
    <t>destroying</t>
  </si>
  <si>
    <t>The Competitive Enterprise Institutes' Wayne Crews has confirmed that federal regulations cost Americans $1.9 trillion in 2017, nearly $15,000 per US household and approximately 10% of US GDP, a horrendous burden on our economy.</t>
  </si>
  <si>
    <t>Wayne Crews</t>
  </si>
  <si>
    <t>Wayne Crew</t>
  </si>
  <si>
    <t>But as important as what Democrats wonâ€™t get is what Republicans avoid: The panic that would have been triggered by a Handel loss.</t>
  </si>
  <si>
    <t>Handel</t>
  </si>
  <si>
    <t>The companies Uber and Lyft said Monday theyâ€™d stop service in Austin, Texas, because voters rejected a proposal that would have loosened regulations on the two companies.</t>
  </si>
  <si>
    <t>Lyft</t>
  </si>
  <si>
    <t>regulation</t>
  </si>
  <si>
    <t>Band, who touts himself as the founder of â€œClinton Inc. ,â€ started out as a White House intern.</t>
  </si>
  <si>
    <t>Band</t>
  </si>
  <si>
    <t>Clinton Inc.</t>
  </si>
  <si>
    <t>The interest of bigger players in the UK fund industry also arose on Wednesday when US hedge fund Elliott Management acquired derivatives equivalent to a stake of almost 11 percent in Britain's F&amp;C Asset Management.</t>
  </si>
  <si>
    <t>Elliott Management</t>
  </si>
  <si>
    <t>F&amp;C Asset Management</t>
  </si>
  <si>
    <t xml:space="preserve"> After a weekend of suspected terror attacks in New York and New Jersey, Republican nominee Donald Trump suggested again on Monday that law enforcement in the United States should consider religious and ethnic profiling as a tactic to prevent future attacks.</t>
  </si>
  <si>
    <t>Two law enforcement officers have been killed during a massive manhunt for a murder suspect in Orlando, Fla. Master Sgt.</t>
  </si>
  <si>
    <t>Sgt</t>
  </si>
  <si>
    <t>â€˜Does not, then, the Almighty clearly impress an awe of the persons and authority of Kings upon the minds of their subjects, hereby proving Government of Divine origin?â€</t>
  </si>
  <si>
    <t>Government of Divine</t>
  </si>
  <si>
    <t>On the top deck, players held up a giant banner stating "Thanks Barney" - a reference to Kennedy's likeness to Flintstones character Barney Rubble."The homecoming was unbelievable," says Kennedy, who went on to score the winning penalty in Liverpool's 1984 European Cup shootout triumph over AS Roma in Rome.</t>
  </si>
  <si>
    <t>Barney</t>
  </si>
  <si>
    <t>Barney Rubble."The</t>
  </si>
  <si>
    <t>The British brothers beat third seeds Mahesh Bhupathi of India and Max Mirnyi of Belarus 7-6 (8/6) 5-7 10-7.The win came four days after Andy Murray's shock second-round defeat by Juan Monaco in the singles at a tournament he won last year."We beat one of the best teams in the world</t>
  </si>
  <si>
    <t>Mahesh Bhupathi</t>
  </si>
  <si>
    <t>Max Mirnyi</t>
  </si>
  <si>
    <t>Juan Monaco</t>
  </si>
  <si>
    <t>Whether Gorsuch would be a bulwark against any potential constitutional transgressions or a rubber stamp was a central theme of multiple Democratic senatorsâ€™ inquiries.</t>
  </si>
  <si>
    <t>Gorsuch</t>
  </si>
  <si>
    <t>Whether Gorsuch</t>
  </si>
  <si>
    <t>The most right, viable Donald Trump would deport criminals, defund sanctuary cities, suspend the program, subject immigrants to â€œextreme vetting,â€ and shield Americans by building a protective wall to stem the flow of those who violate our southern border.</t>
  </si>
  <si>
    <t>Stars Hollow, the picturesque setting of the TV show The Gilmore Girls is practically a character of its own. (sometimes to a fault) the fictional New England town is filled with lovable oddballs who gossip over coffee, bicker at town meetings, and make viewers wonder if thereâ€™s anything remotely like it in the real world.</t>
  </si>
  <si>
    <t>Stars Hollow</t>
  </si>
  <si>
    <t>Raymond Severt, a Santa Rosa resident, was booked into Marin County Jail on suspicion of attempted lewd and lascivious acts, contacting a minor with intent to commit a sexual offense and attempted child molestation.</t>
  </si>
  <si>
    <t>Raymond Severt</t>
  </si>
  <si>
    <t>Santa Rosa</t>
  </si>
  <si>
    <t>Marin County Jail</t>
  </si>
  <si>
    <t>Quebecs anti-corruption squad said in November that SNCs former head of construction, Riadh Ben Aissa, faced the same charges as Duhaime.</t>
  </si>
  <si>
    <t>Riadh Ben Aissa</t>
  </si>
  <si>
    <t>SNC</t>
  </si>
  <si>
    <t>Duhaime</t>
  </si>
  <si>
    <t>CREWâ€™s bipartisan legal team includes, among others, Norm Eisen and Richard Painter, who served as ethics lawyers under Presidents Obama and George W. Bush, respectively Laurence Tribe, a constitutional law professor at Harvard University and Zephyr Teachout, a professor at Fordham University (and former congressional candidate) who is considered an authority on the Emoluments Clause.</t>
  </si>
  <si>
    <t>Norm Eisen</t>
  </si>
  <si>
    <t>CREW</t>
  </si>
  <si>
    <t>Richard Painter</t>
  </si>
  <si>
    <t>How is it that with seven days left until the election, we are consumed anew by emails, Hillary Clintonâ€™s private server, the F. B. I. and an investigation that was supposed to be closed?</t>
  </si>
  <si>
    <t>F. B. I.</t>
  </si>
  <si>
    <t>Hispanics were found to have fueled Texasâ€™ dramatic growth in the 2010 census, the year before the maps were drawn, accounting for two out of every three new residents in the state.</t>
  </si>
  <si>
    <t>Hispanic</t>
  </si>
  <si>
    <t>On June 9, at the monthly â€œConversations with Conservativesâ€ forum on Capitol Hill, a Freedom Caucus members were asked whether they would support any effort to topple Trump in Cleveland.</t>
  </si>
  <si>
    <t>Freedom Caucu</t>
  </si>
  <si>
    <t>Freedom Caucus</t>
  </si>
  <si>
    <t xml:space="preserve"> Marine Le Pen, Franceâ€™s candidate and the leader of the National Front, held a rally in Bordeaux on Sunday.</t>
  </si>
  <si>
    <t>Marine Le Pen</t>
  </si>
  <si>
    <t>the National Front</t>
  </si>
  <si>
    <t>Thirdly, why were important figures in Ukraines Jewish community quick to dismiss Russian president Vladimir Putins condemnation of the role of anti-Semitic groups in the Maidan coup as a cynical ploy aimed at dividing Ukraines Jewish community?</t>
  </si>
  <si>
    <t>Ukraines Jewish</t>
  </si>
  <si>
    <t>Russian president Vladimir Putins</t>
  </si>
  <si>
    <t>What will provide that spark was far from obvious after the resounding 4-0 defeat at Anfield last time out, but developments over the past 10 days will have increased optimism at Craven Cottage, with former United assistant Ren Meulensteen joining Jol's management team.</t>
  </si>
  <si>
    <t>Ren Meulensteen</t>
  </si>
  <si>
    <t>Anfield</t>
  </si>
  <si>
    <t>Jol</t>
  </si>
  <si>
    <t>Through this exercise, I am sure we can deter war and remove our enemy's intention to provoke us."William Perry, who served as U.S. defense secretary from 1994 to 1997 and negotiated with North Korea, said he did not believe Pyongyang was planning a surprise attack, despite the fiery rhetoric.</t>
  </si>
  <si>
    <t>Perry</t>
  </si>
  <si>
    <t>The same college Republican group had invited Yiannopoulos to speak in February, but his invitation was also rescinded amidst the violence that news of his planned appearance prompted.</t>
  </si>
  <si>
    <t>Yiannopoulos</t>
  </si>
  <si>
    <t>Yiannopoulo</t>
  </si>
  <si>
    <t>(Corrects former title of Hu Jintao in paragraph 8)BERLIN, March 23 (Reuters) - Chinese telecom and internet company Huawei defended its independence on Sunday and said it would condemn any infiltration of its servers by the U.S. National Security Agency if reports of such activities by the NSA were true.</t>
  </si>
  <si>
    <t>Hu Jintao</t>
  </si>
  <si>
    <t>Huawei</t>
  </si>
  <si>
    <t>TEL AVIV â€” Speaking at a conference two weeks before the 2016 presidential election, Evelyn Farkas, a former top Obama administration official, predicted that if Donald Trump won the presidency he would â€œbe impeached pretty quickly or somebody else would have to take over government,â€ Breitbart News has found.</t>
  </si>
  <si>
    <t>Evelyn Farkas</t>
  </si>
  <si>
    <t>Evelyn Farka</t>
  </si>
  <si>
    <t>One group of doctors, represented by the American College of Obstetricians and Gynecologists, recommends yearly pelvic exams for all women 21 years of age and older, whether they have symptoms of disease or not.</t>
  </si>
  <si>
    <t>the American College of Obstetricians and Gynecologists</t>
  </si>
  <si>
    <t>all</t>
  </si>
  <si>
    <t>21 years of age</t>
  </si>
  <si>
    <t>The Bundesbank took aim at a deal agreed earlier this month to ease the burden of Irelands bank debts.</t>
  </si>
  <si>
    <t>Bundesbank</t>
  </si>
  <si>
    <t>Ireland</t>
  </si>
  <si>
    <t>Before Curryâ€™s injury, the Warriors were cruising toward a repeat of the NBA title they won last season, having beaten the record of the 1996 Chicago Bulls and perfecting the offense that had made them such a phenomenon in the league.</t>
  </si>
  <si>
    <t>Curry</t>
  </si>
  <si>
    <t>Curryâ€™</t>
  </si>
  <si>
    <t>Warriors</t>
  </si>
  <si>
    <t>Chicago Bull</t>
  </si>
  <si>
    <t>TRAGEDY Body found in sea in hunt for missing mum after she vanished on hen do JODIE TRIAL Teen accused of murdering Jodie Chesney cries in dock as he appears in court KNIFE RAMPAGE Seven people injured in 'slash attack' at London restaurant in broad daylight BECK AND</t>
  </si>
  <si>
    <t>JODIE</t>
  </si>
  <si>
    <t>TRAGEDY Body</t>
  </si>
  <si>
    <t>Jodie Chesney</t>
  </si>
  <si>
    <t>President Donald Trumpâ€™â€™s lengthy press conference on Thursday afternoon, calling Trumpâ€™â€™s tirades against the media â€wildâ€ and â€unhinged.</t>
  </si>
  <si>
    <t>pre</t>
  </si>
  <si>
    <t>media</t>
  </si>
  <si>
    <t xml:space="preserve">The Orlando killings followed the massacre of 14 people in San Bernardino, California, last year and raised the question of whether the United States will have to confront jihadist attacks in the homeland for years to come. </t>
  </si>
  <si>
    <t>Even before the split with Trump emerged, Nehlen won notice for his sharp attacks of Ryan over his positions on free trade, spending and comprehensive immigration reform â€” issues where Cantor found himself vulnerable ahead of his loss to .</t>
  </si>
  <si>
    <t>Nehlen</t>
  </si>
  <si>
    <t>Often accused of being out of touch with voters, Romney took a break from preparation for Wednesdays debate with Obama by visiting Mexican fast food chain Chipotle in Denver, where he ordered a burrito bowl of pork, rice, black beans, guacamole and a spicy sauce.</t>
  </si>
  <si>
    <t>Romney</t>
  </si>
  <si>
    <t>Denver</t>
  </si>
  <si>
    <t>The Australian was accused of snubbing Sunâ€™s attempt to congratulate him on his win immediately after the race, although the two did briefly shake hands later at the podium.</t>
  </si>
  <si>
    <t>Sun</t>
  </si>
  <si>
    <t>Sunâ€™</t>
  </si>
  <si>
    <t xml:space="preserve"> President Obama vowed Thursday that the Islamic State is â€œinevitably going to be defeated,â€ but he predicted that the terrorist networks it spawns are likely to continue operating after the group loses its major strongholds in Iraq and Syria.</t>
  </si>
  <si>
    <t>Asked how federal lawyers would handle such referrals, Dena Iverson, a spokesperson for the Justice Department, cited the Employment Litigation Sectionâ€™s policy for accepting EEOC cases.</t>
  </si>
  <si>
    <t>Dena Iverson</t>
  </si>
  <si>
    <t>the Justice Department</t>
  </si>
  <si>
    <t>EEOC</t>
  </si>
  <si>
    <t>With that confidence, we have identified the thieves, who are members of a criminal organization with a base in the mid-Atlantic states and New England," Richard Deslauriers, the special agent in charge of the Boston office of the FBI, said in a statement posted the site.</t>
  </si>
  <si>
    <t>Richard Deslauriers</t>
  </si>
  <si>
    <t>Reid said he would be happy to consider the legislation, but House Minority Leader Nancy Pelosi, D-Calif., attacked Republicans for proposing the idea.This is a gimmick unworthy of the challenges we face and the national debate we should be having, Pelosi spokesman Drew Hammill said, per the Las Vegas Review Journal.</t>
  </si>
  <si>
    <t>Itâ€™s a central part of who we are as a country that we treat people with respect, people who have the courage to think about their sexuality, to think about their gender,â€ Conservative MP Maria Miller, who chaired the committee, told BuzzFeed News in an interview in May 2016.</t>
  </si>
  <si>
    <t>Maria Miller</t>
  </si>
  <si>
    <t>BuzzFeed New</t>
  </si>
  <si>
    <t>At Fox Searchlightâ€™s holiday party in New York last week, the Bagger bumped into a couple of stars from two of the studio</t>
  </si>
  <si>
    <t>Fox Searchlightâ€™s</t>
  </si>
  <si>
    <t>Fox Searchlightâ€™</t>
  </si>
  <si>
    <t>While the Peterson Institute also faults Clintons proposals, which call mainly for tougher enforcement, as leading to stasis in the expansion of trade, it reserves the bulk of its criticism for Trump.</t>
  </si>
  <si>
    <t>England's new boys failed to impress last night as Roy Hodgson's side were booed off after defeat by Chile.</t>
  </si>
  <si>
    <t>England</t>
  </si>
  <si>
    <t>Roy Hodgson's</t>
  </si>
  <si>
    <t>When Natalie Weiss talks about her childhood on Pomander Walk, she admits â€œ</t>
  </si>
  <si>
    <t>Natalie Weiss</t>
  </si>
  <si>
    <t>Natalie Wei</t>
  </si>
  <si>
    <t>Walk</t>
  </si>
  <si>
    <t>REUTERS/StringerProtesters scuffle with the police during a demonstration in support of EU integration at Independence Square in Kiev November 30, 2013.</t>
  </si>
  <si>
    <t>Kiev</t>
  </si>
  <si>
    <t>It was as though time had stood still at Latisha Hopewellâ€™s apartment in Lower Manhattan.</t>
  </si>
  <si>
    <t>Latisha Hopewellâ€™s</t>
  </si>
  <si>
    <t>Latisha Hopewellâ€™</t>
  </si>
  <si>
    <t>Lower Manhattan</t>
  </si>
  <si>
    <t>When McChrystal was put in charge of the war in Afghanistan, he tapped Flynn again to serve as his top intelligence officer.</t>
  </si>
  <si>
    <t>McChrystal</t>
  </si>
  <si>
    <t>Flynn</t>
  </si>
  <si>
    <t>Former U. N. Ambassador John Bolton talked about North Korea, Russia, and Syria during his regular visit to Breitbart News Daily on Thursday.</t>
  </si>
  <si>
    <t>U. N. Ambassador John Bolton</t>
  </si>
  <si>
    <t>For the first time since the start of Britainâ€™s referendum fight over Europe, the polls predict â€œBrexit.</t>
  </si>
  <si>
    <t xml:space="preserve">Russia has challenged US President Donald Trump to set out his strategy on Syria after he said an apparent chemical weapons attack had transformed his views on President Bashar </t>
  </si>
  <si>
    <t>Bashar</t>
  </si>
  <si>
    <t>Belgian federal police spox confirms to @ABC photo shows possible suspects from #BrusselsAirport attack.</t>
  </si>
  <si>
    <t>@ABC</t>
  </si>
  <si>
    <t>The government of China has drafted a list of â€œoverly religiousâ€ names banned in western Xinjiang province, home to the nationâ€™s Uighur Muslim ethnic minority.</t>
  </si>
  <si>
    <t>Xinjiang</t>
  </si>
  <si>
    <t>Xinjiang province</t>
  </si>
  <si>
    <t>â€™s Uighur Muslim</t>
  </si>
  <si>
    <t>Meanwhile, those who cannot end up paying more for the same grid."The report recommended the NSW Government write down the value of Essential Energy by $3.3 billion and that the Queensland Government make multi-billion dollar writedowns of Energex (between $1.7 billion to $3.9 billion), Ergon (up to $2.4 billion) and Powerlink (up to $890</t>
  </si>
  <si>
    <t>the NSW Government</t>
  </si>
  <si>
    <t>the Queensland Government</t>
  </si>
  <si>
    <t>Essential Energy</t>
  </si>
  <si>
    <t xml:space="preserve"> Housing and Urban Development Secretary Ben Carson was rescued by firefighters from a stuck elevator while touring an affordable housing development in Miami on Wednesday morning.</t>
  </si>
  <si>
    <t>Housing and Urban Development Secretary Ben Carson</t>
  </si>
  <si>
    <t>Housing and Urban Development</t>
  </si>
  <si>
    <t>Miami</t>
  </si>
  <si>
    <t>Ben Carson</t>
  </si>
  <si>
    <t>Macronâ€™s aides also claimed that Russian groups launched hacking attacks on his presidential campaign but Moscow has strongly denied all allegations of election meddling.</t>
  </si>
  <si>
    <t>Macron</t>
  </si>
  <si>
    <t>Macronâ€™</t>
  </si>
  <si>
    <t>President Barack Obama is giving up on some of the American manufacturing jobs that went to Mexico, telling an Indiana resident that many of those jobs are not coming back.</t>
  </si>
  <si>
    <t>President Barack Obama</t>
  </si>
  <si>
    <t>Indiana</t>
  </si>
  <si>
    <t>* Sees protracted low inflation, no deflationFRANKFURT, Feb 6 (Reuters) - The European Central Bank left interest rates at a record low on Thursday but put markets on alert for a possible move in March, acknowledging that emerging-market turbulence could hit the euro zone.</t>
  </si>
  <si>
    <t>The European Central Bank</t>
  </si>
  <si>
    <t>The Trump administration is easing restrictions on legal permanent residents who were initially affected by the Presidentâ€™s executive order largely banning entry to the US by citizens of seven countries.</t>
  </si>
  <si>
    <t>Trump administration</t>
  </si>
  <si>
    <t>restriction</t>
  </si>
  <si>
    <t>even</t>
  </si>
  <si>
    <t>St. Louis, MO Offense: Conspiracy to distribute cocaine base; possession with intent to distribute cocaine base (two counts); distribution of cocaine base; Western District of Missouri Sentence: Life imprisonment; eight yearsâ€™ supervised release (June 15, 2005)</t>
  </si>
  <si>
    <t>St. Louis</t>
  </si>
  <si>
    <t>St. Loui</t>
  </si>
  <si>
    <t>MO</t>
  </si>
  <si>
    <t>Western District</t>
  </si>
  <si>
    <t>Six Mexican nationals and two U. S. citizens were arrested in connection with a failed attempt to smuggle nearly $800K worth of drugs across the Arizona border with Mexico.</t>
  </si>
  <si>
    <t>Arizona</t>
  </si>
  <si>
    <t>â€™â€™ â€™Embattled Canadian drugmaker Valeant Pharmaceuticals may have to restate its earnings results, â€™ â€™</t>
  </si>
  <si>
    <t>Valeant Pharmaceuticals</t>
  </si>
  <si>
    <t>Valeant Pharmaceutical</t>
  </si>
  <si>
    <t>â€™s hopes of securing the France midfielder resting on outbidding the Spanish club and meeting the playerâ€™s wage demand of â‚¬300, 000 (Â£250, 000) a week.</t>
  </si>
  <si>
    <t>â‚¬</t>
  </si>
  <si>
    <t>For several weeks, the White House and many of its supporters have used Clapperâ€™s statement in previous testimony that he had seen no evidence of collusion between the Trump campaign and Russia to argue that there, in fact, was no evidence of collusion.</t>
  </si>
  <si>
    <t>Clapper</t>
  </si>
  <si>
    <t>Clapperâ€™</t>
  </si>
  <si>
    <t xml:space="preserve">It was just 200 years ago, in the summer of 1816, that the Mary Godwin â€” soon to be Mary Shelley </t>
  </si>
  <si>
    <t>the Mary Godwin</t>
  </si>
  <si>
    <t>Mary Godwin</t>
  </si>
  <si>
    <t>Mary Shelley</t>
  </si>
  <si>
    <t>Sutherlandâ€™s scorched earth role in the high velocity action show resulted in what the New York Times called â€œnormalizing torture.</t>
  </si>
  <si>
    <t>North Carolina Republican Gov. Pat McCrory defended HB2, the stateâ€™s bathroom bill, and said the â€political leftâ€ fed the emergence of transgender issues in politics.</t>
  </si>
  <si>
    <t>Pat McCrory</t>
  </si>
  <si>
    <t>The US government shutdown of 1995 and 1996 ensued after Democratic President Bill Clinton and the Republican-controlled Congress failed to agree over funding for Medicare (government-funded healthcare for the elderly), environmental protection, and education in the federal budget.</t>
  </si>
  <si>
    <t>Democratic President Bill Clinton</t>
  </si>
  <si>
    <t>Who showrunner, Moffat, will give a masterclass on BBC1's Sherlock, along with his co-creator, Mark Gatiss, and the producer, Sue Vertue, and there will be an exclusive preview screening of the first episode of the next series of Doctor Who.</t>
  </si>
  <si>
    <t>Moffat</t>
  </si>
  <si>
    <t>Mark Gatiss</t>
  </si>
  <si>
    <t>Mark Gati</t>
  </si>
  <si>
    <t>Coates got his first start at receiver and showed some things other than just being a deep-ball guy," Pittsburgh coach Mike Tomlin said this week.</t>
  </si>
  <si>
    <t>Coates</t>
  </si>
  <si>
    <t>Pittsburgh</t>
  </si>
  <si>
    <t>Mike Tomlin</t>
  </si>
  <si>
    <t xml:space="preserve"> Protests broke out in some areas of Ethiopiaâ€™s Oromiya region on Monday, a day after dozens of people were killed in a stampede at a religious festival sparked by a bid by police to quell demonstrations, witnesses said.</t>
  </si>
  <si>
    <t>Ethiopia</t>
  </si>
  <si>
    <t>Protest</t>
  </si>
  <si>
    <t>Oromiya</t>
  </si>
  <si>
    <t>Ethiopiaâ€™s Oromiya</t>
  </si>
  <si>
    <t>In February 2014, while the results of the Philippines experiment were trickling in, Zuckerberg stood on a stage at a mobile industry conference in Barcelona and pitched the phone companies its big plan: Internet.</t>
  </si>
  <si>
    <t>Philippines</t>
  </si>
  <si>
    <t>Zuckerberg</t>
  </si>
  <si>
    <t>Barcelona</t>
  </si>
  <si>
    <t>Every month until she retired in 2011, she says, the day came when the Navy would start dumping numbers on the Cleveland, Ohio DFAS.</t>
  </si>
  <si>
    <t>Navy</t>
  </si>
  <si>
    <t>DFAS</t>
  </si>
  <si>
    <t xml:space="preserve"> Stokesâ€™ favorite bridge in the whole of the British capital is London Bridge because of the spectacular views it offers. </t>
  </si>
  <si>
    <t>Stokes</t>
  </si>
  <si>
    <t>Stoke</t>
  </si>
  <si>
    <t>Turkeyâ€™s high election board has rejected formal calls by the countryâ€™s main opposition parties to annul the result of a referendum that will grant Recep Tayyip ErdoÄŸan sweeping new powers as president.</t>
  </si>
  <si>
    <t>Recep Tayyip ErdoÄŸan</t>
  </si>
  <si>
    <t>John Jerry, the starting right guard in all 16 games last season and a starter in 40 games the past three years, is an unrestricted free agent, and the Giants would like to find a more explosive at that position.</t>
  </si>
  <si>
    <t>John Jerry</t>
  </si>
  <si>
    <t>Republicans will control Congress when Donald Trump takes office next month, but Democrats have one last shot to win an additional Senate seat in the Louisiana runoff election on December 10.</t>
  </si>
  <si>
    <t>Maly is a highly respected journalist and we are pleased that a full apology is being offered.â€ â€Had it not been live, I would have punched him with a right,â€ Thomas was quoted as saying by The Huffington Post.</t>
  </si>
  <si>
    <t>Maly</t>
  </si>
  <si>
    <t>Thoma</t>
  </si>
  <si>
    <t>Thomas</t>
  </si>
  <si>
    <t>Flanked by her mentor and label head, producer 9th Wonder, as well as The Storm Troopers, Rapsody recently stopped by the Tiny Desk to perform three songs from her album Beauty And The Beast.</t>
  </si>
  <si>
    <t>9th Wonder</t>
  </si>
  <si>
    <t>Rapsody</t>
  </si>
  <si>
    <t>the Tiny Desk</t>
  </si>
  <si>
    <t>REUTERS/Gonzalo FuentesPARIS Second seed Novak Djokovic played the funny man as he slipped and slithered to a 6-1 6-2 6-4 win over Portugal's Joao Sousa on the rain-interrupted second day of the French Open on Monday.</t>
  </si>
  <si>
    <t>Gonzalo FuentesPARIS</t>
  </si>
  <si>
    <t>REUTERS/Gonzalo FuentesPARIS</t>
  </si>
  <si>
    <t>Novak Djokovic</t>
  </si>
  <si>
    <t>Portugal</t>
  </si>
  <si>
    <t xml:space="preserve"> Jaime French was jarred out of bed in Emerson, Manitoba early one morning this month by pounding at her front door, just yards from the U. S. border.</t>
  </si>
  <si>
    <t>Jaime French</t>
  </si>
  <si>
    <t>Emerson</t>
  </si>
  <si>
    <t>A default or hard restructuring in Greece, which is becoming more and more likely by the day, would hit that country's banks, which would in turn hit Romania and Bulgaria, which could lead to further contagion in French and Austrian banks.</t>
  </si>
  <si>
    <t>Romania</t>
  </si>
  <si>
    <t>Austrian</t>
  </si>
  <si>
    <t xml:space="preserve">Although tepid, the endorsements by Ryan and Senate Majority Leader Mitch McConnell were further milestones in the normalization of Trump. </t>
  </si>
  <si>
    <t>If confirmed, Carson will join Trumpâ€™s Cabinet with a devoted following of conservative Christians, tea party supporters and fans of his achievements in pediatric neurosurgery, which were portrayed in the film â€œGifted Hands.</t>
  </si>
  <si>
    <t>The Washington representative, who is chair of the House Republican Caucus, offered Trump a tepid endorsement, pointing out that he was the choice of primary voters, but adding, â€œ</t>
  </si>
  <si>
    <t>representative</t>
  </si>
  <si>
    <t>Hillary Clinton and Bernie Sanders are actually pushing fundamentally similar messages about how Even Bigger Government is the answer to despair.</t>
  </si>
  <si>
    <t>Even Bigger Government</t>
  </si>
  <si>
    <t>Later in the day, Mr. Trump strongly praised General Mattis after talking with him for about an hour.</t>
  </si>
  <si>
    <t>Mattis</t>
  </si>
  <si>
    <t>General Matti</t>
  </si>
  <si>
    <t>For all his antagonism toward the media, the Republican nominee has publicly lavished praise on Breitbart, even though his former campaign manager Corey Lewandoski was charged with battery against one of the website</t>
  </si>
  <si>
    <t>Corey Lewandoski</t>
  </si>
  <si>
    <t>The Left never lets a crisis go to waste, and just like with the Great Depression, it has created a narrative that blames Wall Street and praises Washington.</t>
  </si>
  <si>
    <t>Left</t>
  </si>
  <si>
    <t>The West Virginia Coal Association, a trade association that represents roughly 95 percent of West Virginiaâ€™s coal production, endorsed Donald Trump for president on Thursday, five days ahead of the state GOP primary on May 10th.</t>
  </si>
  <si>
    <t>The West Virginia Coal Association</t>
  </si>
  <si>
    <t>The Republican nominee retweeted a supporterâ€™s post that the Democratic nominee â€said a KKK member was her mentor.</t>
  </si>
  <si>
    <t>KKK</t>
  </si>
  <si>
    <t>A precinct captain, Jerome Lehtola, confirmed to BuzzFeed News that the campaign has trained precinct captains to release supporters to Oâ€™Malley if the move can make him â€œviableâ€ without hurting Clinton.</t>
  </si>
  <si>
    <t>Jerome Lehtola</t>
  </si>
  <si>
    <t>Oâ€™Malley</t>
  </si>
  <si>
    <t>â€™s closest and most trusted advisers,â€ a White House source told CNBC when asked why Bannon attended.</t>
  </si>
  <si>
    <t>CNBC</t>
  </si>
  <si>
    <t>Bannon</t>
  </si>
  <si>
    <t>Meanwhile, a handful of Israelâ€™s US allies have been fighting for years for simple, unambiguous support of the Jewish state.</t>
  </si>
  <si>
    <t>The House speaker endorsed Trumpâ€™s bid for president on June 2.</t>
  </si>
  <si>
    <t>His supporters, including the Jamaican sprint star Usain Bolt, swear by him and call him Healing Hans.</t>
  </si>
  <si>
    <t>Healing Hans</t>
  </si>
  <si>
    <t>Healing Han</t>
  </si>
  <si>
    <t>Back in September 2013 we got an email from a TPM Reader with a subscription to Ancestry.</t>
  </si>
  <si>
    <t>TPM</t>
  </si>
  <si>
    <t>TPM Reader</t>
  </si>
  <si>
    <t>Ancestry</t>
  </si>
  <si>
    <t>Tillersonâ€™s myriad feats as a businessman â€” forging the deep ties required to negotiate oil deals with Russia, for example â€” quickly fomented anxiety, even among the Republican senators whose support his confirmation requires.</t>
  </si>
  <si>
    <t>Tillerson</t>
  </si>
  <si>
    <t>Tillersonâ€™</t>
  </si>
  <si>
    <t>If the Mets are going to have any chance at erasing their deficit, it will likely start with Cespedes rebounding.</t>
  </si>
  <si>
    <t>Mets</t>
  </si>
  <si>
    <t>Met</t>
  </si>
  <si>
    <t>Cespedes</t>
  </si>
  <si>
    <t>Cespede</t>
  </si>
  <si>
    <t>As previously reported by Breitbart Texas, the leader of the faction, Octavio Leal Moncada has been identified as the man responsible for providing the Gulf Cartel with car bombs which they have used almost a dozen times in the past.</t>
  </si>
  <si>
    <t>Octavio Leal Moncada</t>
  </si>
  <si>
    <t>the Gulf Cartel</t>
  </si>
  <si>
    <t>Fresh attention to Trumpâ€™s and false accusations questioning Obamaâ€™s citizenship could also inspire others from the â€œObama coalition,â€ which included young voters, Hispanics and whites, to turn out for Clinton.</t>
  </si>
  <si>
    <t>The Munroeâ€™s are exceptional owners and we would encourage anyone to visit again and show your thanks for their quick decisive action to remove the employee,â€ said Lisa Mendez Charrin.</t>
  </si>
  <si>
    <t>Munroe</t>
  </si>
  <si>
    <t>The Munroeâ€™</t>
  </si>
  <si>
    <t>Lisa Mendez Charrin</t>
  </si>
  <si>
    <t>Former Olympic cyclist Chris Boardman has since lead the criticism of the Gamesâ€™ organizers and branded the route as â€too dangerousâ€.</t>
  </si>
  <si>
    <t>Olympic</t>
  </si>
  <si>
    <t>Chris Boardman</t>
  </si>
  <si>
    <t>Game</t>
  </si>
  <si>
    <t>Ryan on Thursday accused Democrats of trying to â€œplay politics, which is what they typically do every other Tuesday.</t>
  </si>
  <si>
    <t>A man who said that he was the one later detained at the cemetery, Frank Flack, posted a reply that assailed Ms. Edwards for being irresponsible.</t>
  </si>
  <si>
    <t>Frank Flack</t>
  </si>
  <si>
    <t>Edwards</t>
  </si>
  <si>
    <t>Edward</t>
  </si>
  <si>
    <t>In his upcoming autobiography, â€œPapi: My Story,â€ written with the help of Michael Holley, former Red Sox slugger David Ortiz opens up about the dreadful 2012 season, and Bobby Valentineâ€™s negative impact on the team.</t>
  </si>
  <si>
    <t>Michael Holley</t>
  </si>
  <si>
    <t>Papi</t>
  </si>
  <si>
    <t>David Ortiz</t>
  </si>
  <si>
    <t>Bobby Valentineâ€™</t>
  </si>
  <si>
    <t>Cruzâ€™s approval favorability rating plummeted after his speech at the convention, during which he pointedly refused to endorse Trump, National Journal</t>
  </si>
  <si>
    <t>Cruz</t>
  </si>
  <si>
    <t>Cruzâ€™</t>
  </si>
  <si>
    <t xml:space="preserve">Swanson, a mental health expert who has conducted groundbreaking research on the impact of different gun violence prevention laws, criticized the Democratsâ€™ fierce defense of the rule, arguing that it undermined the effort to build political consensus around gun control policies that actually have research evidence behind them. </t>
  </si>
  <si>
    <t>Swanson</t>
  </si>
  <si>
    <t>As my colleague Conor Friedersdorf points out, Prager has previously been highly critical of Trump and his behavior, and in 2011 deemed him â€œdisqualifiedâ€ from the presidency due to his profanity.</t>
  </si>
  <si>
    <t>Conor Friedersdorf</t>
  </si>
  <si>
    <t>Prager</t>
  </si>
  <si>
    <t>But CNN and the New York Times explicitly said that Trump had made â€œfalseâ€ claims, whether about crowd size or the media, even when his claims were clearly supportable opinion.</t>
  </si>
  <si>
    <t>Hillary Clinton has criticized fellow Democrat Bernie Sandersâ€™ support of the 2005 law when it passed.</t>
  </si>
  <si>
    <t>Swedish officials criticized Mr. Trumpâ€™s statements about crime in the country as exaggerations.</t>
  </si>
  <si>
    <t>Democrats have said categorically they will not agree to funds for Trumpâ€™s wall or his aggressive immigration enforcement actions, and many Republican lawmakers who represent border states have said they would only support reasonable solutions and not a massive barrier.</t>
  </si>
  <si>
    <t>The Independent Police Review Authority, which investigates police shootings, cleared the officer who shot Chatman of any wrongdoing.</t>
  </si>
  <si>
    <t>The Independent Police Review Authority Police</t>
  </si>
  <si>
    <t>The Independent Police Review Authority</t>
  </si>
  <si>
    <t>Chatman</t>
  </si>
  <si>
    <t>Critical of what he called the â€œcompetitive advantageâ€ that the rules might give cities and states over retirement offerings, Senator Mitch McConnell of Kentucky, the majority leader, said the Labor Department statutes spelled â€œmore government at the expense of the private sector.</t>
  </si>
  <si>
    <t>Senator Mitch McConnell</t>
  </si>
  <si>
    <t>Kentucky</t>
  </si>
  <si>
    <t>Labor Department</t>
  </si>
  <si>
    <t>the Labor Department</t>
  </si>
  <si>
    <t xml:space="preserve">Doug Band, a of the Clinton Global Initiative and a top Clinton insider, accused Chelsea Clinton of backstabbing </t>
  </si>
  <si>
    <t>Doug Band</t>
  </si>
  <si>
    <t>Chelsea Clinton</t>
  </si>
  <si>
    <t>Posner has been clear that he views Trumpâ€™s attacks on the judiciary as a very serious matter.</t>
  </si>
  <si>
    <t>Posner</t>
  </si>
  <si>
    <t>Cummings, who released the letter to CNN, blasted what he views as Republicansâ€™ political motivations in seeking the report.</t>
  </si>
  <si>
    <t>Cummings</t>
  </si>
  <si>
    <t>Cumming</t>
  </si>
  <si>
    <t>Mrs. Clintonâ€™s advisers accused Mr. Sanders of breaking his word.</t>
  </si>
  <si>
    <t>Since then, Trump has been fairly consistent in his call to ban Muslims from entering the country, despite widespread criticism at the extreme remark and some in his campaign signaling that it may soften to only include countries that have a record of terrorism.</t>
  </si>
  <si>
    <t>Washington and Moscow have also butted heads recently over Trumpâ€™s decision to strike a Syrian air base in response to a chemical weapons attack earlier in April.</t>
  </si>
  <si>
    <t>Netanyahu has been lobbying against an agreement since the talks began, warning U. S. lawmakers in a congressional address last month that Iran canâ€™t be trusted.</t>
  </si>
  <si>
    <t>Around the time Khweis crossed into Syria, Turkey was building walls along the border and bulking up patrols to stem the tide of Islamist militants.</t>
  </si>
  <si>
    <t>Khweis</t>
  </si>
  <si>
    <t>Abu Amjed, the head of the Manbij Military Council, which has responsibility for securing the city, said during an interview last week that Turkish forces had been shooting at his front lines.</t>
  </si>
  <si>
    <t>Abu Amjed</t>
  </si>
  <si>
    <t>after the Dallas murders â€” by blaming â€œsystemic racismâ€ and declaring: â€œWhite Americans need to do a better job of listening.</t>
  </si>
  <si>
    <t>Dallas</t>
  </si>
  <si>
    <t>White Americans</t>
  </si>
  <si>
    <t>White American</t>
  </si>
  <si>
    <t>But Islamic State has threatened acts of violence on Russian soil in reprisal for the Kremlinâ€™s military intervention in Syria in support of President Bashar .</t>
  </si>
  <si>
    <t>President Bashar</t>
  </si>
  <si>
    <t>Brexit campaigners have accused the International Monetary Fund (IMF) of trying to â€œ</t>
  </si>
  <si>
    <t>the International Monetary Fund</t>
  </si>
  <si>
    <t xml:space="preserve"> A Virginia man who joined ISIS and surrendered to Kurdish Peshmerga fighters earlier this week has expressed regret for entering the terror groupâ€™s caliphate, saying he â€made a bad decisionâ€ and â€was not thinking straight.</t>
  </si>
  <si>
    <t>Kurdish Peshmerga</t>
  </si>
  <si>
    <t>ISIS</t>
  </si>
  <si>
    <t>They cannot, will not, under any circumstance get American support if they do not keep that commitment,â€ Biden said in Ankara during a visit to reset ties with Turkey, which had been strained since the failed coup attempt in July.</t>
  </si>
  <si>
    <t>Biden</t>
  </si>
  <si>
    <t>Mr. Sanders has started running commercials in New York criticizing Mrs. Clinton for accepting speaking fees from Wall Street banks but not supporting a federal $15 minimum wage.</t>
  </si>
  <si>
    <t>Donald Trump has condemned North Korea for â€œdisrespecting the wishes of Chinaâ€ after Pyongyang a ballistic missile despite rising tensions in the region.</t>
  </si>
  <si>
    <t>Both and an emerging Islamic State affiliate, continue to stage numerous suicide bombings targeting Yemeni government soldiers and officials in the southern port city of Aden and other areas.</t>
  </si>
  <si>
    <t>Yemeni</t>
  </si>
  <si>
    <t>Mr. Trumpâ€™s advisers spent much of Tuesday morning huddled at Trump Tower to discuss the way forward, including a speech he has planned for Wednesday attacking Mrs. Clinton.</t>
  </si>
  <si>
    <t xml:space="preserve"> Keshaâ€™s attorney on Tuesday said her estranged producer, Dr. Luke, is out to destroy her career after she accused him in court of sexual and physical abuse in a bid to get out of an exclusive contract.</t>
  </si>
  <si>
    <t>Kesha</t>
  </si>
  <si>
    <t>Keshaâ€™</t>
  </si>
  <si>
    <t>Luke</t>
  </si>
  <si>
    <t>The Citadel, the Military College of South Carolina, says it will not allow an admitted student to wear a Muslim headscarf.</t>
  </si>
  <si>
    <t>Citadel</t>
  </si>
  <si>
    <t>the Military College of South Carolina</t>
  </si>
  <si>
    <t>In a set of talking points sent to his supporters Sunday morning, Mr. Trumpâ€™s campaign urged them to attack turncoat Republicans as â€œmore concerned with their political future than they are about the country.</t>
  </si>
  <si>
    <t>.. the United States is supporting forces on the ground that are battling the Islamic State.</t>
  </si>
  <si>
    <t>Fox News host Bill Oâ€™Reilly on Tuesday night dinged the National Rifle Association for its statement opposing President Obamaâ€™s new executive orders regarding background checks, arguing that the government should conduct background checks on everyone who purchases guns.</t>
  </si>
  <si>
    <t>the National Rifle Association</t>
  </si>
  <si>
    <t>President Obamaâ€™s â€™ criticism of the Citizens United ruling pales by comparison.</t>
  </si>
  <si>
    <t>Citizens United</t>
  </si>
  <si>
    <t>â€ Trump has criticized The Post a number of times during the campaign.</t>
  </si>
  <si>
    <t>Michigan Gov. Rick Snyder (R) testified that â€œcareer bureaucratsâ€ were responsible for the disastrous lead poisoning in Flintâ€™s tap water, and he placed another heap of blame on the federal Environmental Protection Agency for failing to act sooner.</t>
  </si>
  <si>
    <t>Rick Snyder</t>
  </si>
  <si>
    <t>Israel is bracing for a possible Hezbollah response following the announcement on Friday that one of its top commanders, arch terrorist Mustafa Badreddine, was eliminated in an explosion.</t>
  </si>
  <si>
    <t>Mustafa Badreddine</t>
  </si>
  <si>
    <t xml:space="preserve">The Clinton campaign, meanwhile, has blasted WikiLeaks over the release, while ramping up its accusations that the group is working with the Russian government. </t>
  </si>
  <si>
    <t>WikiLeak</t>
  </si>
  <si>
    <t>Rapper 2 Chainz takes on Donald Trump and challenges stereotypes in a new music video released Thursday.</t>
  </si>
  <si>
    <t>2 Chainz</t>
  </si>
  <si>
    <t>Rapper 2 Chainz</t>
  </si>
  <si>
    <t>As a result, Brazilian courts barred Temer from running for president when his term expires on Dec. 31, 2018.</t>
  </si>
  <si>
    <t>Temer</t>
  </si>
  <si>
    <t>Brazilian</t>
  </si>
  <si>
    <t xml:space="preserve">Rockefeller reacted harshly, says Thompson, in part because he feared what Sostre had started: He had inspired prisoners to stand up for rights </t>
  </si>
  <si>
    <t>Rockefeller</t>
  </si>
  <si>
    <t>Sostre</t>
  </si>
  <si>
    <t>Trump again repeated the debunked claim that Mexico is â€œtaking all of our jobs, most of our jobs,â€ and preened about causing the resignation of a Mexican government official as proof of his toughness.</t>
  </si>
  <si>
    <t>Senator Marco Rubio ( ) and Rep. Mike Pompeo ( ) described Lynchâ€™s response as â€œunacceptable,â€ and said she has chosen to â€œessentially plead the Fifth.</t>
  </si>
  <si>
    <t>Mike Pompeo</t>
  </si>
  <si>
    <t>Lynchâ€™</t>
  </si>
  <si>
    <t>Trumpâ€™s comments came a day after the 9th US Circuit Court of Appeals upheld a restraining order on his original travel ban.</t>
  </si>
  <si>
    <t>Circuit Court of Appeals</t>
  </si>
  <si>
    <t>the 9th US Circuit Court of Appeal</t>
  </si>
  <si>
    <t xml:space="preserve"> Donald Trumpâ€™s election as U. S. president poses risks for the relationship between the European Union and the United States, EU Commission President Juncker said on Friday.</t>
  </si>
  <si>
    <t>Juncker</t>
  </si>
  <si>
    <t xml:space="preserve">Helle Merete Brix founder of the Lars Vilks Committee, created two years ago in support of the Swedish cartoonist whose portrayals of the Prophet Mohammed angered many in the Muslim world </t>
  </si>
  <si>
    <t>Helle Merete Brix</t>
  </si>
  <si>
    <t>the Lars Vilks Committee</t>
  </si>
  <si>
    <t>Mohammed</t>
  </si>
  <si>
    <t>Cosby, 79, was accused of drugging and assaulting Constand, who was the director of operations for Temple University</t>
  </si>
  <si>
    <t>Cosby</t>
  </si>
  <si>
    <t>Constand</t>
  </si>
  <si>
    <t>Temple University</t>
  </si>
  <si>
    <t>Under President Barack Obama, the U. S. government has issued regulations aimed at providing equal protection under the law, while state Republican officials, notably in Texas and North Carolina, have resisted in the courts, citing traditional values and accusing the federal government of overreach.</t>
  </si>
  <si>
    <t>But a reckless tweet posted by Dallas police this time around, during last weekâ€™s fog of war, led to an innocent armed man getting countless death threats: For more on Chief Brown, check out the piece Chris Haugh wrote for us over the weekend, â€œ</t>
  </si>
  <si>
    <t>Chris Haugh</t>
  </si>
  <si>
    <t xml:space="preserve"> The Trump administration is weighing an executive order that could yank the US out of NAFTA and cause a potentially upheaval in trade relations across North America. </t>
  </si>
  <si>
    <t>NAFTA</t>
  </si>
  <si>
    <t>In a must-see interview yesterday on Fox Business Network, Neil Cavuto grilled California elector Christine Pelosi on the real motivations for the calls for a briefing on the hacking.</t>
  </si>
  <si>
    <t>Neil Cavuto</t>
  </si>
  <si>
    <t>Christine Pelosi</t>
  </si>
  <si>
    <t>Dyke also welcomed Prince Ali Bin Al Hussein's decision earlier this month to seek a place on the ballot and BBC Sport understands the FA board remain open to the possibility of providing the 39-year-old Jordanian with a nomination.</t>
  </si>
  <si>
    <t>Ali Bin Al Hussein</t>
  </si>
  <si>
    <t>Dyke</t>
  </si>
  <si>
    <t>Jordanian</t>
  </si>
  <si>
    <t>Prince Ali Bin Al Hussein</t>
  </si>
  <si>
    <t>YouTube creator Hank Green was one of the most vocal critics of Facebook's freebooting problem, penning a scathing post titled "Theft, lies, and Facebook video" and an animated video on how Facebook is "stealing billions of views" went viral last year, too.</t>
  </si>
  <si>
    <t>Hank Green</t>
  </si>
  <si>
    <t>Still, if the Grenfell tower tragedy had happened in the US, the survivors would likely have been charged hundreds of thousands of dollars in hospital: the US leads the world when it comes to killing off its poorest people by denying them access to affordable healthcare.</t>
  </si>
  <si>
    <t>Grenfell</t>
  </si>
  <si>
    <t>Meantime, Sen Rand Paul (R-Ky.) is opposing the bill because it fails to repeal ObamaCare.</t>
  </si>
  <si>
    <t>Rand Paul</t>
  </si>
  <si>
    <t>R-Ky</t>
  </si>
  <si>
    <t>R -</t>
  </si>
  <si>
    <t>ObamaCare</t>
  </si>
  <si>
    <t>REUTERS/Leonhard FoegerThe Organization of the Petroleum Exporting Countries expects demand for its crude to fall to 29.61 million barrels per day (bpd) in 2014, down 320,000 bpd from 2013, due to rising supply outside the producer group.It is not a huge drop in the call on OPEC, Abdullah al-Badri told Reuters in an interview on Tuesday.</t>
  </si>
  <si>
    <t>Leonhard FoegerThe</t>
  </si>
  <si>
    <t>REUTERS/Leonhard FoegerThe Organization of the Petroleum Exporting Countrie</t>
  </si>
  <si>
    <t>Abdullah al-Badri</t>
  </si>
  <si>
    <t>Joyce Banda's office condemned Madonna for trying to use her celebrity to compel Malawi to give her special treatment.</t>
  </si>
  <si>
    <t>Joyce Banda's</t>
  </si>
  <si>
    <t>Joyce Banda</t>
  </si>
  <si>
    <t>Madonna</t>
  </si>
  <si>
    <t>Schumer said a trial could help clarify several issues, including whether the vast amounts of data being collected by the NSA actually help the United States root out terrorists and how much damage Snowden's leaks have done to American intelligence agents.</t>
  </si>
  <si>
    <t>Snowden</t>
  </si>
  <si>
    <t>So the Senate GOP attacked it as â€intentionally partisan,â€ and Toomey didnâ€™t support it.</t>
  </si>
  <si>
    <t>the Senate GOP</t>
  </si>
  <si>
    <t>Toomey</t>
  </si>
  <si>
    <t xml:space="preserve">â€ Trump also blamed the Democrats, pointing out that not a single one supported his measure </t>
  </si>
  <si>
    <t>Pope Francis threw himself into the middle of an already overheated Republican presidential race when he questioned frontrunner Donald Trumpâ€™s Christian faith.</t>
  </si>
  <si>
    <t>This rigorous movie, which requires but rewards patience, grows increasingly harrowing after Nabil, who is a Muslim, starts to lash out at Annas controlling ways.</t>
  </si>
  <si>
    <t>Nabil</t>
  </si>
  <si>
    <t>Annas</t>
  </si>
  <si>
    <t>Anna</t>
  </si>
  <si>
    <t xml:space="preserve">Hollywood expresses shock, disappointment after voting results, Sorkin said it wasnâ€™t just Trump who won but the Ku Klux Klan, white nationalists, sexists, racists and buffoons. </t>
  </si>
  <si>
    <t>Sorkin</t>
  </si>
  <si>
    <t>â€Kelly has generally refrained from responding to Trumpâ€™s attacks, although she did acknowledge his remarks at least once.</t>
  </si>
  <si>
    <t>Kelly</t>
  </si>
  <si>
    <t>Bosnia seems to have voted for change, the question is whether the post-election coalition negotiations will respect the will of the people for change, said Reuf Bajrovic, the head of the Emerging Democracies Institute.</t>
  </si>
  <si>
    <t>Reuf Bajrovic</t>
  </si>
  <si>
    <t>Bosnia</t>
  </si>
  <si>
    <t>the Emerging Democracies Institute</t>
  </si>
  <si>
    <t>The late Vice President of the Media Association of Solomon Islands (MASI), Walter Nalangu, has been praised by the organisation as a true "champion of news services".Mr Nalangu died of an asthma attack in the Solomon capital, Honiara, on Saturday.</t>
  </si>
  <si>
    <t>Walter Nalangu</t>
  </si>
  <si>
    <t>the Media Association of</t>
  </si>
  <si>
    <t>Nalangu</t>
  </si>
  <si>
    <t>In an unplanned moment of theater, Kim invited Moon to step briefly across into North Korea, before the two leaders crossed back into South Korea holding hands.I was excited to meet at this historic place and it is really moving that you came all the way to the demarcation line to greet me in person, Kim said.A new history starts now.</t>
  </si>
  <si>
    <t>Moon</t>
  </si>
  <si>
    <t>It is critical that the US and Russia put into practice a mechanism for the realisation of this ceasefire, ensuring that military activity from the Syrian government, as well as its opposition, stops.</t>
  </si>
  <si>
    <t>Sounding like a frustrated Cassandra, Vice President Joseph R. Biden Jr. lamented last week that Hillary Clinton had not done enough to reach white voters in the presidential campaign.</t>
  </si>
  <si>
    <t>Cassandra</t>
  </si>
  <si>
    <t>Joseph R. Biden Jr.</t>
  </si>
  <si>
    <t>Why did Walter Scott run?The answer to this has not been verifiably identified however, family members speculate Scott ran to avoid an arrest for failure to pay child support -- a charge that is responsible for putting one eighth of all of South Carolinas inmates behind bars.</t>
  </si>
  <si>
    <t>Walter Scott</t>
  </si>
  <si>
    <t>Scott</t>
  </si>
  <si>
    <t>At the start of World War II, Rosenstock discovered when he began his research, Adolf Hitler had been determined to show the world just how susceptible America was to a Nazi attack, so he ordered his military to devise a plan.</t>
  </si>
  <si>
    <t>Rosenstock</t>
  </si>
  <si>
    <t>Nazi</t>
  </si>
  <si>
    <t>During the ceremony in the opera house, the Kennedy Center chairman, David Rubenstein, thanked the Obamas and noted that the president was not required to attend the honours or host a reception.</t>
  </si>
  <si>
    <t>David Rubenstein</t>
  </si>
  <si>
    <t>Obamas</t>
  </si>
  <si>
    <t>Cohen isnt the only possible conduit for a collusion charge; Muellers still interested in Roger Stone and Jerome Corsi, who theoretically had closer proximity to the attempts to suss out the DNC hack.</t>
  </si>
  <si>
    <t>Cohen</t>
  </si>
  <si>
    <t>Jerome Corsi</t>
  </si>
  <si>
    <t>Muellers</t>
  </si>
  <si>
    <t>GETTY Eduardo - 10,000-a-weekGETTY Antonio Conte has brought Cesc Fabregas back into his starting XI over the past few weeksHe is the coach who worked the most tactically, more than with Mourinho and Guardiola.</t>
  </si>
  <si>
    <t>Eduardo</t>
  </si>
  <si>
    <t>Cesc Fabrega</t>
  </si>
  <si>
    <t>Antonio Conte</t>
  </si>
  <si>
    <t>Mourinho</t>
  </si>
  <si>
    <t>Just as the Republicans are now solidifying behind McCain, Democrats will align behind their nominee when he or she emerges.</t>
  </si>
  <si>
    <t>Media playback is not supported on this device Glentoran boss Eddie Patterson hopes the club can afford to bring former NI winger Stuart Elliott back to the Oval.</t>
  </si>
  <si>
    <t>Eddie Patterson</t>
  </si>
  <si>
    <t>Stuart Elliott</t>
  </si>
  <si>
    <t>NI</t>
  </si>
  <si>
    <t>After that battle, which checked an ambitious offensive by the Confederacy and ended its hopes of receiving European recognition and support, the Norths advantages in population, industry, and resources made themselves felt more and more, overcoming often superior Southern generalship.</t>
  </si>
  <si>
    <t>Norths</t>
  </si>
  <si>
    <t>Southern</t>
  </si>
  <si>
    <t>On Friday Pence will also visit a memorial for 46 South Korean sailors killed in 2010 in the sinking of a warship that Seoul blamed on a North Korean torpedo attack.</t>
  </si>
  <si>
    <t>Pence</t>
  </si>
  <si>
    <t>South Korean</t>
  </si>
  <si>
    <t>The former presidentâ€™s Alzheimerâ€™s struggle made Mrs. Reagan a campaigner for broader human embryonic stem cell research, a stand that put her at odds with many Republicans.</t>
  </si>
  <si>
    <t>â€™s Alzheimerâ€™</t>
  </si>
  <si>
    <t>Reagan</t>
  </si>
  <si>
    <t>And, of course, play well."Part of Moscow's joy at winning stems from a widely held belief that the English media deliberately tried to blacken Russia's bid.</t>
  </si>
  <si>
    <t>English</t>
  </si>
  <si>
    <t>Medical expert Professor Simon Thomas told the court the toxic slimming pill is known as 'Russian Roulette' as only a slight increase in dose can cause muscle break-down, kidney and liver failure, cataracts, nerve damage and deafness.</t>
  </si>
  <si>
    <t>Simon Thomas</t>
  </si>
  <si>
    <t>Simon Thoma</t>
  </si>
  <si>
    <t>Roulette</t>
  </si>
  <si>
    <t>Trump appeared to suggest during the weekend he was considering cutting off the funds as a result of Republicans' failure to come to an agreement on a healthcare bill that would repeal and replace portions of Obamacare."If</t>
  </si>
  <si>
    <t>Democrats will be sure to accuse the GOP of threatening the health care of millions.</t>
  </si>
  <si>
    <t>Omar Alnatour may very well be a lovely man, albeit delusional, but his reasoning is purely anedoctal even worse, his argument is of the type that enables the Muslims who are operational in jihad to continue their activities without fear of criticism of their motivating ideology:</t>
  </si>
  <si>
    <t>Omar Alnatour</t>
  </si>
  <si>
    <t>I wish theyd get up earlier in the morning, I wish they would work harder and in many respects thats what we do see out of many of the Asian and the Jewish culture, Owens said on a talk-radio show.</t>
  </si>
  <si>
    <t>Owen</t>
  </si>
  <si>
    <t>The air strikes followed a decision by Israeli Prime Minister Ehud Olmert's security cabinet to widen reprisals for cross-border Palestinian rocket attacks following the collapse of a six-month-old, Egyptian-brokered ceasefire a week ago.</t>
  </si>
  <si>
    <t>Ehud Olmert</t>
  </si>
  <si>
    <t>Minister Ehud Olmert</t>
  </si>
  <si>
    <t>While Houston Texans pass rusher Jadeveon Clowney may not be the biggest believer in Jacksonville Jaguars quarterback Blake Bortles, his coach, Bill OBrien, has nothing but respect for the fifth-year veteran.</t>
  </si>
  <si>
    <t>Jadeveon Clowney</t>
  </si>
  <si>
    <t>Blake Bortles</t>
  </si>
  <si>
    <t>Blake Bortle</t>
  </si>
  <si>
    <t>Biden doesnt talk about the plan much anymore, but he still supports it, aides say, and believes it will organically evolve as Iraqs political structure.</t>
  </si>
  <si>
    <t>Pyongyang on Saturday rejected the UN Security Councilâ€™s sharp criticism of its latest missile tests and blamed the United States for driving the divided peninsula toward an â€œuncontrollable extreme phaseâ€.</t>
  </si>
  <si>
    <t>the UN Security Councilâ€™s Council</t>
  </si>
  <si>
    <t>But Bill Clinton really cared about Israel and the peace issue in a way Obama does not, and Clinton really focused on it too, sometimes to a fault.</t>
  </si>
  <si>
    <t>Bill Clinton</t>
  </si>
  <si>
    <t xml:space="preserve">During his speech in Youngstown, Ohio, Trump called for working â€very closely with NATO,â€ describing radical Islamic terrorism as the dominant global threat and one that must be confronted at all levels. </t>
  </si>
  <si>
    <t>EU leaders meeting in Brussels next week will have awkward questions for Cowen, making his European summit debut after taking over as prime minister last month.The result does bring about considerable uncertainty and a difficult situation.</t>
  </si>
  <si>
    <t>Cowen</t>
  </si>
  <si>
    <t>But Milosz points to another poem written in the wake of the failed Warsaw uprising of 1943, The World, which was published in 1945, as equally important to him and his move away from the catastrophism of his youth to a more philosophical and transcendent faith in the future.</t>
  </si>
  <si>
    <t>Milosz</t>
  </si>
  <si>
    <t>The World</t>
  </si>
  <si>
    <t>Supporters of presumptive Republican nominee Donald Trump are backed by most voters on four of five key issues, according to an analysis of a recent Pew report.</t>
  </si>
  <si>
    <t>Pew</t>
  </si>
  <si>
    <t xml:space="preserve"> Sir Richard said the worst police failings included misleading a district judge to obtain search warrants, announcing Nicks claims were credible and true without testing them and helping him apply for compensation.</t>
  </si>
  <si>
    <t>Richard</t>
  </si>
  <si>
    <t>Nicks</t>
  </si>
  <si>
    <t>Nick</t>
  </si>
  <si>
    <t>Baker and Babington also reported without correction Rove's misleading claim that Ginsburg did not answer questions from senators about how she would rule on particular issues, including abortion.</t>
  </si>
  <si>
    <t>Baker</t>
  </si>
  <si>
    <t>Rove</t>
  </si>
  <si>
    <t>Babington</t>
  </si>
  <si>
    <t>Ginsburg</t>
  </si>
  <si>
    <t>Or Santorum's comment that Romney was a "weak candidate" who could not beat Obama http://crooksandliars.com/blue-texan/rick-santorum-republicans-cant-win-we-0 , not to mention the advert from Santorum's Super Pac, warning conservative voters that Romney was not to be trusted.</t>
  </si>
  <si>
    <t>Santorum</t>
  </si>
  <si>
    <t>Former Governor Punjab, Member of the core committee of PTI, and Senator Sarwar questioned the intentions and integrity of people who are maligning the democracy in the guise of protecting it by doing unwarranted criticism on National Institutions.</t>
  </si>
  <si>
    <t>PTI</t>
  </si>
  <si>
    <t>Sarwar</t>
  </si>
  <si>
    <t>National Institution</t>
  </si>
  <si>
    <t>In refusing Conyers' latest request for documents in the Justice Dept probe, Principal Deputy Assistant Attorney General Brian Benczkowski asserted: "We want to avoid any perception that the conduct of our criminal investigations and prosecutions is subject to political influence.</t>
  </si>
  <si>
    <t>Conyers</t>
  </si>
  <si>
    <t>Conyer</t>
  </si>
  <si>
    <t>Brian Benczkowski</t>
  </si>
  <si>
    <t>Wanda, which is planning to build dozens of entertainment complexes and theme parks around China, has hired Andrew Kam to lead its charge in the market.</t>
  </si>
  <si>
    <t>Wanda</t>
  </si>
  <si>
    <t>Andrew Kam</t>
  </si>
  <si>
    <t>* Net profit falls on C$144 mln charge* Power Corp operating EPS C$0.58 vs C$0.53 (Adds Power Corp earnings)TORONTO, Nov 12 (Reuters) - Power Financial Corp (PWF.TO), a unit of Montreals Power Corp (POW.TO) empire, said on Friday its net profit fell 29 percent due to a litigation charge at its insurance subsidiary.</t>
  </si>
  <si>
    <t>Power Corp</t>
  </si>
  <si>
    <t>Montreals Power Corp</t>
  </si>
  <si>
    <t>Suzanna Bobadilla, a member of Googleâ€™s social impact division, praised how VR promotes engagement while students are learning:</t>
  </si>
  <si>
    <t>Suzanna Bobadilla</t>
  </si>
  <si>
    <t>VR</t>
  </si>
  <si>
    <t>Last month, reports emerged that Fiat Chrysler is mulling a plan to spin off the Maserati and Alfa Romeo sports-car lines to focus on mass-market brands such as the Ram and Jeep.</t>
  </si>
  <si>
    <t>Fiat Chrysler</t>
  </si>
  <si>
    <t>Maserati</t>
  </si>
  <si>
    <t>Ram</t>
  </si>
  <si>
    <t>Mr Newman's comments in February 2014 prompted the state's Bar Association to demand a retraction and an apology.</t>
  </si>
  <si>
    <t>Newman</t>
  </si>
  <si>
    <t>Mr Newman</t>
  </si>
  <si>
    <t>Bar Association</t>
  </si>
  <si>
    <t>Russia accounted for about 9 percent of Totals oil and gas output in 2013.</t>
  </si>
  <si>
    <t>Totals</t>
  </si>
  <si>
    <t>Total</t>
  </si>
  <si>
    <t>EU critics have pointed out that the EUs lack of democratic accountability and desire to centralise power in an unelected Commission has already been compared to the old Soviet Union by its former leader Mikhail Gorbachev.</t>
  </si>
  <si>
    <t>Soviet Union</t>
  </si>
  <si>
    <t>Mikhail Gorbachev</t>
  </si>
  <si>
    <t>' Russian socialite complains Nice attack 'ruined her yacht holiday'There are various designs of submarine available, such as one which is 160m long.</t>
  </si>
  <si>
    <t>Nice</t>
  </si>
  <si>
    <t>The Sudan People's Liberation Movement  of which Deng is a senior member  has accepted the right of the Misseriya Arabs, who share the land with the Dinka Ngok, to 2% of oil proceeds and their right to a share in the administration of the area.</t>
  </si>
  <si>
    <t>Deng</t>
  </si>
  <si>
    <t>The Sudan People's Liberation Movement</t>
  </si>
  <si>
    <t>the Misseriya Arab</t>
  </si>
  <si>
    <t>The candidate: Hillary Clinton, The gaffe: Speaking at a fundraiser on September 9, Clinton said, â€œYou know, to just be grossly generalistic, you could put half of Trumpâ€™s supporters into what I call the â€˜basket of deplorables.</t>
  </si>
  <si>
    <t xml:space="preserve"> Donald Trumpâ€™s claim Friday that Hillary Clinton and her 2008 campaign â€œstartedâ€ the Obama birther controversy touched off a series of instant from media outlets who branded the claim â€œ</t>
  </si>
  <si>
    <t>Below is a short list illustrating how much the world has  and has not  changed since 9/11.In the wake of the attacks, the U.S. embarked on the longest military campaign in its history in an effort break the Talibans grip on Afghanistan.</t>
  </si>
  <si>
    <t>Talibans</t>
  </si>
  <si>
    <t>Taliban</t>
  </si>
  <si>
    <t xml:space="preserve">In the primaries, Morell said, Putin â€played upon Mr. Trumpâ€™s vulnerabilitiesâ€ by complimenting him. </t>
  </si>
  <si>
    <t>Morell</t>
  </si>
  <si>
    <t>Putin</t>
  </si>
  <si>
    <t>Losses in Western markets were led by financial shares, after New Yorks attorney general filed a securities fraud lawsuit against Barclays, accusing the British bank of giving an unfair edge to high-frequency traders.</t>
  </si>
  <si>
    <t>New Yorks</t>
  </si>
  <si>
    <t>Barclays</t>
  </si>
  <si>
    <t>Mike Gillum, psychologist for the family, told the news source that officials at Central Mountain High School didn't step in and provide guidance to the boy's classmates, who began to blame Joe Paterno's firing on the 17-year-old.</t>
  </si>
  <si>
    <t>Mike Gillum</t>
  </si>
  <si>
    <t>Joe Paterno's</t>
  </si>
  <si>
    <t>Central Mountain High School</t>
  </si>
  <si>
    <t>25.In response to a Reuters query, the spokeswoman said on Saturday that the German headquarters of the Swiss bank was one of those raided but that the bank itself was not one of the accused.</t>
  </si>
  <si>
    <t>More attacks will focus on Silva's proposal to push through a law giving Brazil's central bank full independence, a change that is backed by business leaders but opposed by many Brazilians.</t>
  </si>
  <si>
    <t>Silva</t>
  </si>
  <si>
    <t>Brazilians</t>
  </si>
  <si>
    <t>Over the weekend, Puerto Rico's governor, Ricardo Rossell, gave numerous interviews saying he hoped the government would send more than the bare minimum of help, even as he thanked FEMA and the military.</t>
  </si>
  <si>
    <t>Puerto Rico</t>
  </si>
  <si>
    <t>Ricardo Rossell</t>
  </si>
  <si>
    <t>FEMA</t>
  </si>
  <si>
    <t>Turin Games champion Yevgeny Plushenko - screamed blue murder and accused the American of winning the title by dancing rather than skating like a man.Lysacek had become the first man since 1994 to win the Olympic title without attempting the jump that requires four complete aerial revolutions before the touchdown on the ice.</t>
  </si>
  <si>
    <t>Yevgeny Plushenko</t>
  </si>
  <si>
    <t>Lysacek</t>
  </si>
  <si>
    <t>The established European powers did not simply accept the United States as it was rising.</t>
  </si>
  <si>
    <t>The United States on Saturday announced it is providing nearly $100 million more in aid to the Syrian opposition for tasks like supporting local councils and civil society activists.</t>
  </si>
  <si>
    <t>This is strange, though, as Sports Illustrateds Jake Fischer revealed Fultz was not in the original trade packages which were brought to team ownership.</t>
  </si>
  <si>
    <t>Jake Fischer</t>
  </si>
  <si>
    <t>Sports Illustrated</t>
  </si>
  <si>
    <t>Fultz</t>
  </si>
  <si>
    <t>The same day Hillary Clintonâ€™s campaign launched a website to attack Donald Trump on his business record, the bombastic billionaire announced the launch of his own website LyingCrookedHillary.</t>
  </si>
  <si>
    <t>Fernandinho's absence from the international stage has been a huge boost to City, with his consistent form and fitness helping them charge to the top of the Premier League table this season.</t>
  </si>
  <si>
    <t>Fernandinho</t>
  </si>
  <si>
    <t>City</t>
  </si>
  <si>
    <t>the Premier League</t>
  </si>
  <si>
    <t>Democrats are now even blaming Clinton for being too centrist rather than for running a terrible campaign.</t>
  </si>
  <si>
    <t>The Fargo Forum newspaper criticized Valley News Liveâ€™s reporting as blatantly false.</t>
  </si>
  <si>
    <t>Fargo Forum</t>
  </si>
  <si>
    <t>Valley News Liveâ€™s</t>
  </si>
  <si>
    <t>Valley News Liveâ€™</t>
  </si>
  <si>
    <t>And more Republicans are going further, not just refusing to support Trump but also publicly endorsing Hillary Clinton.</t>
  </si>
  <si>
    <t>However, this direct link between a cryptocurrency and the US dollar has caused concern and in January the Bitfinex exchange was subpoenaed by US regulatory agency - the Commodity Futures Trading Commission - over potential price manipulation.</t>
  </si>
  <si>
    <t>Bitfinex</t>
  </si>
  <si>
    <t>the Commodity Futures Trading Commission</t>
  </si>
  <si>
    <t>DNC criticismDonald Trump continued his counteroffensive against speakers who criticized him at the Democratic National Convention Friday night, blasting retired four-star General John Allen for having "failed" in the battle against the Islamic State.</t>
  </si>
  <si>
    <t>John Allen</t>
  </si>
  <si>
    <t>Kenya is holding a re-vote on Oct. 26 after the Supreme Court threw out the result of an election in August won by incumbent President Uhuru Kenyatta.</t>
  </si>
  <si>
    <t>President Uhuru Kenyatta</t>
  </si>
  <si>
    <t>Uhuru Kenyatta</t>
  </si>
  <si>
    <t>Ban on transfers has also been proposed by Uefa  Sanctions would extend to Europa League prize moneyEurope's elite clubs have formulated a proposal for tackling those in breach of Uefa's new financial fair play rules that would lead to transfer bans and Champions League and Europa League prize money being withheld.</t>
  </si>
  <si>
    <t>Uefa</t>
  </si>
  <si>
    <t>Uefa  Sanction</t>
  </si>
  <si>
    <t>Europa League</t>
  </si>
  <si>
    <t>Some experts said that's because the president has little to lose, as polls show most Americans are set to blame Republicans for any failure to strike a deal."I</t>
  </si>
  <si>
    <t>Obama's plans to expand support for groups fighting Islamic State in Syria have focused on Sunni Muslim insurgents deemed moderate by Washington.</t>
  </si>
  <si>
    <t>Sunni Muslim</t>
  </si>
  <si>
    <t>Precious storyteller' A handful or Japanese people are known to have lived through both attacks, but Mr Yamaguchi is the only one formally recognised by the Japanese government to have done so.</t>
  </si>
  <si>
    <t>Japanese</t>
  </si>
  <si>
    <t>Yamaguchi</t>
  </si>
  <si>
    <t>Mr Yamaguchi</t>
  </si>
  <si>
    <t xml:space="preserve">Tam, incidentally, has criticized the Redskins nickname. </t>
  </si>
  <si>
    <t>Tam</t>
  </si>
  <si>
    <t>Redskins</t>
  </si>
  <si>
    <t>Redskin</t>
  </si>
  <si>
    <t>â€ US Secretary of State Rex Tillerson called on Russia and Iran â€to exercise their influence over the Syrian regimeâ€ and said that the two nations â€bear great moral responsibility for these deaths.â€</t>
  </si>
  <si>
    <t>State</t>
  </si>
  <si>
    <t>Rex Tillerson</t>
  </si>
  <si>
    <t>In response, a measured Silva accuses Rousseff of engaging in the same kind of scare tactics directed against the Workers' Party in campaigns before it came to power.</t>
  </si>
  <si>
    <t>the Workers' Party</t>
  </si>
  <si>
    <t>The Israeli leader capped off his attacks at the Obama administration with his blistering public response to Kerryâ€™s speech Wednesday.</t>
  </si>
  <si>
    <t>Kerry</t>
  </si>
  <si>
    <t>Brett McGurk, President Obamaâ€™s special envoy to the coalition, expressed his support for Twitterâ€™s actions soon after the social mediaâ€™s announcement.</t>
  </si>
  <si>
    <t>Brett McGurk</t>
  </si>
  <si>
    <t>Twitterâ€™</t>
  </si>
  <si>
    <t xml:space="preserve">Then again, Democrats generally have been more likely to blame Republicans </t>
  </si>
  <si>
    <t>Coddled by gloved flunkies in dehumidified rooms, these volumes have been cherished with the same hushed attention that Saint Laurent and Berg once lavished on Parisian ladies of a certain age.</t>
  </si>
  <si>
    <t>Saint Laurent</t>
  </si>
  <si>
    <t>Berg</t>
  </si>
  <si>
    <t>In the centre ground of Brexit, which is occupied by the likes of Michael Gove, accepting WTO rules and the regulatory freedom that comes with them offers a chance to drive up standards and compete on a higher plane than even European nations do.</t>
  </si>
  <si>
    <t>WTO</t>
  </si>
  <si>
    <t>- Contributor 5 Russell said Mabel's birth was 'brilliant, surprising, amazing'MOST READ IN BIZARRE COMIC BABY FAILS Russell Brand blasted for admitting he won't change his two kids' nappies</t>
  </si>
  <si>
    <t>5 Russell</t>
  </si>
  <si>
    <t>Mabel</t>
  </si>
  <si>
    <t>BABY</t>
  </si>
  <si>
    <t>As Rand Paul alienates those who supported his father, based largely on his foreign policy beliefs, a vacuum has developed for a candidate with a foreign policy belief system close to Ron Paul's, one who does not merely oppose a particular military action, but one who opposes the entire interventionist premise behind U.S. foreign policy.</t>
  </si>
  <si>
    <t>Ron Paul</t>
  </si>
  <si>
    <t>Ron Paul's</t>
  </si>
  <si>
    <t>Jose Mourinho was a fierce critic of Louis Van Gaal's decision to sell the Argentine at a 15m loss just just one season into his United career.</t>
  </si>
  <si>
    <t>Louis Van Gaal's</t>
  </si>
  <si>
    <t>Louis Van Gaal</t>
  </si>
  <si>
    <t>Deputy Foreign Minister Hossein Amir-Abdollahian told the Arabic-language Al-Alam television channel that no Iranian diplomat was wounded in Wednesdays attack.</t>
  </si>
  <si>
    <t>Minister Hossein Amir-Abdollahian</t>
  </si>
  <si>
    <t>Al-Alam</t>
  </si>
  <si>
    <t>of.Quantum mechanic Gerry Harp will take over searching the skies at the nonprofit SETI Institute, which Tarter co-founded in 1984.She has really been visionary about the importance of SETI as an activity, and about reaching the public, said Geoffrey Bower, a UC Berkeley astronomer.</t>
  </si>
  <si>
    <t>Gerry Harp</t>
  </si>
  <si>
    <t>SETI Institute</t>
  </si>
  <si>
    <t>Tarter</t>
  </si>
  <si>
    <t>Geoffrey Bower</t>
  </si>
  <si>
    <t>The Guptas failed to meet loan repayment obligations in recent weeks and, with the EDC assessing a political exposure risk, it terminated the loan which allowed Canadas Bombardier to sell a Global 6000 jet to them, the Globe and Mail had reported earlier.</t>
  </si>
  <si>
    <t>Guptas</t>
  </si>
  <si>
    <t>Gupta</t>
  </si>
  <si>
    <t>EDC</t>
  </si>
  <si>
    <t>Michael Turner, director general of the Joint Council of Qualifications (JCQ), said: "Although the system has undergone change, this year's national results are very stable.</t>
  </si>
  <si>
    <t>Michael Turner</t>
  </si>
  <si>
    <t>JCQ</t>
  </si>
  <si>
    <t>But while the government and international leaders strongly supported the deal, many Colombians were frustrated that it would allow FARC fighters to avoid war crimes prosecution.</t>
  </si>
  <si>
    <t>Colombians</t>
  </si>
  <si>
    <t>Colombian</t>
  </si>
  <si>
    <t>FARC</t>
  </si>
  <si>
    <t>Inspired by our March 2016 cover story by James Fallows, â€œHow America Is Putting Itself Back Together,â€ readers share their best aerial photos from across the U. S.</t>
  </si>
  <si>
    <t>James Fallows</t>
  </si>
  <si>
    <t>James Fallow</t>
  </si>
  <si>
    <t>The report said Crone had lied about the nature of his involvement in the notorious phone hacking settlement with soccer union boss Gordon Taylor, and that both he and Myler had "answered questions falsely" about their knowledge of phone hacking.</t>
  </si>
  <si>
    <t>Crone</t>
  </si>
  <si>
    <t>Gordon Taylor</t>
  </si>
  <si>
    <t>Myler</t>
  </si>
  <si>
    <t>A 2015 Human Rights Watch report accused the Saudis of systematic discrimination against women and religious minorities and claimed</t>
  </si>
  <si>
    <t>Human Rights Watch</t>
  </si>
  <si>
    <t>Saudis</t>
  </si>
  <si>
    <t>Saudi</t>
  </si>
  <si>
    <t>What makes Michiganâ€™s result especially noteworthy is it lends credence to Trumpâ€™s promise of putting the industrial Midwest back in play for Republicans.</t>
  </si>
  <si>
    <t>Luntz repeatedly attacked Breitbart News.</t>
  </si>
  <si>
    <t>Luntz</t>
  </si>
  <si>
    <t>In response to a question from Senator John McCain, Panetta said that the idea that the administration didn't push the Iraqis hard enough to accept a residence U.S. force was "simply faulty."Finally, what exactly would keeping U.S. troops in Iraq have accomplished?</t>
  </si>
  <si>
    <t>John McCain</t>
  </si>
  <si>
    <t>Panetta</t>
  </si>
  <si>
    <t>As Eltahawy is escorted out of the station by police, she says: "This is what happens in America when you non-violently protest."New York's Metropolitan Transit Authority originally ruled that the posters were demeaning and would not be permitted in the city's subways, but allowed them after the anti-Muslim group took the agency to court.</t>
  </si>
  <si>
    <t>Eltahawy</t>
  </si>
  <si>
    <t>anti-Muslim</t>
  </si>
  <si>
    <t>The Clinton campaign quickly condemned Trumpâ€™s comments.</t>
  </si>
  <si>
    <t>said Thursday she supports a call put forth by Democratic lawmakers in Washington to make the Federal Reserve more diverse and get bankers out of the Federal Reserve system.</t>
  </si>
  <si>
    <t>the Federal Reserve</t>
  </si>
  <si>
    <t>Federal Reserve</t>
  </si>
  <si>
    <t>The conspiracy website Infowars, pointing to an unclear photograph, published a story this week suggesting that Clinton was wearing an earpiece so that someone could feed her answers during a live NBC presidential forum Wednesday night.</t>
  </si>
  <si>
    <t>Infowars</t>
  </si>
  <si>
    <t>Infowar</t>
  </si>
  <si>
    <t>s newsroom that Acosta has been given the latitude, perhaps even the implicit assignment, to turn the briefing room into a personal editorial page because it is good television and reaffirms CNNs integral role in the ongoing drama.</t>
  </si>
  <si>
    <t>Acosta</t>
  </si>
  <si>
    <t>Republican nominee Donald Trump is alleging that the Democratic Party is attempting to schedule general election debates that conflict with â€œmajor NFL games.</t>
  </si>
  <si>
    <t>the Democratic Party</t>
  </si>
  <si>
    <t xml:space="preserve">The Gianforte campaign initially blamed Jacobs for the altercation, falsely claiming the reporter â€œaggressively shoved a recorder in Gregâ€™s faceâ€. </t>
  </si>
  <si>
    <t>Gianforte</t>
  </si>
  <si>
    <t>Jacobs</t>
  </si>
  <si>
    <t>Jacob</t>
  </si>
  <si>
    <t>Contra Costa County Juvenile Justice System recognized Vince Richards for Outstanding Service Contribution by a Law Officer and Robin Kelly for Outstanding Service Contribution by a Community Volunteer.</t>
  </si>
  <si>
    <t>Vince Richards</t>
  </si>
  <si>
    <t>Contra Costa County Juvenile Justice System</t>
  </si>
  <si>
    <t>Robin Kelly</t>
  </si>
  <si>
    <t>Vince Richard</t>
  </si>
  <si>
    <t>In 2006, the tiny border town of El Cenizo, Texas, even declared Spanish its official language, sparking heated discussion on the issue nationally.</t>
  </si>
  <si>
    <t>El Cenizo</t>
  </si>
  <si>
    <t xml:space="preserve"> Donald Trump has accused Democrats of working to undermine the legitimacy of his presidency, but he should look somewhere else: to the faceless bureaucrats leaking drafts of his executive orders and the West Wing staffers sharing hugely embarrassing information about him. </t>
  </si>
  <si>
    <t>A direct result of this Saudi influence is that many Muslims have been taught a story of Islamic tradition from which Sufism is rigorously excluded, which justifies violence and which breeds a strong antipathy towards non-Muslims.</t>
  </si>
  <si>
    <t>Sufism</t>
  </si>
  <si>
    <t>Now the award-winning actor will reportedly receive back pay for her performance as Britains Queen Elizabeth, as the makers of the acclaimed Netflix drama seek to close the gender pay gap.</t>
  </si>
  <si>
    <t>Netflix</t>
  </si>
  <si>
    <t>Three months after the infamous hacktivist collective "Anonymous" orchestrated a massive attack on the Austin, Texas-based security think tank Strategist Forecasting, the cyber villains have once again invaded the city -- this time, right in front of an audience.</t>
  </si>
  <si>
    <t>Anonymous</t>
  </si>
  <si>
    <t>Austin</t>
  </si>
  <si>
    <t>Strategist Forecasting</t>
  </si>
  <si>
    <t xml:space="preserve">United Nations human rights officials have repeatedly called on Iran to stop detaining Christians on vague national security charges. </t>
  </si>
  <si>
    <t>Christians</t>
  </si>
  <si>
    <t>U.S. District Judge Nina Gershon in Brooklyn, New York denied Jordan-based Arab Banks motion to dismiss the lawsuit that claims the bank provided material support in the form of financial services to Hamas.</t>
  </si>
  <si>
    <t>Nina Gershon</t>
  </si>
  <si>
    <t>Arab Banks</t>
  </si>
  <si>
    <t>Arab Bank</t>
  </si>
  <si>
    <t xml:space="preserve">The UK has been one of Russias strongest critics but, in a change of tone  if not policy </t>
  </si>
  <si>
    <t>Russias</t>
  </si>
  <si>
    <t>She suffered head injuries and lost a finger and is being treated at an undisclosed location in the United States.While the international community has offered help with the investigation, the Bangladeshi government has failed to mention a word about Avijits gruesome murder since the day it occurred, Ahmed said.</t>
  </si>
  <si>
    <t>Avijits</t>
  </si>
  <si>
    <t>Avijit</t>
  </si>
  <si>
    <t>Ahmed</t>
  </si>
  <si>
    <t>One week into the administration, Google and other tech companies began to push back, criticizing Mr. Trumpâ€™s executive order on immigration bans.</t>
  </si>
  <si>
    <t xml:space="preserve">9:30 a.m. ET | U.S. and European forces continued their campaign of air attacks on military installations and forces loyal to Libyan leader Moammar Gadhafi, while a top French official predicted Monday that the intervention could last </t>
  </si>
  <si>
    <t>Libyan</t>
  </si>
  <si>
    <t>Moammar Gadhafi</t>
  </si>
  <si>
    <t>US VOTE NO2 Sir John Major says second EU referendum is 'morally justified'And David Jones, a former Brexit minister, said: "It looks very much as if officials are trying to bounce ministers into accepting an outcome of negotiations they will not be happy with.The whole thing is extremely unhelpful and against the national interest.Reuters</t>
  </si>
  <si>
    <t>John Major</t>
  </si>
  <si>
    <t>David Jones</t>
  </si>
  <si>
    <t>David Jone</t>
  </si>
  <si>
    <t>And Houser himself has been the GTA games' executive producer since the third outing,</t>
  </si>
  <si>
    <t>Houser himself</t>
  </si>
  <si>
    <t>Houser</t>
  </si>
  <si>
    <t>GTA</t>
  </si>
  <si>
    <t>Charter Communications unleashed a verbal attack on Time Warner Cable on Tuesday, saying the cable operator's executives had "failed" as Charter tried to rally investors to accept its bid.</t>
  </si>
  <si>
    <t>Charter Communications</t>
  </si>
  <si>
    <t>Charter Communication</t>
  </si>
  <si>
    <t>Time Warner Cable</t>
  </si>
  <si>
    <t>Israel has accused Syria of harboring and funding Islamic Jihad, and after the airstrike also named Iran as a key backer of the militant group.</t>
  </si>
  <si>
    <t>Asked about Bernie Sanderâ€™s recent comments that Hillary Clinton is not qualified to be President, former UN Ambassador John Bolton told Breitbart News Daily host Stephen K. Bannon,â€I think heâ€™s right. â€</t>
  </si>
  <si>
    <t>Bernie Sanderâ€™s</t>
  </si>
  <si>
    <t>John Bolton</t>
  </si>
  <si>
    <t>Fidelitys online brokerage plans to let clients enter orders for Spotify shares starting at 7:00 a.m. EDT on Tuesday, 2-1/2 hours before the stock market opens, a spokesman said.</t>
  </si>
  <si>
    <t>Fidelitys</t>
  </si>
  <si>
    <t>Fidelity</t>
  </si>
  <si>
    <t>The New York Timessays the bad economic news and the debates setting combined to produce an often stifled encounter.The NYT goes against the grain and leads with the latest downturn in the markets.</t>
  </si>
  <si>
    <t>The New York Timessays</t>
  </si>
  <si>
    <t>The New York Timessay</t>
  </si>
  <si>
    <t>NYT</t>
  </si>
  <si>
    <t>As he denounced what he described as the Republican convention's "savage assault on the truth" at a press conference here Thursday, Booker said he own speech would not vilify or demonize his opponents."I'm pretty confident about my part," he said.</t>
  </si>
  <si>
    <t>If those two things happen at the same time, as they are scheduled to do at the beginning of January, the results would be, to use Ross Perot's term, a "giant sucking sound" -- in this case of stimulus being removed from the American economy all at once.</t>
  </si>
  <si>
    <t>Ross Perot's</t>
  </si>
  <si>
    <t>Ross Perot</t>
  </si>
  <si>
    <t>The venture capitalist Marc Andreessen, who backed Mr. Romney in 2012, said on Twitter that he was supporting Mrs. Clinton.</t>
  </si>
  <si>
    <t>Marc Andreessen</t>
  </si>
  <si>
    <t>In an email, Christies office personally attacked Wildstein, suggesting he was an unreliable witness who would do and say anything to save David Wildstein.The email, obtained by Politico, was ostensibly addressed to supporters but was clearly meant for public consumption.</t>
  </si>
  <si>
    <t>Wildstein</t>
  </si>
  <si>
    <t>David Wildstein</t>
  </si>
  <si>
    <t>Heavy.com also found a now-deleted Instagram account apparently belonging to Cruz, which featured images of guns, and knives, and a post that appears to contain an anti-Muslim slur.</t>
  </si>
  <si>
    <t>Heavy.com</t>
  </si>
  <si>
    <t xml:space="preserve">On the mall, filmmaker Michael Moore, feminist icon Gloria Steinem, musician Alicia Keys and other speakers emotionally attacked Trump for his views on immigration, Muslims and women. </t>
  </si>
  <si>
    <t>Gloria Steinem</t>
  </si>
  <si>
    <t>Hindu cow protectors have targeted Dalits and Muslims who make money skinning dead cows, accusing them of killing animals sacred to Hindus.</t>
  </si>
  <si>
    <t>Hindu</t>
  </si>
  <si>
    <t>Dalits</t>
  </si>
  <si>
    <t>Even if Israel is responsible for pushing Palestinians from their homes in order to seize their land, as the Arabs allege, this would make them guilty of ethnic cleansing, but not genocide.</t>
  </si>
  <si>
    <t>Arabs</t>
  </si>
  <si>
    <t>During the spring and summer, Reuters, The Washington Post and other media outlets reported a string of complaints from the Pentagon and the CIA about Obamas plans to reach an agreement with Russia on Syria that would commit the United States to cooperate against Al Qaedas Syrian franchise.</t>
  </si>
  <si>
    <t>Al Qaeda</t>
  </si>
  <si>
    <t>Moscow has a pariah image in much of the West due to Russias backing for Syrias Bashar al-Assad and for its annexation of Crimea in 2014, and due to accusations of human rights violations at home.</t>
  </si>
  <si>
    <t>Syrias Bashar al-Assad</t>
  </si>
  <si>
    <t>Bashar al-Assad</t>
  </si>
  <si>
    <t>But there was no one better than Jurgensen," said Jalal Younus, the chairman of the BCB media committee."So we decided to appoint him as head coach up to December 2013."Jurgensen's first assignment will be a visit to Sri Lanka for a two-test and three one-day international series starting in March.</t>
  </si>
  <si>
    <t>Jurgensen</t>
  </si>
  <si>
    <t>Jalal Younus</t>
  </si>
  <si>
    <t>Jalal Younu</t>
  </si>
  <si>
    <t>The current House Speaker John Boehner also praised Wrightâ€™s military and public service on Wednesday.</t>
  </si>
  <si>
    <t>John Boehner</t>
  </si>
  <si>
    <t>Wright</t>
  </si>
  <si>
    <t>On Monday, May 8, Mojave Desert Land Trust hosted a rally in Joshua Tree to oppose federal attacks on the California desert national monuments.The group said about 160 people attended the rally.Its up to all of us to make sure these monuments remain protected, Danielle Segura, the trusts executive director said in the statement.</t>
  </si>
  <si>
    <t>Mojave Desert Land Trust</t>
  </si>
  <si>
    <t>Danielle Segura</t>
  </si>
  <si>
    <t>Joshua Tree</t>
  </si>
  <si>
    <t>Still, Mara and many other owners said that they supported Goodellâ€™s approach and, contrary to what some of the commissioner</t>
  </si>
  <si>
    <t>Mara</t>
  </si>
  <si>
    <t>Goodell</t>
  </si>
  <si>
    <t>Goodellâ€™</t>
  </si>
  <si>
    <t>Obama's Department of Justice defended the EPA, arguing that the Sierra Club was attacking an established, accepted regulatory approach long after the legal period for challenging it ended.</t>
  </si>
  <si>
    <t>Department of Justice</t>
  </si>
  <si>
    <t>EPA</t>
  </si>
  <si>
    <t>Peter Thiel: YEAThiel, the PayPal founder and venture capitalist, is known as a libertarian â€” though Rand Paul tried and failed to court him as a major backer.</t>
  </si>
  <si>
    <t>YEAThiel</t>
  </si>
  <si>
    <t>Ms Livni, a frontrunner to replace Olmert if he resigns, was earlier quoted telling aides "he must go", following the release of a report by a Government-appointed commission blaming Mr Olmert for serious failures during the Lebanon war.</t>
  </si>
  <si>
    <t>Livni</t>
  </si>
  <si>
    <t>Ms Livni</t>
  </si>
  <si>
    <t>Olmert</t>
  </si>
  <si>
    <t>The Jackson administration, using what union organizers charged were tactics of intimidation, also succeeded in defeating efforts to unionize RPI's downtrodden campus janitors and cafeteria workers.</t>
  </si>
  <si>
    <t>Jackson administration</t>
  </si>
  <si>
    <t>Jackson</t>
  </si>
  <si>
    <t>RPI</t>
  </si>
  <si>
    <t>Last week, a leading Bitcoin startup called Coinbase announced it was adding support for Ethereum to its popular currency trading platform.</t>
  </si>
  <si>
    <t>Coinbase</t>
  </si>
  <si>
    <t>Bitcoin</t>
  </si>
  <si>
    <t>Ethereum</t>
  </si>
  <si>
    <t>Republican Peter King from New York, for example, blamed the NRA for the lack of action on the bill.</t>
  </si>
  <si>
    <t>Republican Peter King</t>
  </si>
  <si>
    <t>NRA</t>
  </si>
  <si>
    <t>Senate Judiciary Chairman Chuck Grassley thanked Sessions for his letter, saying it helped to â€clear up confusion.</t>
  </si>
  <si>
    <t>Chuck Grassley</t>
  </si>
  <si>
    <t xml:space="preserve">â€™s government is jailing its opponents and struggling to revive a sinking economy, the violence adds a new layer of populist frustration: Christians strongly supported Sissiâ€™s rise, expecting him to protect them after the former army general led a coup that toppled the Islamists. </t>
  </si>
  <si>
    <t>Sissi</t>
  </si>
  <si>
    <t>Sissiâ€™</t>
  </si>
  <si>
    <t>But Clintonâ€™s list of union endorsements is much longer and includes the two biggest and most important unions â€” the American Federation of Teachers and the Service Employees International Union.</t>
  </si>
  <si>
    <t>the American Federation of Teachers</t>
  </si>
  <si>
    <t>the American Federation of Teacher</t>
  </si>
  <si>
    <t xml:space="preserve"> Eli Lilly and Sanofi  contributed at least $4.7 million to such national patient advocacy groups as the American Diabetes Association, Diabetes Patient Advocacy Coalition (DPAC), JDRF International and the Diabetes Hands Foundation, according to company disclosures.</t>
  </si>
  <si>
    <t>Eli Lilly</t>
  </si>
  <si>
    <t>DPAC</t>
  </si>
  <si>
    <t>Sanofi</t>
  </si>
  <si>
    <t>the Diabetes Hands Foundation</t>
  </si>
  <si>
    <t>Sharrouf and Elomar also tweeted pictures of themselves with the decapitated heads of Syrian government fighters, prompting Australian Federal Police to issue arrest warrants for the pair in July.</t>
  </si>
  <si>
    <t>Sharrouf</t>
  </si>
  <si>
    <t>Elomar</t>
  </si>
  <si>
    <t>London 2012.The Liverpool-born fighter feels that now his daughter, Ava, has started school his taekwondo performances will begin to improve again."It was really hard looking after her and doing training</t>
  </si>
  <si>
    <t>Liverpool</t>
  </si>
  <si>
    <t>Ava</t>
  </si>
  <si>
    <t>Pakistan has criticized Britains immigration system and offered to help with security checks on foreign students after it emerged that the majority of those arrested in connection with the alleged terror plot entered the country on student visas.</t>
  </si>
  <si>
    <t>Still, Trumpâ€™s executive orders will undoubtedly delight the members of the national Fraternal Order of Police, the nationâ€™s biggest law enforcement union, which endorsed Trump after accusing Obama of demonizing them.</t>
  </si>
  <si>
    <t>Fraternal Order of Police</t>
  </si>
  <si>
    <t>Last week, Rep. Randy Forbes (R-Va.), like Coburn, sharply criticized the Pentagon for failing to comply with the law requiring auditable financial statements from 2007 through last year."If the Department of Defense does not know where our defense dollars are going, how then are they qualified to talk about efficiencies?</t>
  </si>
  <si>
    <t>Randy Forbes</t>
  </si>
  <si>
    <t>Randy Forbe</t>
  </si>
  <si>
    <t>Coburn</t>
  </si>
  <si>
    <t>the Department of Defense</t>
  </si>
  <si>
    <t>The DNC temporarily curtailed Sanders access to the list in December 2015 because the organization accused the insurgent campaign of illegally tapping into confidential voter information compiled by the Clinton campaign.</t>
  </si>
  <si>
    <t>Nine policemen were killed in the attack, which Myanmars government has blamed on Rohingya insurgents.</t>
  </si>
  <si>
    <t>Myanmars</t>
  </si>
  <si>
    <t>Myanmar</t>
  </si>
  <si>
    <t>Rohingya</t>
  </si>
  <si>
    <t>Cleveland is just 6-26 against the Steelers since 1999.As he prepares for another possible start, Manziel remains under investigation by the NFL for his involvement in a recent domestic dispute.</t>
  </si>
  <si>
    <t>Manziel</t>
  </si>
  <si>
    <t>In an unprecedented move, Sen. Cory Booker testified against fellow Sen. Jeff Sessionsâ€™ nomination as attorney general, saying â€œhis record says we canâ€™t count on him.</t>
  </si>
  <si>
    <t>Cory Booker</t>
  </si>
  <si>
    <t>On Tuesday, the European Commission urged Turkey to lift restrictions on media freedom, respect human rights and relaunch peace talks with Kurdish militants.</t>
  </si>
  <si>
    <t>the European Commission</t>
  </si>
  <si>
    <t>Kurdish</t>
  </si>
  <si>
    <t>Bernie Sanders himself is hesitant to pin too much of the blame on the current Democrat president, although he does have a penchant for claiming the Obama Administration has been hiding the depth of our economic malaise with cooked job reports and political spin.</t>
  </si>
  <si>
    <t>the Obama Administration</t>
  </si>
  <si>
    <t>Beck, a Mormon, has endorsed Cruz and has spoken on his behalf at numerous rallies around the country.</t>
  </si>
  <si>
    <t>Beck</t>
  </si>
  <si>
    <t>Last week, Roberts said the teams medical staff was pleasantly surprised with how quickly the epidural injection Kershaw received two weeks ago had given him relief from the lower back pain caused by a mildly-herniated disc.</t>
  </si>
  <si>
    <t>Roberts</t>
  </si>
  <si>
    <t>Robert</t>
  </si>
  <si>
    <t>Kershaw</t>
  </si>
  <si>
    <t>The UK and US have stepped up criticism of the role of Russia and Iran in Aleppoâ€™s humanitarian disaster, amid uncertainty about whether the incoming Trump administration might enter into a deal with Vladimir Putin.</t>
  </si>
  <si>
    <t>Vladimir Putin</t>
  </si>
  <si>
    <t>(Sure, House Speaker Paul Ryan and others criticized Trumpâ€™s comments, but they did not officially distance themselves from him.)</t>
  </si>
  <si>
    <t>Kieran West and Athens Olympian James held their cohesion well as Oxford mounted attack after attack in an attempt to prevent Cambridge from settling into their stride.</t>
  </si>
  <si>
    <t>Kieran West</t>
  </si>
  <si>
    <t>Oxford</t>
  </si>
  <si>
    <t>James</t>
  </si>
  <si>
    <t>Cambridge</t>
  </si>
  <si>
    <t>JPMorgan Chief Executive Jamie Dimon last week said Bitcoin, the original and still the biggest cryptocurrency, is a fraud and will eventually blow up.The</t>
  </si>
  <si>
    <t>Jamie Dimon</t>
  </si>
  <si>
    <t>Critics say Serra essentially imprisoned Native Americans in closed communities, where he suppressed their cultures and had them beaten as he tried to indoctrinate them in Roman Catholic beliefs and customs.</t>
  </si>
  <si>
    <t>Serra</t>
  </si>
  <si>
    <t>Native Americans</t>
  </si>
  <si>
    <t>Native American</t>
  </si>
  <si>
    <t>Rob Koehler, the deputy director general of WADA, defended the organizationâ€™s response to the scandal, pointing to the independent investigations it had ultimately commissioned, which amassed evidence of the vast scope of Russiaâ€™s cheating that the I. O. C. and others are continuing to review.</t>
  </si>
  <si>
    <t>Rob Koehler</t>
  </si>
  <si>
    <t>WADA</t>
  </si>
  <si>
    <t>The rabbi leading the National Menorah Lighting outside the White House on Sunday night ripped into President Obama for allowing a United Nations vote condemning Israel to pass Friday at the international body.</t>
  </si>
  <si>
    <t>the National Menorah Lighting</t>
  </si>
  <si>
    <t>It's part of Chinese culture to respect the elderly, and the same goes with brands," said Warren Liu, a former vice-president of YUM!</t>
  </si>
  <si>
    <t>Warren Liu</t>
  </si>
  <si>
    <t>YUM</t>
  </si>
  <si>
    <t>Toronto-based Nortel, however, had accused RIM of not complying with common confidentiality provisions that other bidders had agreed to follow.</t>
  </si>
  <si>
    <t>Nortel</t>
  </si>
  <si>
    <t>Toronto</t>
  </si>
  <si>
    <t>RIM</t>
  </si>
  <si>
    <t>Related Barbara Marshall explains why she supports her son Brandon</t>
  </si>
  <si>
    <t>Barbara Marshall</t>
  </si>
  <si>
    <t>Related Barbara Marshall</t>
  </si>
  <si>
    <t>Brandon</t>
  </si>
  <si>
    <t>both Russell and Scudamore stressed how thankful they were for One For Arthurs achievement at Aintree, when he became only the second Scottish-trained horse in 200 years to take the famous race.</t>
  </si>
  <si>
    <t>Scudamore</t>
  </si>
  <si>
    <t>Arthur</t>
  </si>
  <si>
    <t>NATO and America's European allies are sounding the alarm over what they say are increased cyber attacks originating from China that are targeting key government and intelligence computers.</t>
  </si>
  <si>
    <t>Tribal elders concurred, and Gul said the assailants accused the man they briefly kidnapped of being an "American spy" before they let him go.</t>
  </si>
  <si>
    <t>Gul</t>
  </si>
  <si>
    <t xml:space="preserve">He has been sucked into a row with a Muslim Gold Star family, the Khans criticized strongly by John McCain and branded â€unfitâ€ for high office by President Barack Obama. </t>
  </si>
  <si>
    <t xml:space="preserve">July 12 Senator Bernie Sanders ( ) endorses Hillary Clinton for president. </t>
  </si>
  <si>
    <t>Further, Bokhari argues, the real reason the U.S. opposes designating them as terrorists is because they are proxy groups supported by American allies Saudi Arabia and Turkey.</t>
  </si>
  <si>
    <t>Bokhari</t>
  </si>
  <si>
    <t>In the past year, the John Howard Association (JHA) has visited more than 20 correctional facilities, and we appreciate the work that the staff and administration at the Illinois Department of Corrections (DOC) and the Illinois Department of Juvenile Justice (DJJ) do every day to keep them operating with shrinking resources.</t>
  </si>
  <si>
    <t>the John Howard Association</t>
  </si>
  <si>
    <t>JHA</t>
  </si>
  <si>
    <t>the Illinois Department of Juvenile Justice</t>
  </si>
  <si>
    <t>Richard Ferrand, of En Marche! made the first direct accusation by a French political party that Russia was trying influence the outcome of the elections.</t>
  </si>
  <si>
    <t>Richard Ferrand</t>
  </si>
  <si>
    <t>Even before The Bugglesâ€™ Video Killed the Radio Star kicked off the MTV era in August 1981, the music video has proven fertile ground for innovation.</t>
  </si>
  <si>
    <t>MTV</t>
  </si>
  <si>
    <t>Radio Star</t>
  </si>
  <si>
    <t>Official Palestinian news agencies published interviews praising Mr. Abbas for acting like a statesman and creating new opportunities for negotiations.</t>
  </si>
  <si>
    <t>Instead, he said, Mrs. Clinton will remind voters that President Vladimir V. Putin of Russia and the North Korean government of Kim have expressed support for Mr. Trump, who has suggested a willingness to talk directly with Mr. Kim, a pariah worldwide.</t>
  </si>
  <si>
    <t>Vladimir V. Putin</t>
  </si>
  <si>
    <t>Democratic presidential candidate Michael Dukakis was endorsed by Willie Horton, a vicious murderer, who, after being released by Dukakis, broke into a Maryland coupleâ€™s home, tortured and raped them.</t>
  </si>
  <si>
    <t>Michael Dukakis</t>
  </si>
  <si>
    <t>Willie Horton</t>
  </si>
  <si>
    <t xml:space="preserve">Morriseyâ€™s office also filed a lawsuit against the stateâ€™s largest residential landlord, Metro Property Management, alleging that the company violated the stateâ€™s law by charging tenants a fee, in addition to the standard damage deposit, to prepare each residence for its next tenant. </t>
  </si>
  <si>
    <t>Morrisey</t>
  </si>
  <si>
    <t>Morriseyâ€™</t>
  </si>
  <si>
    <t>Metro Property Management</t>
  </si>
  <si>
    <t xml:space="preserve"> US officials on Friday warned Samsung Galaxy Note7 owners to power the smartphones down and stop using them over fears the battery cells could ignite.</t>
  </si>
  <si>
    <t>Samsung</t>
  </si>
  <si>
    <t>Samsung Galaxy</t>
  </si>
  <si>
    <t>This past August, after the Pope once again decried the introduction of gender theory into schools, LGBT activists reacted strongly, accusing Francis of butting in where he doesnâ€™t belong.</t>
  </si>
  <si>
    <t>LGBT</t>
  </si>
  <si>
    <t>Franci</t>
  </si>
  <si>
    <t xml:space="preserve">Black actress Alfre Woodard (whose portrayal of a comically psychotic wench was the only convincing characterization in 12 Years a Slave) appears as a grieving mother who blames Stark â€” standing in for the Military Industrial Complex </t>
  </si>
  <si>
    <t>Alfre Woodard</t>
  </si>
  <si>
    <t>Stark</t>
  </si>
  <si>
    <t>the Military Industrial Complex</t>
  </si>
  <si>
    <t>Rendell further criticized some Pennsylvania voters, male and female, who he said were reluctant to elect women to prominent positions, saying that it was one of the reasons Clinton was the wrong presidential candidate.</t>
  </si>
  <si>
    <t>Rendell</t>
  </si>
  <si>
    <t xml:space="preserve"> President Donald Trump declared China the â€grand championsâ€ of currency manipulation on Thursday, just hours after his new Treasury secretary pledged a more methodical approach to analyzing Beijingâ€™s foreign exchange practices. </t>
  </si>
  <si>
    <t>On the Iranian nuclear deal, Chafee's message eerily echoes that of Ron Paul, who unlike his son Rand Paul, supports the deal.</t>
  </si>
  <si>
    <t>Chafee</t>
  </si>
  <si>
    <t>But Sanders also attacked one of Clintonâ€™s strong points: her significant support among African Americans.</t>
  </si>
  <si>
    <t>As Media Matters for America has noted, the New York Times reported on February 21 that USA Next hired consultants who previously worked with Swift Boat Veterans for Truth (now Swift Vets and POWs for Truth) to "orchestrate attacks" as part of USA Next's $10 million campaign against the AARP.</t>
  </si>
  <si>
    <t>Media Matters for America</t>
  </si>
  <si>
    <t>Swift Boat Veteran</t>
  </si>
  <si>
    <t>AARP</t>
  </si>
  <si>
    <t>Bush, in his Decision Points memoirs on his 2001-2009 presidency, strongly defends the use of waterboarding as key to preventing a repeat of the September 11 attacks on the United States.</t>
  </si>
  <si>
    <t>Trudeau has been under considerable pressure back home to condemn President Trumpâ€™s executive order temporarily suspending visas from seven countries with particularly severe security challenges, but didnâ€™t issue such a condemnation at the joint press conference.</t>
  </si>
  <si>
    <t>Trudeau</t>
  </si>
  <si>
    <t>Mr Wharton said he thought State and Federal Governments were dragging their feet on agriculture development in WA's north."Coming from Queensland that blew me away," he said."We always look to Kununurra as an emerging food growing area that can feed a huge market north of us."I was actually blown away by what I heard this afternoon</t>
  </si>
  <si>
    <t>Wharton</t>
  </si>
  <si>
    <t>Mr Wharton</t>
  </si>
  <si>
    <t>WA</t>
  </si>
  <si>
    <t>Add in the fact that he'll get his always-reliable target Bryant back, too, and the Cowboys automatically field one of the best quarterback-receiver duos in the NFL.The offense posed no threat to any opposing defense last season, whether it was Matt Cassel, Brandon Weeden, or Kellen Moore under center.</t>
  </si>
  <si>
    <t>Bryant</t>
  </si>
  <si>
    <t>Matt Cassel</t>
  </si>
  <si>
    <t>Brandon Weeden</t>
  </si>
  <si>
    <t>The government has accused the separatists, including the National Movement for the Liberation of Azawad (MNLA), of renewing their former alliances with al Qaeda-linked Islamist groups.</t>
  </si>
  <si>
    <t>the National Movement for the Liberation of Azawad</t>
  </si>
  <si>
    <t>MNLA</t>
  </si>
  <si>
    <t>As a result, ADM partnered with Saudi Arabias Almarai 2280.SE, while Bunge teamed up with Arasco, Reuters reported this year.</t>
  </si>
  <si>
    <t>ADM</t>
  </si>
  <si>
    <t>Bunge</t>
  </si>
  <si>
    <t>Saudi Arabias Almarai</t>
  </si>
  <si>
    <t>Arasco</t>
  </si>
  <si>
    <t>Republicans who control the Senate are refusing to advance the nomination, prompting Democrats to accuse them of obstructionism and of ignoring their constitutional obligations.</t>
  </si>
  <si>
    <t>Exit polls can be wrong, but the one that predicted a Lasso win of six points was in predicting the results of the first round of voting in February.</t>
  </si>
  <si>
    <t>Lasso</t>
  </si>
  <si>
    <t>Exit</t>
  </si>
  <si>
    <t xml:space="preserve">The Obama administration has accused Russia of undermining the U. S. democratic process. </t>
  </si>
  <si>
    <t>Describing the attack, Mrs Williams said Ridler "went berserk" and started swearing at her after being eliminated from the competition.</t>
  </si>
  <si>
    <t>Williams</t>
  </si>
  <si>
    <t>Mrs William</t>
  </si>
  <si>
    <t>Ridler</t>
  </si>
  <si>
    <t>He would just stand on the porch and just call us names, Simmons said, adding, Justice had been served.Aviv was accused of calling the neighbor, Sandra Prugh,</t>
  </si>
  <si>
    <t>Simmons</t>
  </si>
  <si>
    <t>Simmon</t>
  </si>
  <si>
    <t>Sandra Prugh</t>
  </si>
  <si>
    <t>The New York Times continued to implode under the weight of internal criticism yesterday as the public clamour for one its most prominent reporters, Judith Miller, to be removed from her job gained pace.</t>
  </si>
  <si>
    <t>The New York Times</t>
  </si>
  <si>
    <t>Judith Miller</t>
  </si>
  <si>
    <t>Yinglucks supporters say the charges against her are an attempt to limit the political influence of her brother, ousted former prime minister Thaksin Shinawatra.</t>
  </si>
  <si>
    <t>Yinglucks</t>
  </si>
  <si>
    <t>Yingluck</t>
  </si>
  <si>
    <t>Thaksin Shinawatra</t>
  </si>
  <si>
    <t>Alex Fishman, the doyen of Israeli defense columnists, has written that Israel simply has failed to adjust to strategic change, and is locked in a narrow cold war mentality:The Syrians fire rockets at open areas:</t>
  </si>
  <si>
    <t>Alex Fishman</t>
  </si>
  <si>
    <t>The star refuted the stinging indictment against his wife, Hilaria, who was accused by a Daily Mail reporter of tweeting at James Gandolfinis funeral.</t>
  </si>
  <si>
    <t>Hilaria</t>
  </si>
  <si>
    <t>James Gandolfinis</t>
  </si>
  <si>
    <t>Daily Mail</t>
  </si>
  <si>
    <t>It's a real profession, and it's made an important contribution to our world."Clearly on a high after her White House visit, Baff went on: "President Obama visited us in the Green Room prior to the ceremony; we didn't expect that.</t>
  </si>
  <si>
    <t>Baff</t>
  </si>
  <si>
    <t>In 2002, the BBC started broadcasting Glastonbury live into everyone's living room so it became something even your granny knew about.</t>
  </si>
  <si>
    <t>Glastonbury</t>
  </si>
  <si>
    <t>In the Democratic primary, Sanders has criticized Clintonâ€™s judgment, pillorying her for her 2002 vote in support of the Iraq War, a decision she later said she regrets.</t>
  </si>
  <si>
    <t>Donald J. Trump (@realDonaldTrump) September 24, 2017Courageous Patriots have fought and died for our great American Flag --- we MUST honor and respect it!</t>
  </si>
  <si>
    <t>As President and CEO of Women In Need, a NYC non-profit, I can tell you that having more families in shelter is never something that we strive for, we want to see our families back on their own, succeeding as contributing neighbors and part of their communities.</t>
  </si>
  <si>
    <t>Women In Need</t>
  </si>
  <si>
    <t>NYC</t>
  </si>
  <si>
    <t>Just accept it.GETTY The dancer revealed she is looking forward to family lifeOla, 34, who quit the dance show after the last series, claimed in her book, Strictly Ola, that Craig once defiantly stated that Arlene was not good at her role as judge.</t>
  </si>
  <si>
    <t>lifeOla</t>
  </si>
  <si>
    <t>Craig</t>
  </si>
  <si>
    <t>Arlene</t>
  </si>
  <si>
    <t>Dr. Stein is actively courting supporters of Vermont Senator Bernie Sanders turned off by Clintonâ€™s coziness with the establishment and long history of alleged corruption.</t>
  </si>
  <si>
    <t>Ward also talked about how the war has gotten only worse since Russia entered the fray last year, running airstrikes in support of the Assad regime while it claims to be fighting terrorism.</t>
  </si>
  <si>
    <t>Ward</t>
  </si>
  <si>
    <t>On most issues, the lanky Cotton, a rising star in the party, has emerged as one of President Trumpâ€™s staunchest supporters, aligning in both tone and substance with the enthusiastic conservative base that helped elect the president.</t>
  </si>
  <si>
    <t>Cotton</t>
  </si>
  <si>
    <t>Donald J. Trump on Tuesday assailed Justice Ruth Bader Ginsburg of the Supreme Court for speaking out on the presidential race, calling her disdainful remarks about his candidacy â€œhighly inappropriateâ€ and suggesting that she owed other justices an apology.</t>
  </si>
  <si>
    <t>Five decades after passage of the Civil Rights Act, Trumpâ€™s presence in the race has already normalized, in the form of his proposed Muslim ban, an explicitly unconstitutional religious test for entry into the country and, in his racist attack on Judge Gonzalo Curiel, ethnic tests for federal appointments.</t>
  </si>
  <si>
    <t>The Washington Post (in line with U.S. newsmedia generally) says that Russian Television is not to be trusted because RT provides fake news.</t>
  </si>
  <si>
    <t>The Washington Post</t>
  </si>
  <si>
    <t>Russian Television</t>
  </si>
  <si>
    <t>RT</t>
  </si>
  <si>
    <t>Coincidently, President Barack Obama also released a statement today criticizing the Citizens United opinion:</t>
  </si>
  <si>
    <t>In the past, the Polish government has accused Tusk of using his EU position to interfere in domestic politics and blamed him for siding with Brussels against Warsaw in a simmering row over the rule of law in Poland.</t>
  </si>
  <si>
    <t>Tusk</t>
  </si>
  <si>
    <t>@barackobamas red line on Syria chem weaps was: If we know Assad used them &amp; our partners joined us in response.</t>
  </si>
  <si>
    <t>@barackobamas</t>
  </si>
  <si>
    <t>@barackobama</t>
  </si>
  <si>
    <t>As Ross Murray, the Director of Religion, Faith &amp; Values at GLAAD, pointed out in this post, "we need more stories that reflect the truth that people are being called to love and support their LGBT friends and family.</t>
  </si>
  <si>
    <t>Ross Murray</t>
  </si>
  <si>
    <t>GLAAD</t>
  </si>
  <si>
    <t>Back in July, when snow was a far-off concern, Uber announced that it had reached an agreement with New York State Attorney General Eric Schneiderman to put a ceiling on surge pricing during state-declared emergencies.</t>
  </si>
  <si>
    <t>Eric Schneiderman</t>
  </si>
  <si>
    <t>New York State</t>
  </si>
  <si>
    <t>McFarlane also praised her work during the Reagan years, and her husband, Alan, calling them both patriots.</t>
  </si>
  <si>
    <t>McFarlane</t>
  </si>
  <si>
    <t>Democrats have praised Beshearâ€™s use of the health care law to drive down the stateâ€™s uninsured rate and his smooth rollout of kynect, the exchange, even while Obama struggled with the national release of healthcare.</t>
  </si>
  <si>
    <t>Beshear</t>
  </si>
  <si>
    <t>Beshearâ€™</t>
  </si>
  <si>
    <t>Syrian government negotiator Bashar Jaafari said on Thursday that peace talks in Astana had not produced a communique because of the â€irresponsibleâ€ late arrival of rebel participants and their Turkish backers which delayed the joint session by a day.</t>
  </si>
  <si>
    <t>Bashar Jaafari</t>
  </si>
  <si>
    <t>Critics of Trumpâ€™s tweet pointed out that the graphic, which featured Clinton and the star on a bed of money with the words â€most corrupt candidate ever,â€ evoked common imagery.</t>
  </si>
  <si>
    <t>During the first two minutes of his speech announcing his run for president in June 2015, Trump supporters cheered on the real estate magnate as he accused Mexican immigrants of being criminals and rapists, even though data shows no real correlation between immigration and rising crime rates.</t>
  </si>
  <si>
    <t>Republican presidential candidate Kasich said rival Trump has created a â€toxicâ€ environment, adding his behavior â€makes it extremely difficult,â€ to support him.</t>
  </si>
  <si>
    <t>Overall, Siskind, Leopold and other advocates of diversity say Trumpâ€™s popular reforms are a disaster for their political goals.</t>
  </si>
  <si>
    <t>Siskind</t>
  </si>
  <si>
    <t>Overall, Siskind, Leopold</t>
  </si>
  <si>
    <t>Leopold</t>
  </si>
  <si>
    <t>At this point, Klein said, itâ€™s already too late for the Democrats to show they care, as they went after Bannon by falsely accusing him of being with much more force than they have done about a former reporter for The Intercept who was fired for printing fake news.</t>
  </si>
  <si>
    <t>Klein</t>
  </si>
  <si>
    <t>Netanyahuâ€™s office declined to respond to SodaStreamâ€™s charges, except to say the permits were always known to be temporary and the government prioritizes jobs for Israeli citizens.</t>
  </si>
  <si>
    <t>SodaStreamâ€™</t>
  </si>
  <si>
    <t>Trumpâ€™s lies are failing him, and it is making him deeply frustrated Eugene Robinson:</t>
  </si>
  <si>
    <t>Eugene Robinson</t>
  </si>
  <si>
    <t>Republican Senator Susan Collins came out against Pruitt on Wednesday, saying she had doubts about whether he would fully support the EPAâ€™s mission to protect human health and the environment.</t>
  </si>
  <si>
    <t>Susan Collins</t>
  </si>
  <si>
    <t>Pruitt</t>
  </si>
  <si>
    <t>The veto essentially gives Spain far too much power over the future of Gibraltar, with many accusing Madrid of using Brexit to "mount a land grab" for the Rock.</t>
  </si>
  <si>
    <t>Spain</t>
  </si>
  <si>
    <t>Gibraltar</t>
  </si>
  <si>
    <t>Madrid</t>
  </si>
  <si>
    <t>Trumpâ€™s challenge in the states that remain close will be to produce significant turnout among white, voters to offset those Clinton margins, but itâ€™s far from clear that there are enough of them to be decisive.</t>
  </si>
  <si>
    <t>The Turkish president lashed out at the US in particular for not giving up exiled cleric Fethullah Glen, as his domestic crackdown continuesTurkeys president, Recep Tayyip Erdoan, has accused the west of supporting terrorism and siding with organisers of the failed coup attempt, as football referees and other members of the sport</t>
  </si>
  <si>
    <t>Fethullah Glen</t>
  </si>
  <si>
    <t>Recep Tayyip Erdoan</t>
  </si>
  <si>
    <t xml:space="preserve">Last last week, Blaze founder Glenn Beck fell for a phony, tweet that had Donald Trump bragging about voting for Barack Obama in 2008. </t>
  </si>
  <si>
    <t>Jeff &amp; MacKenzie.Bezos, whom Trump has repeatedly attacked for avoiding tax at Amazon, did not acknowledge the politics of his Dreamers donation.</t>
  </si>
  <si>
    <t>Jeff</t>
  </si>
  <si>
    <t>Jeff &amp; MacKenzie.Bezo</t>
  </si>
  <si>
    <t>MacKenzie.Bezos</t>
  </si>
  <si>
    <t>Dreamer</t>
  </si>
  <si>
    <t>Republican trust in the media  always low to begin with  has been cut by more than half, dropping 16-17 points, while Democrats are up 21 in just the past year alone.</t>
  </si>
  <si>
    <t xml:space="preserve"> actress Charlotte Rampling questioned the merit of this yearâ€™s black film performances, and said plans to boycott the upcoming Oscars over a renewed race controversy are actually racist toward whites in an interview on Friday.</t>
  </si>
  <si>
    <t>Charlotte Rampling</t>
  </si>
  <si>
    <t>Oscar</t>
  </si>
  <si>
    <t>Trumpâ€™s inaugural address had boldly rejected the American consensus to bear the burdens of world leadership.</t>
  </si>
  <si>
    <t>The Guardians analysis of all the notices issued between 2012 and 2017 involving people receiving NHS care for mental health conditions uncovered a total of 706 failings across the 271 deaths.</t>
  </si>
  <si>
    <t>Guardians</t>
  </si>
  <si>
    <t>NHS</t>
  </si>
  <si>
    <t>In exchange, the government is recommending he be placed on probation for two years and pay a $25,000 fine, Rolaters attorney said.Hes a convicted felon for the rest of his life, Crank said.</t>
  </si>
  <si>
    <t>Rolaters</t>
  </si>
  <si>
    <t>Rolater</t>
  </si>
  <si>
    <t>Crank</t>
  </si>
  <si>
    <t>On November 28, Mirza Abbas went to submit his nomination paper to the returning officer, who refused to accept it citing that the BNP leader was late in submitting the documents, said Barrister AKM Ehsanur Rahman, a lawyer for Mirza Abbas.</t>
  </si>
  <si>
    <t>Mirza Abbas</t>
  </si>
  <si>
    <t>BNP</t>
  </si>
  <si>
    <t>AKM Ehsanur Rahman</t>
  </si>
  <si>
    <t>Barrister</t>
  </si>
  <si>
    <t>A May report from the State Department inspector general is harshly critical of Clintonâ€™s email approach.</t>
  </si>
  <si>
    <t>the State Department</t>
  </si>
  <si>
    <t xml:space="preserve">Trump and his supporters transformed into a personal attack against the reporter Michelle Fields, which, as Voxâ€™s Emily Crockett explains, turned into a â€master class in victim blaming.â€ </t>
  </si>
  <si>
    <t>Michelle Fields</t>
  </si>
  <si>
    <t>Michelle Field</t>
  </si>
  <si>
    <t>Maliki, a Shiite Muslim, is a close ally of Sunni Saudi Arabias main regional foe Iran, and is fighting to stay in power after coming under criticism over the ISIL-led advance.</t>
  </si>
  <si>
    <t>Maliki</t>
  </si>
  <si>
    <t>Shiite Muslim</t>
  </si>
  <si>
    <t>a Shiite Muslim</t>
  </si>
  <si>
    <t>Mesereaus attack on Constand was a striking departure from the more subdued tone that Cosbys previous lawyer took at the first trial, which ended in a hung jury last spring.</t>
  </si>
  <si>
    <t>Mesereaus</t>
  </si>
  <si>
    <t>Mesereau</t>
  </si>
  <si>
    <t>When Ozil and Gundogan -- along with another German player of Turkish origin  posed for a picture with the Turkish leader at a London hotel just weeks before the critical June 24 presidential vote, the footballers were widely slammed by the British press for handing Erdogan a PR coup.</t>
  </si>
  <si>
    <t>Ozil</t>
  </si>
  <si>
    <t>Gundogan</t>
  </si>
  <si>
    <t>The FA hit Martnez with an improper conduct charge last Thursday after he accused Attwell of "lying" following the dismissal of Gary Caldwell during Wigan's 3-0 defeat at Manchester City.</t>
  </si>
  <si>
    <t>Martnez</t>
  </si>
  <si>
    <t>FA</t>
  </si>
  <si>
    <t>Attwell</t>
  </si>
  <si>
    <t xml:space="preserve">What Sasse doesnâ€™t praise is Trumpâ€™s willingness to endorse almost every shortcut he can think of that would allow a president to impose his will without constitutional authority </t>
  </si>
  <si>
    <t>Sasse</t>
  </si>
  <si>
    <t>Meanwhile, Rep. Mark Takano, D-Riverside, took to the House floor to denounce comments by a Virginia mayor who cited the mass internment of Japanese-Americans in making the case for turning refugees away.</t>
  </si>
  <si>
    <t>Mark Takano</t>
  </si>
  <si>
    <t>D-Riverside</t>
  </si>
  <si>
    <t>Japanese-American</t>
  </si>
  <si>
    <t>Qatars announcement of plans to boost LNG output did come against the backdrop of the countrys ongoing feud with some of its Gulf neighbors, including Saudi Arabia and the United Arab Emirates, who have alleged that Qatar supports terrorism and is too close to regional rival Iran.</t>
  </si>
  <si>
    <t>Qatars</t>
  </si>
  <si>
    <t>Qatar</t>
  </si>
  <si>
    <t>Earlier, President Zardari was given an official welcome on his arrival at the Cheong Wa dae  Office of the President.</t>
  </si>
  <si>
    <t>President Zardari</t>
  </si>
  <si>
    <t>Zardari</t>
  </si>
  <si>
    <t>Office of the President</t>
  </si>
  <si>
    <t xml:space="preserve">But critics, including Stephen Henderson, the Detroit Free Press s editorial page editor, says it s groups such as the DeVos foundations that have an agenda. </t>
  </si>
  <si>
    <t>Stephen Henderson</t>
  </si>
  <si>
    <t>DeVos</t>
  </si>
  <si>
    <t>DeVo</t>
  </si>
  <si>
    <t>Republicans as a whole argued that even if there are disruptions or kinks, Obamacare was failing anyway, so change will be necessary.</t>
  </si>
  <si>
    <t>I cannot begin to tell you how pained I feel listening to all of this," he said, referring to Republicans' sharp criticism of IRS behavior."The apology that ought to be given is to the American taxpayer," Rep. Paul Ryan noted at a different hearing.</t>
  </si>
  <si>
    <t>He added that Davis was instead indirectly blocking Bustamante's efforts to raise campaign contributions and that he saw a concerted strategy by the Davis team to discredit the Bustamante campaign and portray it as a non-factor."I know what they're saying and all is fair in love and war, but that doesn't change the reality," Ross said.</t>
  </si>
  <si>
    <t>Davis</t>
  </si>
  <si>
    <t>Davi</t>
  </si>
  <si>
    <t>Bustamante</t>
  </si>
  <si>
    <t>On "Hannity" tonight, Newt Gingrich praised President Donald Trump and House Republican leaders for the "extraordinary achievement" of successfully passing a sweeping health care bill.</t>
  </si>
  <si>
    <t>Mr Nicholls said Gales had been responsible for the remarkable turnaround in the fortunes of the company since becoming chief executive in May 2014.</t>
  </si>
  <si>
    <t>Nicholls</t>
  </si>
  <si>
    <t>Mr Nicholl</t>
  </si>
  <si>
    <t>Gales</t>
  </si>
  <si>
    <t>Gale</t>
  </si>
  <si>
    <t>Lastly, there are major questions as to the sustainability of Chinas economic growth, and many believe its economic data cannot be trusted, Farr says.</t>
  </si>
  <si>
    <t>Chinas</t>
  </si>
  <si>
    <t>Farr</t>
  </si>
  <si>
    <t>Hell have gotten away with embarrassing the president and his national-security team and survived, which will operate almost as a formal announcement that Trump cant fire him for fear of alienating his own base  especially the Mercer family that supports Bannon.</t>
  </si>
  <si>
    <t>Mercer</t>
  </si>
  <si>
    <t>same_1</t>
  </si>
  <si>
    <t>same_2</t>
  </si>
  <si>
    <t>same_all</t>
  </si>
  <si>
    <t>their_in_mine_1</t>
  </si>
  <si>
    <t>their_in_mine_2</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</si>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</sst>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
    <xf numFmtId="0" fontId="0" fillId="0" borderId="0" xfId="0"/>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ECEF30C-DF01-4576-B042-17B9BA922AA1}" name="Table1" displayName="Table1" ref="A1:L1099" totalsRowShown="0">
  <autoFilter ref="A1:L1099" xr:uid="{3ECEF30C-DF01-4576-B042-17B9BA922AA1}"/>
  <tableColumns count="12">
    <tableColumn id="1" xr3:uid="{D0A6A2B9-7B86-4825-9E47-97DA671E823C}" name="sentense_clean"/>
    <tableColumn id="2" xr3:uid="{AF641672-B61C-46BF-9C25-15216D52B8B2}" name="my_ent_1"/>
    <tableColumn id="3" xr3:uid="{793B13BF-CAC5-4E10-9D9B-914F8DBF70CC}" name="their_ent_1"/>
    <tableColumn id="4" xr3:uid="{90CC7B87-C34C-4112-B81A-85DCB06874C5}" name="my_ent_2"/>
    <tableColumn id="5" xr3:uid="{1B85B4AF-CB99-4C59-8968-E297B7D565FB}" name="their_ent_2"/>
    <tableColumn id="6" xr3:uid="{381CB8CE-F380-4904-99B9-65C3D2390A00}" name="label"/>
    <tableColumn id="12" xr3:uid="{682E6269-750E-4F77-839C-E7398367A23C}" name="Column1"/>
    <tableColumn id="7" xr3:uid="{403B4DBD-5A72-4F0D-A61F-F1271A16FC49}" name="same_1" dataDxfId="4">
      <calculatedColumnFormula>IF(Table1[[#This Row],[my_ent_1]]=Table1[[#This Row],[their_ent_1]], 1, 0)</calculatedColumnFormula>
    </tableColumn>
    <tableColumn id="8" xr3:uid="{B9764301-AB66-485C-AAA2-6664DB870A0D}" name="same_2" dataDxfId="3">
      <calculatedColumnFormula>IF(Table1[[#This Row],[my_ent_2]]=Table1[[#This Row],[their_ent_2]], 1, 0)</calculatedColumnFormula>
    </tableColumn>
    <tableColumn id="9" xr3:uid="{27A71F3E-CC70-4B46-9FAE-30DEB6EF5C84}" name="same_all" dataDxfId="2">
      <calculatedColumnFormula>IF(Table1[[#This Row],[same_1]]=1 &amp; Table1[[#This Row],[same_2]]=1, 1, 0)</calculatedColumnFormula>
    </tableColumn>
    <tableColumn id="10" xr3:uid="{C59E184B-9CC0-438D-B8C1-6C49752FBDBB}" name="their_in_mine_1" dataDxfId="1">
      <calculatedColumnFormula>IF(ISNUMBER(SEARCH(Table1[[#This Row],[their_ent_1]],Table1[[#This Row],[my_ent_1]])), 1, 0)</calculatedColumnFormula>
    </tableColumn>
    <tableColumn id="11" xr3:uid="{32525CBF-8C09-4F71-9C0F-E5BE9C887F74}" name="their_in_mine_2" dataDxfId="0">
      <calculatedColumnFormula>IF(ISNUMBER(SEARCH(Table1[[#This Row],[their_ent_2]],Table1[[#This Row],[my_ent_2]])), 1, 0)</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9B0DE-F696-443E-A54C-6D68FB83AE78}">
  <dimension ref="A1:L1099"/>
  <sheetViews>
    <sheetView tabSelected="1" topLeftCell="B1" workbookViewId="0">
      <pane ySplit="1" topLeftCell="A2" activePane="bottomLeft" state="frozen"/>
      <selection activeCell="B1" sqref="B1"/>
      <selection pane="bottomLeft" activeCell="F986" sqref="F986"/>
    </sheetView>
  </sheetViews>
  <sheetFormatPr defaultRowHeight="14.4" x14ac:dyDescent="0.3"/>
  <cols>
    <col min="1" max="1" width="255.77734375" bestFit="1" customWidth="1"/>
    <col min="2" max="2" width="50.44140625" bestFit="1" customWidth="1"/>
    <col min="3" max="3" width="70.109375" bestFit="1" customWidth="1"/>
    <col min="4" max="4" width="43.21875" bestFit="1" customWidth="1"/>
    <col min="5" max="5" width="42.21875" bestFit="1" customWidth="1"/>
    <col min="6" max="7" width="7.21875" customWidth="1"/>
    <col min="8" max="9" width="9.6640625" bestFit="1" customWidth="1"/>
    <col min="10" max="10" width="10.77734375" bestFit="1" customWidth="1"/>
    <col min="11" max="12" width="17.109375" bestFit="1" customWidth="1"/>
  </cols>
  <sheetData>
    <row r="1" spans="1:12" x14ac:dyDescent="0.3">
      <c r="A1" t="s">
        <v>0</v>
      </c>
      <c r="B1" t="s">
        <v>1</v>
      </c>
      <c r="C1" t="s">
        <v>2</v>
      </c>
      <c r="D1" t="s">
        <v>3</v>
      </c>
      <c r="E1" t="s">
        <v>4</v>
      </c>
      <c r="F1" t="s">
        <v>5</v>
      </c>
      <c r="G1" t="s">
        <v>3331</v>
      </c>
      <c r="H1" t="s">
        <v>3326</v>
      </c>
      <c r="I1" t="s">
        <v>3327</v>
      </c>
      <c r="J1" t="s">
        <v>3328</v>
      </c>
      <c r="K1" t="s">
        <v>3329</v>
      </c>
      <c r="L1" t="s">
        <v>3330</v>
      </c>
    </row>
    <row r="2" spans="1:12" x14ac:dyDescent="0.3">
      <c r="A2" t="s">
        <v>6</v>
      </c>
      <c r="B2" t="s">
        <v>7</v>
      </c>
      <c r="C2" t="s">
        <v>8</v>
      </c>
      <c r="D2" t="s">
        <v>9</v>
      </c>
      <c r="E2" t="s">
        <v>9</v>
      </c>
      <c r="F2">
        <v>0</v>
      </c>
      <c r="G2">
        <v>0</v>
      </c>
      <c r="H2">
        <f>IF(Table1[[#This Row],[my_ent_1]]=Table1[[#This Row],[their_ent_1]], 1, 0)</f>
        <v>0</v>
      </c>
      <c r="I2">
        <f>IF(Table1[[#This Row],[my_ent_2]]=Table1[[#This Row],[their_ent_2]], 1, 0)</f>
        <v>1</v>
      </c>
      <c r="J2">
        <f>IF(Table1[[#This Row],[same_1]]=1 &amp; Table1[[#This Row],[same_2]]=1, 1, 0)</f>
        <v>0</v>
      </c>
      <c r="K2">
        <f>IF(ISNUMBER(SEARCH(Table1[[#This Row],[their_ent_1]],Table1[[#This Row],[my_ent_1]])), 1, 0)</f>
        <v>0</v>
      </c>
      <c r="L2">
        <f>IF(ISNUMBER(SEARCH(Table1[[#This Row],[their_ent_2]],Table1[[#This Row],[my_ent_2]])), 1, 0)</f>
        <v>1</v>
      </c>
    </row>
    <row r="3" spans="1:12" x14ac:dyDescent="0.3">
      <c r="A3" t="s">
        <v>10</v>
      </c>
      <c r="B3" t="s">
        <v>11</v>
      </c>
      <c r="C3" t="s">
        <v>12</v>
      </c>
      <c r="D3" t="s">
        <v>13</v>
      </c>
      <c r="E3" t="s">
        <v>13</v>
      </c>
      <c r="F3">
        <v>0</v>
      </c>
      <c r="G3">
        <v>1</v>
      </c>
      <c r="H3">
        <f>IF(Table1[[#This Row],[my_ent_1]]=Table1[[#This Row],[their_ent_1]], 1, 0)</f>
        <v>0</v>
      </c>
      <c r="I3">
        <f>IF(Table1[[#This Row],[my_ent_2]]=Table1[[#This Row],[their_ent_2]], 1, 0)</f>
        <v>1</v>
      </c>
      <c r="J3">
        <f>IF(Table1[[#This Row],[same_1]]=1 &amp; Table1[[#This Row],[same_2]]=1, 1, 0)</f>
        <v>0</v>
      </c>
      <c r="K3">
        <f>IF(ISNUMBER(SEARCH(Table1[[#This Row],[their_ent_1]],Table1[[#This Row],[my_ent_1]])), 1, 0)</f>
        <v>1</v>
      </c>
      <c r="L3">
        <f>IF(ISNUMBER(SEARCH(Table1[[#This Row],[their_ent_2]],Table1[[#This Row],[my_ent_2]])), 1, 0)</f>
        <v>1</v>
      </c>
    </row>
    <row r="4" spans="1:12" x14ac:dyDescent="0.3">
      <c r="A4" t="s">
        <v>14</v>
      </c>
      <c r="B4" t="s">
        <v>15</v>
      </c>
      <c r="C4" t="s">
        <v>16</v>
      </c>
      <c r="D4" t="s">
        <v>17</v>
      </c>
      <c r="E4" t="s">
        <v>18</v>
      </c>
      <c r="F4">
        <v>0</v>
      </c>
      <c r="G4">
        <v>2</v>
      </c>
      <c r="H4">
        <f>IF(Table1[[#This Row],[my_ent_1]]=Table1[[#This Row],[their_ent_1]], 1, 0)</f>
        <v>0</v>
      </c>
      <c r="I4">
        <f>IF(Table1[[#This Row],[my_ent_2]]=Table1[[#This Row],[their_ent_2]], 1, 0)</f>
        <v>0</v>
      </c>
      <c r="J4">
        <f>IF(Table1[[#This Row],[same_1]]=1 &amp; Table1[[#This Row],[same_2]]=1, 1, 0)</f>
        <v>0</v>
      </c>
      <c r="K4">
        <f>IF(ISNUMBER(SEARCH(Table1[[#This Row],[their_ent_1]],Table1[[#This Row],[my_ent_1]])), 1, 0)</f>
        <v>1</v>
      </c>
      <c r="L4">
        <f>IF(ISNUMBER(SEARCH(Table1[[#This Row],[their_ent_2]],Table1[[#This Row],[my_ent_2]])), 1, 0)</f>
        <v>1</v>
      </c>
    </row>
    <row r="5" spans="1:12" x14ac:dyDescent="0.3">
      <c r="A5" t="s">
        <v>19</v>
      </c>
      <c r="B5" t="s">
        <v>20</v>
      </c>
      <c r="C5" t="s">
        <v>21</v>
      </c>
      <c r="D5" t="s">
        <v>21</v>
      </c>
      <c r="E5" t="s">
        <v>22</v>
      </c>
      <c r="F5">
        <v>0</v>
      </c>
      <c r="G5">
        <v>3</v>
      </c>
      <c r="H5">
        <f>IF(Table1[[#This Row],[my_ent_1]]=Table1[[#This Row],[their_ent_1]], 1, 0)</f>
        <v>0</v>
      </c>
      <c r="I5">
        <f>IF(Table1[[#This Row],[my_ent_2]]=Table1[[#This Row],[their_ent_2]], 1, 0)</f>
        <v>0</v>
      </c>
      <c r="J5">
        <f>IF(Table1[[#This Row],[same_1]]=1 &amp; Table1[[#This Row],[same_2]]=1, 1, 0)</f>
        <v>0</v>
      </c>
      <c r="K5">
        <f>IF(ISNUMBER(SEARCH(Table1[[#This Row],[their_ent_1]],Table1[[#This Row],[my_ent_1]])), 1, 0)</f>
        <v>0</v>
      </c>
      <c r="L5">
        <f>IF(ISNUMBER(SEARCH(Table1[[#This Row],[their_ent_2]],Table1[[#This Row],[my_ent_2]])), 1, 0)</f>
        <v>0</v>
      </c>
    </row>
    <row r="6" spans="1:12" x14ac:dyDescent="0.3">
      <c r="A6" t="s">
        <v>23</v>
      </c>
      <c r="B6" t="s">
        <v>24</v>
      </c>
      <c r="C6" t="s">
        <v>24</v>
      </c>
      <c r="D6" t="s">
        <v>25</v>
      </c>
      <c r="E6" t="s">
        <v>26</v>
      </c>
      <c r="F6">
        <v>0</v>
      </c>
      <c r="G6">
        <v>4</v>
      </c>
      <c r="H6">
        <f>IF(Table1[[#This Row],[my_ent_1]]=Table1[[#This Row],[their_ent_1]], 1, 0)</f>
        <v>1</v>
      </c>
      <c r="I6">
        <f>IF(Table1[[#This Row],[my_ent_2]]=Table1[[#This Row],[their_ent_2]], 1, 0)</f>
        <v>0</v>
      </c>
      <c r="J6">
        <f>IF(Table1[[#This Row],[same_1]]=1 &amp; Table1[[#This Row],[same_2]]=1, 1, 0)</f>
        <v>0</v>
      </c>
      <c r="K6">
        <f>IF(ISNUMBER(SEARCH(Table1[[#This Row],[their_ent_1]],Table1[[#This Row],[my_ent_1]])), 1, 0)</f>
        <v>1</v>
      </c>
      <c r="L6">
        <f>IF(ISNUMBER(SEARCH(Table1[[#This Row],[their_ent_2]],Table1[[#This Row],[my_ent_2]])), 1, 0)</f>
        <v>1</v>
      </c>
    </row>
    <row r="7" spans="1:12" x14ac:dyDescent="0.3">
      <c r="A7" t="s">
        <v>27</v>
      </c>
      <c r="B7" t="s">
        <v>28</v>
      </c>
      <c r="C7" t="s">
        <v>29</v>
      </c>
      <c r="D7" t="s">
        <v>30</v>
      </c>
      <c r="E7" t="s">
        <v>31</v>
      </c>
      <c r="F7">
        <v>0</v>
      </c>
      <c r="G7">
        <v>5</v>
      </c>
      <c r="H7">
        <f>IF(Table1[[#This Row],[my_ent_1]]=Table1[[#This Row],[their_ent_1]], 1, 0)</f>
        <v>0</v>
      </c>
      <c r="I7">
        <f>IF(Table1[[#This Row],[my_ent_2]]=Table1[[#This Row],[their_ent_2]], 1, 0)</f>
        <v>0</v>
      </c>
      <c r="J7">
        <f>IF(Table1[[#This Row],[same_1]]=1 &amp; Table1[[#This Row],[same_2]]=1, 1, 0)</f>
        <v>0</v>
      </c>
      <c r="K7">
        <f>IF(ISNUMBER(SEARCH(Table1[[#This Row],[their_ent_1]],Table1[[#This Row],[my_ent_1]])), 1, 0)</f>
        <v>0</v>
      </c>
      <c r="L7">
        <f>IF(ISNUMBER(SEARCH(Table1[[#This Row],[their_ent_2]],Table1[[#This Row],[my_ent_2]])), 1, 0)</f>
        <v>0</v>
      </c>
    </row>
    <row r="8" spans="1:12" x14ac:dyDescent="0.3">
      <c r="A8" t="s">
        <v>32</v>
      </c>
      <c r="B8" t="s">
        <v>33</v>
      </c>
      <c r="C8" t="s">
        <v>34</v>
      </c>
      <c r="D8" t="s">
        <v>35</v>
      </c>
      <c r="E8" t="s">
        <v>36</v>
      </c>
      <c r="F8">
        <v>0</v>
      </c>
      <c r="G8">
        <v>6</v>
      </c>
      <c r="H8">
        <f>IF(Table1[[#This Row],[my_ent_1]]=Table1[[#This Row],[their_ent_1]], 1, 0)</f>
        <v>0</v>
      </c>
      <c r="I8">
        <f>IF(Table1[[#This Row],[my_ent_2]]=Table1[[#This Row],[their_ent_2]], 1, 0)</f>
        <v>0</v>
      </c>
      <c r="J8">
        <f>IF(Table1[[#This Row],[same_1]]=1 &amp; Table1[[#This Row],[same_2]]=1, 1, 0)</f>
        <v>0</v>
      </c>
      <c r="K8">
        <f>IF(ISNUMBER(SEARCH(Table1[[#This Row],[their_ent_1]],Table1[[#This Row],[my_ent_1]])), 1, 0)</f>
        <v>0</v>
      </c>
      <c r="L8">
        <f>IF(ISNUMBER(SEARCH(Table1[[#This Row],[their_ent_2]],Table1[[#This Row],[my_ent_2]])), 1, 0)</f>
        <v>0</v>
      </c>
    </row>
    <row r="9" spans="1:12" x14ac:dyDescent="0.3">
      <c r="A9" t="s">
        <v>37</v>
      </c>
      <c r="B9" t="s">
        <v>38</v>
      </c>
      <c r="C9" t="s">
        <v>39</v>
      </c>
      <c r="D9" t="s">
        <v>40</v>
      </c>
      <c r="E9" t="s">
        <v>40</v>
      </c>
      <c r="F9">
        <v>0</v>
      </c>
      <c r="G9">
        <v>7</v>
      </c>
      <c r="H9">
        <f>IF(Table1[[#This Row],[my_ent_1]]=Table1[[#This Row],[their_ent_1]], 1, 0)</f>
        <v>0</v>
      </c>
      <c r="I9">
        <f>IF(Table1[[#This Row],[my_ent_2]]=Table1[[#This Row],[their_ent_2]], 1, 0)</f>
        <v>1</v>
      </c>
      <c r="J9">
        <f>IF(Table1[[#This Row],[same_1]]=1 &amp; Table1[[#This Row],[same_2]]=1, 1, 0)</f>
        <v>0</v>
      </c>
      <c r="K9">
        <f>IF(ISNUMBER(SEARCH(Table1[[#This Row],[their_ent_1]],Table1[[#This Row],[my_ent_1]])), 1, 0)</f>
        <v>1</v>
      </c>
      <c r="L9">
        <f>IF(ISNUMBER(SEARCH(Table1[[#This Row],[their_ent_2]],Table1[[#This Row],[my_ent_2]])), 1, 0)</f>
        <v>1</v>
      </c>
    </row>
    <row r="10" spans="1:12" x14ac:dyDescent="0.3">
      <c r="A10" t="s">
        <v>41</v>
      </c>
      <c r="B10" t="s">
        <v>42</v>
      </c>
      <c r="C10" t="s">
        <v>43</v>
      </c>
      <c r="D10" t="s">
        <v>44</v>
      </c>
      <c r="E10" t="s">
        <v>44</v>
      </c>
      <c r="F10">
        <v>0</v>
      </c>
      <c r="G10">
        <v>8</v>
      </c>
      <c r="H10">
        <f>IF(Table1[[#This Row],[my_ent_1]]=Table1[[#This Row],[their_ent_1]], 1, 0)</f>
        <v>0</v>
      </c>
      <c r="I10">
        <f>IF(Table1[[#This Row],[my_ent_2]]=Table1[[#This Row],[their_ent_2]], 1, 0)</f>
        <v>1</v>
      </c>
      <c r="J10">
        <f>IF(Table1[[#This Row],[same_1]]=1 &amp; Table1[[#This Row],[same_2]]=1, 1, 0)</f>
        <v>0</v>
      </c>
      <c r="K10">
        <f>IF(ISNUMBER(SEARCH(Table1[[#This Row],[their_ent_1]],Table1[[#This Row],[my_ent_1]])), 1, 0)</f>
        <v>0</v>
      </c>
      <c r="L10">
        <f>IF(ISNUMBER(SEARCH(Table1[[#This Row],[their_ent_2]],Table1[[#This Row],[my_ent_2]])), 1, 0)</f>
        <v>1</v>
      </c>
    </row>
    <row r="11" spans="1:12" x14ac:dyDescent="0.3">
      <c r="A11" t="s">
        <v>45</v>
      </c>
      <c r="B11" t="s">
        <v>46</v>
      </c>
      <c r="C11" t="s">
        <v>46</v>
      </c>
      <c r="D11" t="s">
        <v>47</v>
      </c>
      <c r="E11" t="s">
        <v>48</v>
      </c>
      <c r="F11">
        <v>0</v>
      </c>
      <c r="G11">
        <v>9</v>
      </c>
      <c r="H11">
        <f>IF(Table1[[#This Row],[my_ent_1]]=Table1[[#This Row],[their_ent_1]], 1, 0)</f>
        <v>1</v>
      </c>
      <c r="I11">
        <f>IF(Table1[[#This Row],[my_ent_2]]=Table1[[#This Row],[their_ent_2]], 1, 0)</f>
        <v>0</v>
      </c>
      <c r="J11">
        <f>IF(Table1[[#This Row],[same_1]]=1 &amp; Table1[[#This Row],[same_2]]=1, 1, 0)</f>
        <v>0</v>
      </c>
      <c r="K11">
        <f>IF(ISNUMBER(SEARCH(Table1[[#This Row],[their_ent_1]],Table1[[#This Row],[my_ent_1]])), 1, 0)</f>
        <v>1</v>
      </c>
      <c r="L11">
        <f>IF(ISNUMBER(SEARCH(Table1[[#This Row],[their_ent_2]],Table1[[#This Row],[my_ent_2]])), 1, 0)</f>
        <v>0</v>
      </c>
    </row>
    <row r="12" spans="1:12" x14ac:dyDescent="0.3">
      <c r="A12" t="s">
        <v>49</v>
      </c>
      <c r="B12" t="s">
        <v>50</v>
      </c>
      <c r="C12" t="s">
        <v>50</v>
      </c>
      <c r="D12" t="s">
        <v>51</v>
      </c>
      <c r="E12" t="s">
        <v>52</v>
      </c>
      <c r="F12">
        <v>0</v>
      </c>
      <c r="G12">
        <v>10</v>
      </c>
      <c r="H12">
        <f>IF(Table1[[#This Row],[my_ent_1]]=Table1[[#This Row],[their_ent_1]], 1, 0)</f>
        <v>1</v>
      </c>
      <c r="I12">
        <f>IF(Table1[[#This Row],[my_ent_2]]=Table1[[#This Row],[their_ent_2]], 1, 0)</f>
        <v>0</v>
      </c>
      <c r="J12">
        <f>IF(Table1[[#This Row],[same_1]]=1 &amp; Table1[[#This Row],[same_2]]=1, 1, 0)</f>
        <v>0</v>
      </c>
      <c r="K12">
        <f>IF(ISNUMBER(SEARCH(Table1[[#This Row],[their_ent_1]],Table1[[#This Row],[my_ent_1]])), 1, 0)</f>
        <v>1</v>
      </c>
      <c r="L12">
        <f>IF(ISNUMBER(SEARCH(Table1[[#This Row],[their_ent_2]],Table1[[#This Row],[my_ent_2]])), 1, 0)</f>
        <v>0</v>
      </c>
    </row>
    <row r="13" spans="1:12" x14ac:dyDescent="0.3">
      <c r="A13" t="s">
        <v>53</v>
      </c>
      <c r="B13" t="s">
        <v>54</v>
      </c>
      <c r="C13" t="s">
        <v>54</v>
      </c>
      <c r="D13" t="s">
        <v>44</v>
      </c>
      <c r="E13" t="s">
        <v>55</v>
      </c>
      <c r="F13">
        <v>0</v>
      </c>
      <c r="G13">
        <v>11</v>
      </c>
      <c r="H13">
        <f>IF(Table1[[#This Row],[my_ent_1]]=Table1[[#This Row],[their_ent_1]], 1, 0)</f>
        <v>1</v>
      </c>
      <c r="I13">
        <f>IF(Table1[[#This Row],[my_ent_2]]=Table1[[#This Row],[their_ent_2]], 1, 0)</f>
        <v>0</v>
      </c>
      <c r="J13">
        <f>IF(Table1[[#This Row],[same_1]]=1 &amp; Table1[[#This Row],[same_2]]=1, 1, 0)</f>
        <v>0</v>
      </c>
      <c r="K13">
        <f>IF(ISNUMBER(SEARCH(Table1[[#This Row],[their_ent_1]],Table1[[#This Row],[my_ent_1]])), 1, 0)</f>
        <v>1</v>
      </c>
      <c r="L13">
        <f>IF(ISNUMBER(SEARCH(Table1[[#This Row],[their_ent_2]],Table1[[#This Row],[my_ent_2]])), 1, 0)</f>
        <v>0</v>
      </c>
    </row>
    <row r="14" spans="1:12" x14ac:dyDescent="0.3">
      <c r="A14" t="s">
        <v>56</v>
      </c>
      <c r="B14" t="s">
        <v>57</v>
      </c>
      <c r="C14" t="s">
        <v>58</v>
      </c>
      <c r="D14" t="s">
        <v>59</v>
      </c>
      <c r="E14" t="s">
        <v>60</v>
      </c>
      <c r="F14">
        <v>0</v>
      </c>
      <c r="G14">
        <v>12</v>
      </c>
      <c r="H14">
        <f>IF(Table1[[#This Row],[my_ent_1]]=Table1[[#This Row],[their_ent_1]], 1, 0)</f>
        <v>0</v>
      </c>
      <c r="I14">
        <f>IF(Table1[[#This Row],[my_ent_2]]=Table1[[#This Row],[their_ent_2]], 1, 0)</f>
        <v>0</v>
      </c>
      <c r="J14">
        <f>IF(Table1[[#This Row],[same_1]]=1 &amp; Table1[[#This Row],[same_2]]=1, 1, 0)</f>
        <v>0</v>
      </c>
      <c r="K14">
        <f>IF(ISNUMBER(SEARCH(Table1[[#This Row],[their_ent_1]],Table1[[#This Row],[my_ent_1]])), 1, 0)</f>
        <v>1</v>
      </c>
      <c r="L14">
        <f>IF(ISNUMBER(SEARCH(Table1[[#This Row],[their_ent_2]],Table1[[#This Row],[my_ent_2]])), 1, 0)</f>
        <v>0</v>
      </c>
    </row>
    <row r="15" spans="1:12" x14ac:dyDescent="0.3">
      <c r="A15" t="s">
        <v>61</v>
      </c>
      <c r="B15" t="s">
        <v>62</v>
      </c>
      <c r="C15" t="s">
        <v>63</v>
      </c>
      <c r="D15" t="s">
        <v>64</v>
      </c>
      <c r="E15" t="s">
        <v>65</v>
      </c>
      <c r="F15">
        <v>0</v>
      </c>
      <c r="G15">
        <v>13</v>
      </c>
      <c r="H15">
        <f>IF(Table1[[#This Row],[my_ent_1]]=Table1[[#This Row],[their_ent_1]], 1, 0)</f>
        <v>0</v>
      </c>
      <c r="I15">
        <f>IF(Table1[[#This Row],[my_ent_2]]=Table1[[#This Row],[their_ent_2]], 1, 0)</f>
        <v>0</v>
      </c>
      <c r="J15">
        <f>IF(Table1[[#This Row],[same_1]]=1 &amp; Table1[[#This Row],[same_2]]=1, 1, 0)</f>
        <v>0</v>
      </c>
      <c r="K15">
        <f>IF(ISNUMBER(SEARCH(Table1[[#This Row],[their_ent_1]],Table1[[#This Row],[my_ent_1]])), 1, 0)</f>
        <v>0</v>
      </c>
      <c r="L15">
        <f>IF(ISNUMBER(SEARCH(Table1[[#This Row],[their_ent_2]],Table1[[#This Row],[my_ent_2]])), 1, 0)</f>
        <v>0</v>
      </c>
    </row>
    <row r="16" spans="1:12" x14ac:dyDescent="0.3">
      <c r="A16" t="s">
        <v>66</v>
      </c>
      <c r="B16" t="s">
        <v>67</v>
      </c>
      <c r="C16" t="s">
        <v>68</v>
      </c>
      <c r="D16" t="s">
        <v>69</v>
      </c>
      <c r="E16" t="s">
        <v>69</v>
      </c>
      <c r="F16">
        <v>0</v>
      </c>
      <c r="G16">
        <v>14</v>
      </c>
      <c r="H16">
        <f>IF(Table1[[#This Row],[my_ent_1]]=Table1[[#This Row],[their_ent_1]], 1, 0)</f>
        <v>0</v>
      </c>
      <c r="I16">
        <f>IF(Table1[[#This Row],[my_ent_2]]=Table1[[#This Row],[their_ent_2]], 1, 0)</f>
        <v>1</v>
      </c>
      <c r="J16">
        <f>IF(Table1[[#This Row],[same_1]]=1 &amp; Table1[[#This Row],[same_2]]=1, 1, 0)</f>
        <v>0</v>
      </c>
      <c r="K16">
        <f>IF(ISNUMBER(SEARCH(Table1[[#This Row],[their_ent_1]],Table1[[#This Row],[my_ent_1]])), 1, 0)</f>
        <v>0</v>
      </c>
      <c r="L16">
        <f>IF(ISNUMBER(SEARCH(Table1[[#This Row],[their_ent_2]],Table1[[#This Row],[my_ent_2]])), 1, 0)</f>
        <v>1</v>
      </c>
    </row>
    <row r="17" spans="1:12" x14ac:dyDescent="0.3">
      <c r="A17" t="s">
        <v>70</v>
      </c>
      <c r="B17" t="s">
        <v>71</v>
      </c>
      <c r="C17" t="s">
        <v>71</v>
      </c>
      <c r="D17" t="s">
        <v>59</v>
      </c>
      <c r="E17" t="s">
        <v>72</v>
      </c>
      <c r="F17">
        <v>0</v>
      </c>
      <c r="G17">
        <v>15</v>
      </c>
      <c r="H17">
        <f>IF(Table1[[#This Row],[my_ent_1]]=Table1[[#This Row],[their_ent_1]], 1, 0)</f>
        <v>1</v>
      </c>
      <c r="I17">
        <f>IF(Table1[[#This Row],[my_ent_2]]=Table1[[#This Row],[their_ent_2]], 1, 0)</f>
        <v>0</v>
      </c>
      <c r="J17">
        <f>IF(Table1[[#This Row],[same_1]]=1 &amp; Table1[[#This Row],[same_2]]=1, 1, 0)</f>
        <v>0</v>
      </c>
      <c r="K17">
        <f>IF(ISNUMBER(SEARCH(Table1[[#This Row],[their_ent_1]],Table1[[#This Row],[my_ent_1]])), 1, 0)</f>
        <v>1</v>
      </c>
      <c r="L17">
        <f>IF(ISNUMBER(SEARCH(Table1[[#This Row],[their_ent_2]],Table1[[#This Row],[my_ent_2]])), 1, 0)</f>
        <v>0</v>
      </c>
    </row>
    <row r="18" spans="1:12" x14ac:dyDescent="0.3">
      <c r="A18" t="s">
        <v>73</v>
      </c>
      <c r="B18" t="s">
        <v>74</v>
      </c>
      <c r="C18" t="s">
        <v>74</v>
      </c>
      <c r="D18" t="s">
        <v>75</v>
      </c>
      <c r="E18" t="s">
        <v>76</v>
      </c>
      <c r="F18">
        <v>0</v>
      </c>
      <c r="G18">
        <v>16</v>
      </c>
      <c r="H18">
        <f>IF(Table1[[#This Row],[my_ent_1]]=Table1[[#This Row],[their_ent_1]], 1, 0)</f>
        <v>1</v>
      </c>
      <c r="I18">
        <f>IF(Table1[[#This Row],[my_ent_2]]=Table1[[#This Row],[their_ent_2]], 1, 0)</f>
        <v>0</v>
      </c>
      <c r="J18">
        <f>IF(Table1[[#This Row],[same_1]]=1 &amp; Table1[[#This Row],[same_2]]=1, 1, 0)</f>
        <v>0</v>
      </c>
      <c r="K18">
        <f>IF(ISNUMBER(SEARCH(Table1[[#This Row],[their_ent_1]],Table1[[#This Row],[my_ent_1]])), 1, 0)</f>
        <v>1</v>
      </c>
      <c r="L18">
        <f>IF(ISNUMBER(SEARCH(Table1[[#This Row],[their_ent_2]],Table1[[#This Row],[my_ent_2]])), 1, 0)</f>
        <v>1</v>
      </c>
    </row>
    <row r="19" spans="1:12" x14ac:dyDescent="0.3">
      <c r="A19" t="s">
        <v>77</v>
      </c>
      <c r="B19" t="s">
        <v>78</v>
      </c>
      <c r="C19" t="s">
        <v>79</v>
      </c>
      <c r="D19" t="s">
        <v>80</v>
      </c>
      <c r="E19" t="s">
        <v>81</v>
      </c>
      <c r="F19">
        <v>0</v>
      </c>
      <c r="G19">
        <v>17</v>
      </c>
      <c r="H19">
        <f>IF(Table1[[#This Row],[my_ent_1]]=Table1[[#This Row],[their_ent_1]], 1, 0)</f>
        <v>0</v>
      </c>
      <c r="I19">
        <f>IF(Table1[[#This Row],[my_ent_2]]=Table1[[#This Row],[their_ent_2]], 1, 0)</f>
        <v>0</v>
      </c>
      <c r="J19">
        <f>IF(Table1[[#This Row],[same_1]]=1 &amp; Table1[[#This Row],[same_2]]=1, 1, 0)</f>
        <v>0</v>
      </c>
      <c r="K19">
        <f>IF(ISNUMBER(SEARCH(Table1[[#This Row],[their_ent_1]],Table1[[#This Row],[my_ent_1]])), 1, 0)</f>
        <v>0</v>
      </c>
      <c r="L19">
        <f>IF(ISNUMBER(SEARCH(Table1[[#This Row],[their_ent_2]],Table1[[#This Row],[my_ent_2]])), 1, 0)</f>
        <v>0</v>
      </c>
    </row>
    <row r="20" spans="1:12" x14ac:dyDescent="0.3">
      <c r="A20" t="s">
        <v>82</v>
      </c>
      <c r="B20" t="s">
        <v>83</v>
      </c>
      <c r="C20" t="s">
        <v>84</v>
      </c>
      <c r="D20" t="s">
        <v>78</v>
      </c>
      <c r="E20" t="s">
        <v>85</v>
      </c>
      <c r="F20">
        <v>0</v>
      </c>
      <c r="G20">
        <v>18</v>
      </c>
      <c r="H20">
        <f>IF(Table1[[#This Row],[my_ent_1]]=Table1[[#This Row],[their_ent_1]], 1, 0)</f>
        <v>0</v>
      </c>
      <c r="I20">
        <f>IF(Table1[[#This Row],[my_ent_2]]=Table1[[#This Row],[their_ent_2]], 1, 0)</f>
        <v>0</v>
      </c>
      <c r="J20">
        <f>IF(Table1[[#This Row],[same_1]]=1 &amp; Table1[[#This Row],[same_2]]=1, 1, 0)</f>
        <v>0</v>
      </c>
      <c r="K20">
        <f>IF(ISNUMBER(SEARCH(Table1[[#This Row],[their_ent_1]],Table1[[#This Row],[my_ent_1]])), 1, 0)</f>
        <v>0</v>
      </c>
      <c r="L20">
        <f>IF(ISNUMBER(SEARCH(Table1[[#This Row],[their_ent_2]],Table1[[#This Row],[my_ent_2]])), 1, 0)</f>
        <v>0</v>
      </c>
    </row>
    <row r="21" spans="1:12" x14ac:dyDescent="0.3">
      <c r="A21" t="s">
        <v>86</v>
      </c>
      <c r="B21" t="s">
        <v>20</v>
      </c>
      <c r="C21" t="s">
        <v>20</v>
      </c>
      <c r="D21" t="s">
        <v>87</v>
      </c>
      <c r="E21" t="s">
        <v>88</v>
      </c>
      <c r="F21">
        <v>0</v>
      </c>
      <c r="G21">
        <v>19</v>
      </c>
      <c r="H21">
        <f>IF(Table1[[#This Row],[my_ent_1]]=Table1[[#This Row],[their_ent_1]], 1, 0)</f>
        <v>1</v>
      </c>
      <c r="I21">
        <f>IF(Table1[[#This Row],[my_ent_2]]=Table1[[#This Row],[their_ent_2]], 1, 0)</f>
        <v>0</v>
      </c>
      <c r="J21">
        <f>IF(Table1[[#This Row],[same_1]]=1 &amp; Table1[[#This Row],[same_2]]=1, 1, 0)</f>
        <v>0</v>
      </c>
      <c r="K21">
        <f>IF(ISNUMBER(SEARCH(Table1[[#This Row],[their_ent_1]],Table1[[#This Row],[my_ent_1]])), 1, 0)</f>
        <v>1</v>
      </c>
      <c r="L21">
        <f>IF(ISNUMBER(SEARCH(Table1[[#This Row],[their_ent_2]],Table1[[#This Row],[my_ent_2]])), 1, 0)</f>
        <v>0</v>
      </c>
    </row>
    <row r="22" spans="1:12" x14ac:dyDescent="0.3">
      <c r="A22" t="s">
        <v>89</v>
      </c>
      <c r="B22" t="s">
        <v>90</v>
      </c>
      <c r="C22" t="s">
        <v>91</v>
      </c>
      <c r="D22" t="s">
        <v>59</v>
      </c>
      <c r="E22" t="s">
        <v>90</v>
      </c>
      <c r="F22">
        <v>0</v>
      </c>
      <c r="G22">
        <v>20</v>
      </c>
      <c r="H22">
        <f>IF(Table1[[#This Row],[my_ent_1]]=Table1[[#This Row],[their_ent_1]], 1, 0)</f>
        <v>0</v>
      </c>
      <c r="I22">
        <f>IF(Table1[[#This Row],[my_ent_2]]=Table1[[#This Row],[their_ent_2]], 1, 0)</f>
        <v>0</v>
      </c>
      <c r="J22">
        <f>IF(Table1[[#This Row],[same_1]]=1 &amp; Table1[[#This Row],[same_2]]=1, 1, 0)</f>
        <v>0</v>
      </c>
      <c r="K22">
        <f>IF(ISNUMBER(SEARCH(Table1[[#This Row],[their_ent_1]],Table1[[#This Row],[my_ent_1]])), 1, 0)</f>
        <v>0</v>
      </c>
      <c r="L22">
        <f>IF(ISNUMBER(SEARCH(Table1[[#This Row],[their_ent_2]],Table1[[#This Row],[my_ent_2]])), 1, 0)</f>
        <v>0</v>
      </c>
    </row>
    <row r="23" spans="1:12" x14ac:dyDescent="0.3">
      <c r="A23" t="s">
        <v>92</v>
      </c>
      <c r="B23" t="s">
        <v>93</v>
      </c>
      <c r="C23" t="s">
        <v>93</v>
      </c>
      <c r="D23" t="s">
        <v>94</v>
      </c>
      <c r="E23" t="s">
        <v>95</v>
      </c>
      <c r="F23">
        <v>0</v>
      </c>
      <c r="G23">
        <v>21</v>
      </c>
      <c r="H23">
        <f>IF(Table1[[#This Row],[my_ent_1]]=Table1[[#This Row],[their_ent_1]], 1, 0)</f>
        <v>1</v>
      </c>
      <c r="I23">
        <f>IF(Table1[[#This Row],[my_ent_2]]=Table1[[#This Row],[their_ent_2]], 1, 0)</f>
        <v>0</v>
      </c>
      <c r="J23">
        <f>IF(Table1[[#This Row],[same_1]]=1 &amp; Table1[[#This Row],[same_2]]=1, 1, 0)</f>
        <v>0</v>
      </c>
      <c r="K23">
        <f>IF(ISNUMBER(SEARCH(Table1[[#This Row],[their_ent_1]],Table1[[#This Row],[my_ent_1]])), 1, 0)</f>
        <v>1</v>
      </c>
      <c r="L23">
        <f>IF(ISNUMBER(SEARCH(Table1[[#This Row],[their_ent_2]],Table1[[#This Row],[my_ent_2]])), 1, 0)</f>
        <v>0</v>
      </c>
    </row>
    <row r="24" spans="1:12" x14ac:dyDescent="0.3">
      <c r="A24" t="s">
        <v>96</v>
      </c>
      <c r="B24" t="s">
        <v>97</v>
      </c>
      <c r="C24" t="s">
        <v>98</v>
      </c>
      <c r="D24" t="s">
        <v>99</v>
      </c>
      <c r="E24" t="s">
        <v>100</v>
      </c>
      <c r="F24">
        <v>0</v>
      </c>
      <c r="G24">
        <v>22</v>
      </c>
      <c r="H24">
        <f>IF(Table1[[#This Row],[my_ent_1]]=Table1[[#This Row],[their_ent_1]], 1, 0)</f>
        <v>0</v>
      </c>
      <c r="I24">
        <f>IF(Table1[[#This Row],[my_ent_2]]=Table1[[#This Row],[their_ent_2]], 1, 0)</f>
        <v>0</v>
      </c>
      <c r="J24">
        <f>IF(Table1[[#This Row],[same_1]]=1 &amp; Table1[[#This Row],[same_2]]=1, 1, 0)</f>
        <v>0</v>
      </c>
      <c r="K24">
        <f>IF(ISNUMBER(SEARCH(Table1[[#This Row],[their_ent_1]],Table1[[#This Row],[my_ent_1]])), 1, 0)</f>
        <v>1</v>
      </c>
      <c r="L24">
        <f>IF(ISNUMBER(SEARCH(Table1[[#This Row],[their_ent_2]],Table1[[#This Row],[my_ent_2]])), 1, 0)</f>
        <v>1</v>
      </c>
    </row>
    <row r="25" spans="1:12" x14ac:dyDescent="0.3">
      <c r="A25" t="s">
        <v>101</v>
      </c>
      <c r="B25" t="s">
        <v>102</v>
      </c>
      <c r="C25" t="s">
        <v>103</v>
      </c>
      <c r="D25" t="s">
        <v>104</v>
      </c>
      <c r="E25" t="s">
        <v>102</v>
      </c>
      <c r="F25">
        <v>0</v>
      </c>
      <c r="G25">
        <v>23</v>
      </c>
      <c r="H25">
        <f>IF(Table1[[#This Row],[my_ent_1]]=Table1[[#This Row],[their_ent_1]], 1, 0)</f>
        <v>0</v>
      </c>
      <c r="I25">
        <f>IF(Table1[[#This Row],[my_ent_2]]=Table1[[#This Row],[their_ent_2]], 1, 0)</f>
        <v>0</v>
      </c>
      <c r="J25">
        <f>IF(Table1[[#This Row],[same_1]]=1 &amp; Table1[[#This Row],[same_2]]=1, 1, 0)</f>
        <v>0</v>
      </c>
      <c r="K25">
        <f>IF(ISNUMBER(SEARCH(Table1[[#This Row],[their_ent_1]],Table1[[#This Row],[my_ent_1]])), 1, 0)</f>
        <v>0</v>
      </c>
      <c r="L25">
        <f>IF(ISNUMBER(SEARCH(Table1[[#This Row],[their_ent_2]],Table1[[#This Row],[my_ent_2]])), 1, 0)</f>
        <v>0</v>
      </c>
    </row>
    <row r="26" spans="1:12" x14ac:dyDescent="0.3">
      <c r="A26" t="s">
        <v>105</v>
      </c>
      <c r="B26" t="s">
        <v>106</v>
      </c>
      <c r="C26" t="s">
        <v>106</v>
      </c>
      <c r="D26" t="s">
        <v>59</v>
      </c>
      <c r="E26" t="s">
        <v>107</v>
      </c>
      <c r="F26">
        <v>0</v>
      </c>
      <c r="G26">
        <v>24</v>
      </c>
      <c r="H26">
        <f>IF(Table1[[#This Row],[my_ent_1]]=Table1[[#This Row],[their_ent_1]], 1, 0)</f>
        <v>1</v>
      </c>
      <c r="I26">
        <f>IF(Table1[[#This Row],[my_ent_2]]=Table1[[#This Row],[their_ent_2]], 1, 0)</f>
        <v>0</v>
      </c>
      <c r="J26">
        <f>IF(Table1[[#This Row],[same_1]]=1 &amp; Table1[[#This Row],[same_2]]=1, 1, 0)</f>
        <v>0</v>
      </c>
      <c r="K26">
        <f>IF(ISNUMBER(SEARCH(Table1[[#This Row],[their_ent_1]],Table1[[#This Row],[my_ent_1]])), 1, 0)</f>
        <v>1</v>
      </c>
      <c r="L26">
        <f>IF(ISNUMBER(SEARCH(Table1[[#This Row],[their_ent_2]],Table1[[#This Row],[my_ent_2]])), 1, 0)</f>
        <v>0</v>
      </c>
    </row>
    <row r="27" spans="1:12" x14ac:dyDescent="0.3">
      <c r="A27" t="s">
        <v>108</v>
      </c>
      <c r="B27" t="s">
        <v>94</v>
      </c>
      <c r="C27" t="s">
        <v>94</v>
      </c>
      <c r="D27" t="s">
        <v>109</v>
      </c>
      <c r="E27" t="s">
        <v>110</v>
      </c>
      <c r="F27">
        <v>0</v>
      </c>
      <c r="G27">
        <v>25</v>
      </c>
      <c r="H27">
        <f>IF(Table1[[#This Row],[my_ent_1]]=Table1[[#This Row],[their_ent_1]], 1, 0)</f>
        <v>1</v>
      </c>
      <c r="I27">
        <f>IF(Table1[[#This Row],[my_ent_2]]=Table1[[#This Row],[their_ent_2]], 1, 0)</f>
        <v>0</v>
      </c>
      <c r="J27">
        <f>IF(Table1[[#This Row],[same_1]]=1 &amp; Table1[[#This Row],[same_2]]=1, 1, 0)</f>
        <v>0</v>
      </c>
      <c r="K27">
        <f>IF(ISNUMBER(SEARCH(Table1[[#This Row],[their_ent_1]],Table1[[#This Row],[my_ent_1]])), 1, 0)</f>
        <v>1</v>
      </c>
      <c r="L27">
        <f>IF(ISNUMBER(SEARCH(Table1[[#This Row],[their_ent_2]],Table1[[#This Row],[my_ent_2]])), 1, 0)</f>
        <v>1</v>
      </c>
    </row>
    <row r="28" spans="1:12" x14ac:dyDescent="0.3">
      <c r="A28" t="s">
        <v>111</v>
      </c>
      <c r="B28" t="s">
        <v>112</v>
      </c>
      <c r="C28" t="s">
        <v>112</v>
      </c>
      <c r="D28" t="s">
        <v>113</v>
      </c>
      <c r="E28" t="s">
        <v>44</v>
      </c>
      <c r="F28">
        <v>0</v>
      </c>
      <c r="G28">
        <v>26</v>
      </c>
      <c r="H28">
        <f>IF(Table1[[#This Row],[my_ent_1]]=Table1[[#This Row],[their_ent_1]], 1, 0)</f>
        <v>1</v>
      </c>
      <c r="I28">
        <f>IF(Table1[[#This Row],[my_ent_2]]=Table1[[#This Row],[their_ent_2]], 1, 0)</f>
        <v>0</v>
      </c>
      <c r="J28">
        <f>IF(Table1[[#This Row],[same_1]]=1 &amp; Table1[[#This Row],[same_2]]=1, 1, 0)</f>
        <v>0</v>
      </c>
      <c r="K28">
        <f>IF(ISNUMBER(SEARCH(Table1[[#This Row],[their_ent_1]],Table1[[#This Row],[my_ent_1]])), 1, 0)</f>
        <v>1</v>
      </c>
      <c r="L28">
        <f>IF(ISNUMBER(SEARCH(Table1[[#This Row],[their_ent_2]],Table1[[#This Row],[my_ent_2]])), 1, 0)</f>
        <v>0</v>
      </c>
    </row>
    <row r="29" spans="1:12" x14ac:dyDescent="0.3">
      <c r="A29" t="s">
        <v>114</v>
      </c>
      <c r="B29" t="s">
        <v>115</v>
      </c>
      <c r="C29" t="s">
        <v>116</v>
      </c>
      <c r="D29" t="s">
        <v>117</v>
      </c>
      <c r="E29" t="s">
        <v>118</v>
      </c>
      <c r="F29">
        <v>0</v>
      </c>
      <c r="G29">
        <v>27</v>
      </c>
      <c r="H29">
        <f>IF(Table1[[#This Row],[my_ent_1]]=Table1[[#This Row],[their_ent_1]], 1, 0)</f>
        <v>0</v>
      </c>
      <c r="I29">
        <f>IF(Table1[[#This Row],[my_ent_2]]=Table1[[#This Row],[their_ent_2]], 1, 0)</f>
        <v>0</v>
      </c>
      <c r="J29">
        <f>IF(Table1[[#This Row],[same_1]]=1 &amp; Table1[[#This Row],[same_2]]=1, 1, 0)</f>
        <v>0</v>
      </c>
      <c r="K29">
        <f>IF(ISNUMBER(SEARCH(Table1[[#This Row],[their_ent_1]],Table1[[#This Row],[my_ent_1]])), 1, 0)</f>
        <v>0</v>
      </c>
      <c r="L29">
        <f>IF(ISNUMBER(SEARCH(Table1[[#This Row],[their_ent_2]],Table1[[#This Row],[my_ent_2]])), 1, 0)</f>
        <v>0</v>
      </c>
    </row>
    <row r="30" spans="1:12" x14ac:dyDescent="0.3">
      <c r="A30" t="s">
        <v>119</v>
      </c>
      <c r="B30" t="s">
        <v>120</v>
      </c>
      <c r="C30" t="s">
        <v>120</v>
      </c>
      <c r="D30" t="s">
        <v>121</v>
      </c>
      <c r="E30" t="s">
        <v>122</v>
      </c>
      <c r="F30">
        <v>0</v>
      </c>
      <c r="G30">
        <v>28</v>
      </c>
      <c r="H30">
        <f>IF(Table1[[#This Row],[my_ent_1]]=Table1[[#This Row],[their_ent_1]], 1, 0)</f>
        <v>1</v>
      </c>
      <c r="I30">
        <f>IF(Table1[[#This Row],[my_ent_2]]=Table1[[#This Row],[their_ent_2]], 1, 0)</f>
        <v>0</v>
      </c>
      <c r="J30">
        <f>IF(Table1[[#This Row],[same_1]]=1 &amp; Table1[[#This Row],[same_2]]=1, 1, 0)</f>
        <v>0</v>
      </c>
      <c r="K30">
        <f>IF(ISNUMBER(SEARCH(Table1[[#This Row],[their_ent_1]],Table1[[#This Row],[my_ent_1]])), 1, 0)</f>
        <v>1</v>
      </c>
      <c r="L30">
        <f>IF(ISNUMBER(SEARCH(Table1[[#This Row],[their_ent_2]],Table1[[#This Row],[my_ent_2]])), 1, 0)</f>
        <v>0</v>
      </c>
    </row>
    <row r="31" spans="1:12" x14ac:dyDescent="0.3">
      <c r="A31" t="s">
        <v>123</v>
      </c>
      <c r="B31" t="s">
        <v>124</v>
      </c>
      <c r="C31" t="s">
        <v>31</v>
      </c>
      <c r="D31" t="s">
        <v>125</v>
      </c>
      <c r="E31" t="s">
        <v>125</v>
      </c>
      <c r="F31">
        <v>0</v>
      </c>
      <c r="G31">
        <v>29</v>
      </c>
      <c r="H31">
        <f>IF(Table1[[#This Row],[my_ent_1]]=Table1[[#This Row],[their_ent_1]], 1, 0)</f>
        <v>0</v>
      </c>
      <c r="I31">
        <f>IF(Table1[[#This Row],[my_ent_2]]=Table1[[#This Row],[their_ent_2]], 1, 0)</f>
        <v>1</v>
      </c>
      <c r="J31">
        <f>IF(Table1[[#This Row],[same_1]]=1 &amp; Table1[[#This Row],[same_2]]=1, 1, 0)</f>
        <v>0</v>
      </c>
      <c r="K31">
        <f>IF(ISNUMBER(SEARCH(Table1[[#This Row],[their_ent_1]],Table1[[#This Row],[my_ent_1]])), 1, 0)</f>
        <v>0</v>
      </c>
      <c r="L31">
        <f>IF(ISNUMBER(SEARCH(Table1[[#This Row],[their_ent_2]],Table1[[#This Row],[my_ent_2]])), 1, 0)</f>
        <v>1</v>
      </c>
    </row>
    <row r="32" spans="1:12" x14ac:dyDescent="0.3">
      <c r="A32" t="s">
        <v>126</v>
      </c>
      <c r="B32" t="s">
        <v>127</v>
      </c>
      <c r="C32" t="s">
        <v>127</v>
      </c>
      <c r="D32" t="s">
        <v>78</v>
      </c>
      <c r="E32" t="s">
        <v>128</v>
      </c>
      <c r="F32">
        <v>0</v>
      </c>
      <c r="G32">
        <v>30</v>
      </c>
      <c r="H32">
        <f>IF(Table1[[#This Row],[my_ent_1]]=Table1[[#This Row],[their_ent_1]], 1, 0)</f>
        <v>1</v>
      </c>
      <c r="I32">
        <f>IF(Table1[[#This Row],[my_ent_2]]=Table1[[#This Row],[their_ent_2]], 1, 0)</f>
        <v>0</v>
      </c>
      <c r="J32">
        <f>IF(Table1[[#This Row],[same_1]]=1 &amp; Table1[[#This Row],[same_2]]=1, 1, 0)</f>
        <v>0</v>
      </c>
      <c r="K32">
        <f>IF(ISNUMBER(SEARCH(Table1[[#This Row],[their_ent_1]],Table1[[#This Row],[my_ent_1]])), 1, 0)</f>
        <v>1</v>
      </c>
      <c r="L32">
        <f>IF(ISNUMBER(SEARCH(Table1[[#This Row],[their_ent_2]],Table1[[#This Row],[my_ent_2]])), 1, 0)</f>
        <v>0</v>
      </c>
    </row>
    <row r="33" spans="1:12" x14ac:dyDescent="0.3">
      <c r="A33" t="s">
        <v>129</v>
      </c>
      <c r="B33" t="s">
        <v>130</v>
      </c>
      <c r="C33" t="s">
        <v>131</v>
      </c>
      <c r="D33" t="s">
        <v>132</v>
      </c>
      <c r="E33" t="s">
        <v>133</v>
      </c>
      <c r="F33">
        <v>0</v>
      </c>
      <c r="G33">
        <v>31</v>
      </c>
      <c r="H33">
        <f>IF(Table1[[#This Row],[my_ent_1]]=Table1[[#This Row],[their_ent_1]], 1, 0)</f>
        <v>0</v>
      </c>
      <c r="I33">
        <f>IF(Table1[[#This Row],[my_ent_2]]=Table1[[#This Row],[their_ent_2]], 1, 0)</f>
        <v>0</v>
      </c>
      <c r="J33">
        <f>IF(Table1[[#This Row],[same_1]]=1 &amp; Table1[[#This Row],[same_2]]=1, 1, 0)</f>
        <v>0</v>
      </c>
      <c r="K33">
        <f>IF(ISNUMBER(SEARCH(Table1[[#This Row],[their_ent_1]],Table1[[#This Row],[my_ent_1]])), 1, 0)</f>
        <v>0</v>
      </c>
      <c r="L33">
        <f>IF(ISNUMBER(SEARCH(Table1[[#This Row],[their_ent_2]],Table1[[#This Row],[my_ent_2]])), 1, 0)</f>
        <v>0</v>
      </c>
    </row>
    <row r="34" spans="1:12" x14ac:dyDescent="0.3">
      <c r="A34" t="s">
        <v>134</v>
      </c>
      <c r="B34" t="s">
        <v>135</v>
      </c>
      <c r="C34" t="s">
        <v>136</v>
      </c>
      <c r="D34" t="s">
        <v>137</v>
      </c>
      <c r="E34" t="s">
        <v>138</v>
      </c>
      <c r="F34">
        <v>0</v>
      </c>
      <c r="G34">
        <v>32</v>
      </c>
      <c r="H34">
        <f>IF(Table1[[#This Row],[my_ent_1]]=Table1[[#This Row],[their_ent_1]], 1, 0)</f>
        <v>0</v>
      </c>
      <c r="I34">
        <f>IF(Table1[[#This Row],[my_ent_2]]=Table1[[#This Row],[their_ent_2]], 1, 0)</f>
        <v>0</v>
      </c>
      <c r="J34">
        <f>IF(Table1[[#This Row],[same_1]]=1 &amp; Table1[[#This Row],[same_2]]=1, 1, 0)</f>
        <v>0</v>
      </c>
      <c r="K34">
        <f>IF(ISNUMBER(SEARCH(Table1[[#This Row],[their_ent_1]],Table1[[#This Row],[my_ent_1]])), 1, 0)</f>
        <v>1</v>
      </c>
      <c r="L34">
        <f>IF(ISNUMBER(SEARCH(Table1[[#This Row],[their_ent_2]],Table1[[#This Row],[my_ent_2]])), 1, 0)</f>
        <v>0</v>
      </c>
    </row>
    <row r="35" spans="1:12" x14ac:dyDescent="0.3">
      <c r="A35" t="s">
        <v>139</v>
      </c>
      <c r="B35" t="s">
        <v>140</v>
      </c>
      <c r="C35" t="s">
        <v>141</v>
      </c>
      <c r="D35" t="s">
        <v>142</v>
      </c>
      <c r="E35" t="s">
        <v>143</v>
      </c>
      <c r="F35">
        <v>0</v>
      </c>
      <c r="G35">
        <v>33</v>
      </c>
      <c r="H35">
        <f>IF(Table1[[#This Row],[my_ent_1]]=Table1[[#This Row],[their_ent_1]], 1, 0)</f>
        <v>0</v>
      </c>
      <c r="I35">
        <f>IF(Table1[[#This Row],[my_ent_2]]=Table1[[#This Row],[their_ent_2]], 1, 0)</f>
        <v>0</v>
      </c>
      <c r="J35">
        <f>IF(Table1[[#This Row],[same_1]]=1 &amp; Table1[[#This Row],[same_2]]=1, 1, 0)</f>
        <v>0</v>
      </c>
      <c r="K35">
        <f>IF(ISNUMBER(SEARCH(Table1[[#This Row],[their_ent_1]],Table1[[#This Row],[my_ent_1]])), 1, 0)</f>
        <v>0</v>
      </c>
      <c r="L35">
        <f>IF(ISNUMBER(SEARCH(Table1[[#This Row],[their_ent_2]],Table1[[#This Row],[my_ent_2]])), 1, 0)</f>
        <v>0</v>
      </c>
    </row>
    <row r="36" spans="1:12" x14ac:dyDescent="0.3">
      <c r="A36" t="s">
        <v>144</v>
      </c>
      <c r="B36" t="s">
        <v>145</v>
      </c>
      <c r="C36" t="s">
        <v>146</v>
      </c>
      <c r="D36" t="s">
        <v>147</v>
      </c>
      <c r="E36" t="s">
        <v>148</v>
      </c>
      <c r="F36">
        <v>0</v>
      </c>
      <c r="G36">
        <v>34</v>
      </c>
      <c r="H36">
        <f>IF(Table1[[#This Row],[my_ent_1]]=Table1[[#This Row],[their_ent_1]], 1, 0)</f>
        <v>0</v>
      </c>
      <c r="I36">
        <f>IF(Table1[[#This Row],[my_ent_2]]=Table1[[#This Row],[their_ent_2]], 1, 0)</f>
        <v>0</v>
      </c>
      <c r="J36">
        <f>IF(Table1[[#This Row],[same_1]]=1 &amp; Table1[[#This Row],[same_2]]=1, 1, 0)</f>
        <v>0</v>
      </c>
      <c r="K36">
        <f>IF(ISNUMBER(SEARCH(Table1[[#This Row],[their_ent_1]],Table1[[#This Row],[my_ent_1]])), 1, 0)</f>
        <v>0</v>
      </c>
      <c r="L36">
        <f>IF(ISNUMBER(SEARCH(Table1[[#This Row],[their_ent_2]],Table1[[#This Row],[my_ent_2]])), 1, 0)</f>
        <v>0</v>
      </c>
    </row>
    <row r="37" spans="1:12" x14ac:dyDescent="0.3">
      <c r="A37" t="s">
        <v>149</v>
      </c>
      <c r="B37" t="s">
        <v>150</v>
      </c>
      <c r="C37" t="s">
        <v>150</v>
      </c>
      <c r="D37" t="s">
        <v>59</v>
      </c>
      <c r="E37" t="s">
        <v>151</v>
      </c>
      <c r="F37">
        <v>0</v>
      </c>
      <c r="G37">
        <v>35</v>
      </c>
      <c r="H37">
        <f>IF(Table1[[#This Row],[my_ent_1]]=Table1[[#This Row],[their_ent_1]], 1, 0)</f>
        <v>1</v>
      </c>
      <c r="I37">
        <f>IF(Table1[[#This Row],[my_ent_2]]=Table1[[#This Row],[their_ent_2]], 1, 0)</f>
        <v>0</v>
      </c>
      <c r="J37">
        <f>IF(Table1[[#This Row],[same_1]]=1 &amp; Table1[[#This Row],[same_2]]=1, 1, 0)</f>
        <v>0</v>
      </c>
      <c r="K37">
        <f>IF(ISNUMBER(SEARCH(Table1[[#This Row],[their_ent_1]],Table1[[#This Row],[my_ent_1]])), 1, 0)</f>
        <v>1</v>
      </c>
      <c r="L37">
        <f>IF(ISNUMBER(SEARCH(Table1[[#This Row],[their_ent_2]],Table1[[#This Row],[my_ent_2]])), 1, 0)</f>
        <v>0</v>
      </c>
    </row>
    <row r="38" spans="1:12" x14ac:dyDescent="0.3">
      <c r="A38" t="s">
        <v>152</v>
      </c>
      <c r="B38" t="s">
        <v>153</v>
      </c>
      <c r="C38" t="s">
        <v>154</v>
      </c>
      <c r="D38" t="s">
        <v>155</v>
      </c>
      <c r="E38" t="s">
        <v>155</v>
      </c>
      <c r="F38">
        <v>0</v>
      </c>
      <c r="G38">
        <v>36</v>
      </c>
      <c r="H38">
        <f>IF(Table1[[#This Row],[my_ent_1]]=Table1[[#This Row],[their_ent_1]], 1, 0)</f>
        <v>0</v>
      </c>
      <c r="I38">
        <f>IF(Table1[[#This Row],[my_ent_2]]=Table1[[#This Row],[their_ent_2]], 1, 0)</f>
        <v>1</v>
      </c>
      <c r="J38">
        <f>IF(Table1[[#This Row],[same_1]]=1 &amp; Table1[[#This Row],[same_2]]=1, 1, 0)</f>
        <v>0</v>
      </c>
      <c r="K38">
        <f>IF(ISNUMBER(SEARCH(Table1[[#This Row],[their_ent_1]],Table1[[#This Row],[my_ent_1]])), 1, 0)</f>
        <v>0</v>
      </c>
      <c r="L38">
        <f>IF(ISNUMBER(SEARCH(Table1[[#This Row],[their_ent_2]],Table1[[#This Row],[my_ent_2]])), 1, 0)</f>
        <v>1</v>
      </c>
    </row>
    <row r="39" spans="1:12" x14ac:dyDescent="0.3">
      <c r="A39" t="s">
        <v>156</v>
      </c>
      <c r="B39" t="s">
        <v>25</v>
      </c>
      <c r="C39" t="s">
        <v>26</v>
      </c>
      <c r="D39" t="s">
        <v>157</v>
      </c>
      <c r="E39" t="s">
        <v>158</v>
      </c>
      <c r="F39">
        <v>0</v>
      </c>
      <c r="G39">
        <v>37</v>
      </c>
      <c r="H39">
        <f>IF(Table1[[#This Row],[my_ent_1]]=Table1[[#This Row],[their_ent_1]], 1, 0)</f>
        <v>0</v>
      </c>
      <c r="I39">
        <f>IF(Table1[[#This Row],[my_ent_2]]=Table1[[#This Row],[their_ent_2]], 1, 0)</f>
        <v>0</v>
      </c>
      <c r="J39">
        <f>IF(Table1[[#This Row],[same_1]]=1 &amp; Table1[[#This Row],[same_2]]=1, 1, 0)</f>
        <v>0</v>
      </c>
      <c r="K39">
        <f>IF(ISNUMBER(SEARCH(Table1[[#This Row],[their_ent_1]],Table1[[#This Row],[my_ent_1]])), 1, 0)</f>
        <v>1</v>
      </c>
      <c r="L39">
        <f>IF(ISNUMBER(SEARCH(Table1[[#This Row],[their_ent_2]],Table1[[#This Row],[my_ent_2]])), 1, 0)</f>
        <v>0</v>
      </c>
    </row>
    <row r="40" spans="1:12" x14ac:dyDescent="0.3">
      <c r="A40" t="s">
        <v>159</v>
      </c>
      <c r="B40" t="s">
        <v>160</v>
      </c>
      <c r="C40" t="s">
        <v>29</v>
      </c>
      <c r="D40" t="s">
        <v>161</v>
      </c>
      <c r="E40" t="s">
        <v>161</v>
      </c>
      <c r="F40">
        <v>0</v>
      </c>
      <c r="G40">
        <v>38</v>
      </c>
      <c r="H40">
        <f>IF(Table1[[#This Row],[my_ent_1]]=Table1[[#This Row],[their_ent_1]], 1, 0)</f>
        <v>0</v>
      </c>
      <c r="I40">
        <f>IF(Table1[[#This Row],[my_ent_2]]=Table1[[#This Row],[their_ent_2]], 1, 0)</f>
        <v>1</v>
      </c>
      <c r="J40">
        <f>IF(Table1[[#This Row],[same_1]]=1 &amp; Table1[[#This Row],[same_2]]=1, 1, 0)</f>
        <v>0</v>
      </c>
      <c r="K40">
        <f>IF(ISNUMBER(SEARCH(Table1[[#This Row],[their_ent_1]],Table1[[#This Row],[my_ent_1]])), 1, 0)</f>
        <v>0</v>
      </c>
      <c r="L40">
        <f>IF(ISNUMBER(SEARCH(Table1[[#This Row],[their_ent_2]],Table1[[#This Row],[my_ent_2]])), 1, 0)</f>
        <v>1</v>
      </c>
    </row>
    <row r="41" spans="1:12" x14ac:dyDescent="0.3">
      <c r="A41" t="s">
        <v>162</v>
      </c>
      <c r="B41" t="s">
        <v>163</v>
      </c>
      <c r="C41" t="s">
        <v>163</v>
      </c>
      <c r="D41" t="s">
        <v>164</v>
      </c>
      <c r="E41" t="s">
        <v>165</v>
      </c>
      <c r="F41">
        <v>0</v>
      </c>
      <c r="G41">
        <v>39</v>
      </c>
      <c r="H41">
        <f>IF(Table1[[#This Row],[my_ent_1]]=Table1[[#This Row],[their_ent_1]], 1, 0)</f>
        <v>1</v>
      </c>
      <c r="I41">
        <f>IF(Table1[[#This Row],[my_ent_2]]=Table1[[#This Row],[their_ent_2]], 1, 0)</f>
        <v>0</v>
      </c>
      <c r="J41">
        <f>IF(Table1[[#This Row],[same_1]]=1 &amp; Table1[[#This Row],[same_2]]=1, 1, 0)</f>
        <v>0</v>
      </c>
      <c r="K41">
        <f>IF(ISNUMBER(SEARCH(Table1[[#This Row],[their_ent_1]],Table1[[#This Row],[my_ent_1]])), 1, 0)</f>
        <v>1</v>
      </c>
      <c r="L41">
        <f>IF(ISNUMBER(SEARCH(Table1[[#This Row],[their_ent_2]],Table1[[#This Row],[my_ent_2]])), 1, 0)</f>
        <v>0</v>
      </c>
    </row>
    <row r="42" spans="1:12" x14ac:dyDescent="0.3">
      <c r="A42" t="s">
        <v>166</v>
      </c>
      <c r="B42" t="s">
        <v>167</v>
      </c>
      <c r="C42" t="s">
        <v>168</v>
      </c>
      <c r="D42" t="s">
        <v>169</v>
      </c>
      <c r="E42" t="s">
        <v>169</v>
      </c>
      <c r="F42">
        <v>0</v>
      </c>
      <c r="G42">
        <v>40</v>
      </c>
      <c r="H42">
        <f>IF(Table1[[#This Row],[my_ent_1]]=Table1[[#This Row],[their_ent_1]], 1, 0)</f>
        <v>0</v>
      </c>
      <c r="I42">
        <f>IF(Table1[[#This Row],[my_ent_2]]=Table1[[#This Row],[their_ent_2]], 1, 0)</f>
        <v>1</v>
      </c>
      <c r="J42">
        <f>IF(Table1[[#This Row],[same_1]]=1 &amp; Table1[[#This Row],[same_2]]=1, 1, 0)</f>
        <v>0</v>
      </c>
      <c r="K42">
        <f>IF(ISNUMBER(SEARCH(Table1[[#This Row],[their_ent_1]],Table1[[#This Row],[my_ent_1]])), 1, 0)</f>
        <v>0</v>
      </c>
      <c r="L42">
        <f>IF(ISNUMBER(SEARCH(Table1[[#This Row],[their_ent_2]],Table1[[#This Row],[my_ent_2]])), 1, 0)</f>
        <v>1</v>
      </c>
    </row>
    <row r="43" spans="1:12" x14ac:dyDescent="0.3">
      <c r="A43" t="s">
        <v>170</v>
      </c>
      <c r="B43" t="s">
        <v>171</v>
      </c>
      <c r="C43" t="s">
        <v>171</v>
      </c>
      <c r="D43" t="s">
        <v>172</v>
      </c>
      <c r="E43" t="s">
        <v>173</v>
      </c>
      <c r="F43">
        <v>0</v>
      </c>
      <c r="G43">
        <v>41</v>
      </c>
      <c r="H43">
        <f>IF(Table1[[#This Row],[my_ent_1]]=Table1[[#This Row],[their_ent_1]], 1, 0)</f>
        <v>1</v>
      </c>
      <c r="I43">
        <f>IF(Table1[[#This Row],[my_ent_2]]=Table1[[#This Row],[their_ent_2]], 1, 0)</f>
        <v>0</v>
      </c>
      <c r="J43">
        <f>IF(Table1[[#This Row],[same_1]]=1 &amp; Table1[[#This Row],[same_2]]=1, 1, 0)</f>
        <v>0</v>
      </c>
      <c r="K43">
        <f>IF(ISNUMBER(SEARCH(Table1[[#This Row],[their_ent_1]],Table1[[#This Row],[my_ent_1]])), 1, 0)</f>
        <v>1</v>
      </c>
      <c r="L43">
        <f>IF(ISNUMBER(SEARCH(Table1[[#This Row],[their_ent_2]],Table1[[#This Row],[my_ent_2]])), 1, 0)</f>
        <v>1</v>
      </c>
    </row>
    <row r="44" spans="1:12" x14ac:dyDescent="0.3">
      <c r="A44" t="s">
        <v>174</v>
      </c>
      <c r="B44" t="s">
        <v>175</v>
      </c>
      <c r="C44" t="s">
        <v>176</v>
      </c>
      <c r="D44" t="s">
        <v>20</v>
      </c>
      <c r="E44" t="s">
        <v>30</v>
      </c>
      <c r="F44">
        <v>0</v>
      </c>
      <c r="G44">
        <v>42</v>
      </c>
      <c r="H44">
        <f>IF(Table1[[#This Row],[my_ent_1]]=Table1[[#This Row],[their_ent_1]], 1, 0)</f>
        <v>0</v>
      </c>
      <c r="I44">
        <f>IF(Table1[[#This Row],[my_ent_2]]=Table1[[#This Row],[their_ent_2]], 1, 0)</f>
        <v>0</v>
      </c>
      <c r="J44">
        <f>IF(Table1[[#This Row],[same_1]]=1 &amp; Table1[[#This Row],[same_2]]=1, 1, 0)</f>
        <v>0</v>
      </c>
      <c r="K44">
        <f>IF(ISNUMBER(SEARCH(Table1[[#This Row],[their_ent_1]],Table1[[#This Row],[my_ent_1]])), 1, 0)</f>
        <v>1</v>
      </c>
      <c r="L44">
        <f>IF(ISNUMBER(SEARCH(Table1[[#This Row],[their_ent_2]],Table1[[#This Row],[my_ent_2]])), 1, 0)</f>
        <v>0</v>
      </c>
    </row>
    <row r="45" spans="1:12" x14ac:dyDescent="0.3">
      <c r="A45" t="s">
        <v>177</v>
      </c>
      <c r="B45" t="s">
        <v>178</v>
      </c>
      <c r="C45" t="s">
        <v>179</v>
      </c>
      <c r="D45" t="s">
        <v>180</v>
      </c>
      <c r="E45" t="s">
        <v>181</v>
      </c>
      <c r="F45">
        <v>0</v>
      </c>
      <c r="G45">
        <v>43</v>
      </c>
      <c r="H45">
        <f>IF(Table1[[#This Row],[my_ent_1]]=Table1[[#This Row],[their_ent_1]], 1, 0)</f>
        <v>0</v>
      </c>
      <c r="I45">
        <f>IF(Table1[[#This Row],[my_ent_2]]=Table1[[#This Row],[their_ent_2]], 1, 0)</f>
        <v>0</v>
      </c>
      <c r="J45">
        <f>IF(Table1[[#This Row],[same_1]]=1 &amp; Table1[[#This Row],[same_2]]=1, 1, 0)</f>
        <v>0</v>
      </c>
      <c r="K45">
        <f>IF(ISNUMBER(SEARCH(Table1[[#This Row],[their_ent_1]],Table1[[#This Row],[my_ent_1]])), 1, 0)</f>
        <v>0</v>
      </c>
      <c r="L45">
        <f>IF(ISNUMBER(SEARCH(Table1[[#This Row],[their_ent_2]],Table1[[#This Row],[my_ent_2]])), 1, 0)</f>
        <v>1</v>
      </c>
    </row>
    <row r="46" spans="1:12" x14ac:dyDescent="0.3">
      <c r="A46" t="s">
        <v>182</v>
      </c>
      <c r="B46" t="s">
        <v>183</v>
      </c>
      <c r="C46" t="s">
        <v>184</v>
      </c>
      <c r="D46" t="s">
        <v>185</v>
      </c>
      <c r="E46" t="s">
        <v>186</v>
      </c>
      <c r="F46">
        <v>0</v>
      </c>
      <c r="G46">
        <v>44</v>
      </c>
      <c r="H46">
        <f>IF(Table1[[#This Row],[my_ent_1]]=Table1[[#This Row],[their_ent_1]], 1, 0)</f>
        <v>0</v>
      </c>
      <c r="I46">
        <f>IF(Table1[[#This Row],[my_ent_2]]=Table1[[#This Row],[their_ent_2]], 1, 0)</f>
        <v>0</v>
      </c>
      <c r="J46">
        <f>IF(Table1[[#This Row],[same_1]]=1 &amp; Table1[[#This Row],[same_2]]=1, 1, 0)</f>
        <v>0</v>
      </c>
      <c r="K46">
        <f>IF(ISNUMBER(SEARCH(Table1[[#This Row],[their_ent_1]],Table1[[#This Row],[my_ent_1]])), 1, 0)</f>
        <v>0</v>
      </c>
      <c r="L46">
        <f>IF(ISNUMBER(SEARCH(Table1[[#This Row],[their_ent_2]],Table1[[#This Row],[my_ent_2]])), 1, 0)</f>
        <v>0</v>
      </c>
    </row>
    <row r="47" spans="1:12" x14ac:dyDescent="0.3">
      <c r="A47" t="s">
        <v>187</v>
      </c>
      <c r="B47" t="s">
        <v>188</v>
      </c>
      <c r="C47" t="s">
        <v>189</v>
      </c>
      <c r="D47" t="s">
        <v>190</v>
      </c>
      <c r="E47" t="s">
        <v>191</v>
      </c>
      <c r="F47">
        <v>0</v>
      </c>
      <c r="G47">
        <v>45</v>
      </c>
      <c r="H47">
        <f>IF(Table1[[#This Row],[my_ent_1]]=Table1[[#This Row],[their_ent_1]], 1, 0)</f>
        <v>0</v>
      </c>
      <c r="I47">
        <f>IF(Table1[[#This Row],[my_ent_2]]=Table1[[#This Row],[their_ent_2]], 1, 0)</f>
        <v>0</v>
      </c>
      <c r="J47">
        <f>IF(Table1[[#This Row],[same_1]]=1 &amp; Table1[[#This Row],[same_2]]=1, 1, 0)</f>
        <v>0</v>
      </c>
      <c r="K47">
        <f>IF(ISNUMBER(SEARCH(Table1[[#This Row],[their_ent_1]],Table1[[#This Row],[my_ent_1]])), 1, 0)</f>
        <v>0</v>
      </c>
      <c r="L47">
        <f>IF(ISNUMBER(SEARCH(Table1[[#This Row],[their_ent_2]],Table1[[#This Row],[my_ent_2]])), 1, 0)</f>
        <v>0</v>
      </c>
    </row>
    <row r="48" spans="1:12" x14ac:dyDescent="0.3">
      <c r="A48" t="s">
        <v>192</v>
      </c>
      <c r="B48" t="s">
        <v>193</v>
      </c>
      <c r="C48" t="s">
        <v>193</v>
      </c>
      <c r="D48" t="s">
        <v>194</v>
      </c>
      <c r="E48" t="s">
        <v>195</v>
      </c>
      <c r="F48">
        <v>0</v>
      </c>
      <c r="G48">
        <v>46</v>
      </c>
      <c r="H48">
        <f>IF(Table1[[#This Row],[my_ent_1]]=Table1[[#This Row],[their_ent_1]], 1, 0)</f>
        <v>1</v>
      </c>
      <c r="I48">
        <f>IF(Table1[[#This Row],[my_ent_2]]=Table1[[#This Row],[their_ent_2]], 1, 0)</f>
        <v>0</v>
      </c>
      <c r="J48">
        <f>IF(Table1[[#This Row],[same_1]]=1 &amp; Table1[[#This Row],[same_2]]=1, 1, 0)</f>
        <v>0</v>
      </c>
      <c r="K48">
        <f>IF(ISNUMBER(SEARCH(Table1[[#This Row],[their_ent_1]],Table1[[#This Row],[my_ent_1]])), 1, 0)</f>
        <v>1</v>
      </c>
      <c r="L48">
        <f>IF(ISNUMBER(SEARCH(Table1[[#This Row],[their_ent_2]],Table1[[#This Row],[my_ent_2]])), 1, 0)</f>
        <v>0</v>
      </c>
    </row>
    <row r="49" spans="1:12" x14ac:dyDescent="0.3">
      <c r="A49" t="s">
        <v>196</v>
      </c>
      <c r="B49" t="s">
        <v>197</v>
      </c>
      <c r="C49" t="s">
        <v>198</v>
      </c>
      <c r="D49" t="s">
        <v>199</v>
      </c>
      <c r="E49" t="s">
        <v>200</v>
      </c>
      <c r="F49">
        <v>0</v>
      </c>
      <c r="G49">
        <v>47</v>
      </c>
      <c r="H49">
        <f>IF(Table1[[#This Row],[my_ent_1]]=Table1[[#This Row],[their_ent_1]], 1, 0)</f>
        <v>0</v>
      </c>
      <c r="I49">
        <f>IF(Table1[[#This Row],[my_ent_2]]=Table1[[#This Row],[their_ent_2]], 1, 0)</f>
        <v>0</v>
      </c>
      <c r="J49">
        <f>IF(Table1[[#This Row],[same_1]]=1 &amp; Table1[[#This Row],[same_2]]=1, 1, 0)</f>
        <v>0</v>
      </c>
      <c r="K49">
        <f>IF(ISNUMBER(SEARCH(Table1[[#This Row],[their_ent_1]],Table1[[#This Row],[my_ent_1]])), 1, 0)</f>
        <v>0</v>
      </c>
      <c r="L49">
        <f>IF(ISNUMBER(SEARCH(Table1[[#This Row],[their_ent_2]],Table1[[#This Row],[my_ent_2]])), 1, 0)</f>
        <v>0</v>
      </c>
    </row>
    <row r="50" spans="1:12" x14ac:dyDescent="0.3">
      <c r="A50" t="s">
        <v>201</v>
      </c>
      <c r="B50" t="s">
        <v>175</v>
      </c>
      <c r="C50" t="s">
        <v>176</v>
      </c>
      <c r="D50" t="s">
        <v>202</v>
      </c>
      <c r="E50" t="s">
        <v>203</v>
      </c>
      <c r="F50">
        <v>0</v>
      </c>
      <c r="G50">
        <v>48</v>
      </c>
      <c r="H50">
        <f>IF(Table1[[#This Row],[my_ent_1]]=Table1[[#This Row],[their_ent_1]], 1, 0)</f>
        <v>0</v>
      </c>
      <c r="I50">
        <f>IF(Table1[[#This Row],[my_ent_2]]=Table1[[#This Row],[their_ent_2]], 1, 0)</f>
        <v>0</v>
      </c>
      <c r="J50">
        <f>IF(Table1[[#This Row],[same_1]]=1 &amp; Table1[[#This Row],[same_2]]=1, 1, 0)</f>
        <v>0</v>
      </c>
      <c r="K50">
        <f>IF(ISNUMBER(SEARCH(Table1[[#This Row],[their_ent_1]],Table1[[#This Row],[my_ent_1]])), 1, 0)</f>
        <v>1</v>
      </c>
      <c r="L50">
        <f>IF(ISNUMBER(SEARCH(Table1[[#This Row],[their_ent_2]],Table1[[#This Row],[my_ent_2]])), 1, 0)</f>
        <v>0</v>
      </c>
    </row>
    <row r="51" spans="1:12" x14ac:dyDescent="0.3">
      <c r="A51" t="s">
        <v>204</v>
      </c>
      <c r="B51" t="s">
        <v>205</v>
      </c>
      <c r="C51" t="s">
        <v>205</v>
      </c>
      <c r="D51" t="s">
        <v>206</v>
      </c>
      <c r="E51" t="s">
        <v>31</v>
      </c>
      <c r="F51">
        <v>0</v>
      </c>
      <c r="G51">
        <v>49</v>
      </c>
      <c r="H51">
        <f>IF(Table1[[#This Row],[my_ent_1]]=Table1[[#This Row],[their_ent_1]], 1, 0)</f>
        <v>1</v>
      </c>
      <c r="I51">
        <f>IF(Table1[[#This Row],[my_ent_2]]=Table1[[#This Row],[their_ent_2]], 1, 0)</f>
        <v>0</v>
      </c>
      <c r="J51">
        <f>IF(Table1[[#This Row],[same_1]]=1 &amp; Table1[[#This Row],[same_2]]=1, 1, 0)</f>
        <v>0</v>
      </c>
      <c r="K51">
        <f>IF(ISNUMBER(SEARCH(Table1[[#This Row],[their_ent_1]],Table1[[#This Row],[my_ent_1]])), 1, 0)</f>
        <v>1</v>
      </c>
      <c r="L51">
        <f>IF(ISNUMBER(SEARCH(Table1[[#This Row],[their_ent_2]],Table1[[#This Row],[my_ent_2]])), 1, 0)</f>
        <v>1</v>
      </c>
    </row>
    <row r="52" spans="1:12" x14ac:dyDescent="0.3">
      <c r="A52" t="s">
        <v>207</v>
      </c>
      <c r="B52" t="s">
        <v>208</v>
      </c>
      <c r="C52" t="s">
        <v>68</v>
      </c>
      <c r="D52" t="s">
        <v>59</v>
      </c>
      <c r="E52" t="s">
        <v>208</v>
      </c>
      <c r="F52">
        <v>0</v>
      </c>
      <c r="G52">
        <v>50</v>
      </c>
      <c r="H52">
        <f>IF(Table1[[#This Row],[my_ent_1]]=Table1[[#This Row],[their_ent_1]], 1, 0)</f>
        <v>0</v>
      </c>
      <c r="I52">
        <f>IF(Table1[[#This Row],[my_ent_2]]=Table1[[#This Row],[their_ent_2]], 1, 0)</f>
        <v>0</v>
      </c>
      <c r="J52">
        <f>IF(Table1[[#This Row],[same_1]]=1 &amp; Table1[[#This Row],[same_2]]=1, 1, 0)</f>
        <v>0</v>
      </c>
      <c r="K52">
        <f>IF(ISNUMBER(SEARCH(Table1[[#This Row],[their_ent_1]],Table1[[#This Row],[my_ent_1]])), 1, 0)</f>
        <v>0</v>
      </c>
      <c r="L52">
        <f>IF(ISNUMBER(SEARCH(Table1[[#This Row],[their_ent_2]],Table1[[#This Row],[my_ent_2]])), 1, 0)</f>
        <v>0</v>
      </c>
    </row>
    <row r="53" spans="1:12" x14ac:dyDescent="0.3">
      <c r="A53" t="s">
        <v>209</v>
      </c>
      <c r="B53" t="s">
        <v>210</v>
      </c>
      <c r="C53" t="s">
        <v>211</v>
      </c>
      <c r="D53" t="s">
        <v>51</v>
      </c>
      <c r="E53" t="s">
        <v>212</v>
      </c>
      <c r="F53">
        <v>0</v>
      </c>
      <c r="G53">
        <v>51</v>
      </c>
      <c r="H53">
        <f>IF(Table1[[#This Row],[my_ent_1]]=Table1[[#This Row],[their_ent_1]], 1, 0)</f>
        <v>0</v>
      </c>
      <c r="I53">
        <f>IF(Table1[[#This Row],[my_ent_2]]=Table1[[#This Row],[their_ent_2]], 1, 0)</f>
        <v>0</v>
      </c>
      <c r="J53">
        <f>IF(Table1[[#This Row],[same_1]]=1 &amp; Table1[[#This Row],[same_2]]=1, 1, 0)</f>
        <v>0</v>
      </c>
      <c r="K53">
        <f>IF(ISNUMBER(SEARCH(Table1[[#This Row],[their_ent_1]],Table1[[#This Row],[my_ent_1]])), 1, 0)</f>
        <v>0</v>
      </c>
      <c r="L53">
        <f>IF(ISNUMBER(SEARCH(Table1[[#This Row],[their_ent_2]],Table1[[#This Row],[my_ent_2]])), 1, 0)</f>
        <v>0</v>
      </c>
    </row>
    <row r="54" spans="1:12" x14ac:dyDescent="0.3">
      <c r="A54" t="s">
        <v>213</v>
      </c>
      <c r="B54" t="s">
        <v>214</v>
      </c>
      <c r="C54" t="s">
        <v>214</v>
      </c>
      <c r="D54" t="s">
        <v>215</v>
      </c>
      <c r="E54" t="s">
        <v>216</v>
      </c>
      <c r="F54">
        <v>0</v>
      </c>
      <c r="G54">
        <v>52</v>
      </c>
      <c r="H54">
        <f>IF(Table1[[#This Row],[my_ent_1]]=Table1[[#This Row],[their_ent_1]], 1, 0)</f>
        <v>1</v>
      </c>
      <c r="I54">
        <f>IF(Table1[[#This Row],[my_ent_2]]=Table1[[#This Row],[their_ent_2]], 1, 0)</f>
        <v>0</v>
      </c>
      <c r="J54">
        <f>IF(Table1[[#This Row],[same_1]]=1 &amp; Table1[[#This Row],[same_2]]=1, 1, 0)</f>
        <v>0</v>
      </c>
      <c r="K54">
        <f>IF(ISNUMBER(SEARCH(Table1[[#This Row],[their_ent_1]],Table1[[#This Row],[my_ent_1]])), 1, 0)</f>
        <v>1</v>
      </c>
      <c r="L54">
        <f>IF(ISNUMBER(SEARCH(Table1[[#This Row],[their_ent_2]],Table1[[#This Row],[my_ent_2]])), 1, 0)</f>
        <v>0</v>
      </c>
    </row>
    <row r="55" spans="1:12" x14ac:dyDescent="0.3">
      <c r="A55" t="s">
        <v>217</v>
      </c>
      <c r="B55" t="s">
        <v>218</v>
      </c>
      <c r="C55" t="s">
        <v>26</v>
      </c>
      <c r="D55" t="s">
        <v>219</v>
      </c>
      <c r="E55" t="s">
        <v>220</v>
      </c>
      <c r="F55">
        <v>0</v>
      </c>
      <c r="G55">
        <v>53</v>
      </c>
      <c r="H55">
        <f>IF(Table1[[#This Row],[my_ent_1]]=Table1[[#This Row],[their_ent_1]], 1, 0)</f>
        <v>0</v>
      </c>
      <c r="I55">
        <f>IF(Table1[[#This Row],[my_ent_2]]=Table1[[#This Row],[their_ent_2]], 1, 0)</f>
        <v>0</v>
      </c>
      <c r="J55">
        <f>IF(Table1[[#This Row],[same_1]]=1 &amp; Table1[[#This Row],[same_2]]=1, 1, 0)</f>
        <v>0</v>
      </c>
      <c r="K55">
        <f>IF(ISNUMBER(SEARCH(Table1[[#This Row],[their_ent_1]],Table1[[#This Row],[my_ent_1]])), 1, 0)</f>
        <v>0</v>
      </c>
      <c r="L55">
        <f>IF(ISNUMBER(SEARCH(Table1[[#This Row],[their_ent_2]],Table1[[#This Row],[my_ent_2]])), 1, 0)</f>
        <v>0</v>
      </c>
    </row>
    <row r="56" spans="1:12" x14ac:dyDescent="0.3">
      <c r="A56" t="s">
        <v>221</v>
      </c>
      <c r="B56" t="s">
        <v>222</v>
      </c>
      <c r="C56" t="s">
        <v>223</v>
      </c>
      <c r="D56" t="s">
        <v>223</v>
      </c>
      <c r="E56" t="s">
        <v>224</v>
      </c>
      <c r="F56">
        <v>0</v>
      </c>
      <c r="G56">
        <v>54</v>
      </c>
      <c r="H56">
        <f>IF(Table1[[#This Row],[my_ent_1]]=Table1[[#This Row],[their_ent_1]], 1, 0)</f>
        <v>0</v>
      </c>
      <c r="I56">
        <f>IF(Table1[[#This Row],[my_ent_2]]=Table1[[#This Row],[their_ent_2]], 1, 0)</f>
        <v>0</v>
      </c>
      <c r="J56">
        <f>IF(Table1[[#This Row],[same_1]]=1 &amp; Table1[[#This Row],[same_2]]=1, 1, 0)</f>
        <v>0</v>
      </c>
      <c r="K56">
        <f>IF(ISNUMBER(SEARCH(Table1[[#This Row],[their_ent_1]],Table1[[#This Row],[my_ent_1]])), 1, 0)</f>
        <v>0</v>
      </c>
      <c r="L56">
        <f>IF(ISNUMBER(SEARCH(Table1[[#This Row],[their_ent_2]],Table1[[#This Row],[my_ent_2]])), 1, 0)</f>
        <v>0</v>
      </c>
    </row>
    <row r="57" spans="1:12" x14ac:dyDescent="0.3">
      <c r="A57" t="s">
        <v>225</v>
      </c>
      <c r="B57" t="s">
        <v>226</v>
      </c>
      <c r="C57" t="s">
        <v>227</v>
      </c>
      <c r="D57" t="s">
        <v>228</v>
      </c>
      <c r="E57" t="s">
        <v>229</v>
      </c>
      <c r="F57">
        <v>0</v>
      </c>
      <c r="G57">
        <v>55</v>
      </c>
      <c r="H57">
        <f>IF(Table1[[#This Row],[my_ent_1]]=Table1[[#This Row],[their_ent_1]], 1, 0)</f>
        <v>0</v>
      </c>
      <c r="I57">
        <f>IF(Table1[[#This Row],[my_ent_2]]=Table1[[#This Row],[their_ent_2]], 1, 0)</f>
        <v>0</v>
      </c>
      <c r="J57">
        <f>IF(Table1[[#This Row],[same_1]]=1 &amp; Table1[[#This Row],[same_2]]=1, 1, 0)</f>
        <v>0</v>
      </c>
      <c r="K57">
        <f>IF(ISNUMBER(SEARCH(Table1[[#This Row],[their_ent_1]],Table1[[#This Row],[my_ent_1]])), 1, 0)</f>
        <v>0</v>
      </c>
      <c r="L57">
        <f>IF(ISNUMBER(SEARCH(Table1[[#This Row],[their_ent_2]],Table1[[#This Row],[my_ent_2]])), 1, 0)</f>
        <v>1</v>
      </c>
    </row>
    <row r="58" spans="1:12" x14ac:dyDescent="0.3">
      <c r="A58" t="s">
        <v>230</v>
      </c>
      <c r="B58" t="s">
        <v>231</v>
      </c>
      <c r="C58" t="s">
        <v>232</v>
      </c>
      <c r="D58" t="s">
        <v>233</v>
      </c>
      <c r="E58" t="s">
        <v>234</v>
      </c>
      <c r="F58">
        <v>0</v>
      </c>
      <c r="G58">
        <v>56</v>
      </c>
      <c r="H58">
        <f>IF(Table1[[#This Row],[my_ent_1]]=Table1[[#This Row],[their_ent_1]], 1, 0)</f>
        <v>0</v>
      </c>
      <c r="I58">
        <f>IF(Table1[[#This Row],[my_ent_2]]=Table1[[#This Row],[their_ent_2]], 1, 0)</f>
        <v>0</v>
      </c>
      <c r="J58">
        <f>IF(Table1[[#This Row],[same_1]]=1 &amp; Table1[[#This Row],[same_2]]=1, 1, 0)</f>
        <v>0</v>
      </c>
      <c r="K58">
        <f>IF(ISNUMBER(SEARCH(Table1[[#This Row],[their_ent_1]],Table1[[#This Row],[my_ent_1]])), 1, 0)</f>
        <v>0</v>
      </c>
      <c r="L58">
        <f>IF(ISNUMBER(SEARCH(Table1[[#This Row],[their_ent_2]],Table1[[#This Row],[my_ent_2]])), 1, 0)</f>
        <v>0</v>
      </c>
    </row>
    <row r="59" spans="1:12" x14ac:dyDescent="0.3">
      <c r="A59" t="s">
        <v>235</v>
      </c>
      <c r="B59" t="s">
        <v>236</v>
      </c>
      <c r="C59" t="s">
        <v>237</v>
      </c>
      <c r="D59" t="s">
        <v>238</v>
      </c>
      <c r="E59" t="s">
        <v>239</v>
      </c>
      <c r="F59">
        <v>0</v>
      </c>
      <c r="G59">
        <v>57</v>
      </c>
      <c r="H59">
        <f>IF(Table1[[#This Row],[my_ent_1]]=Table1[[#This Row],[their_ent_1]], 1, 0)</f>
        <v>0</v>
      </c>
      <c r="I59">
        <f>IF(Table1[[#This Row],[my_ent_2]]=Table1[[#This Row],[their_ent_2]], 1, 0)</f>
        <v>0</v>
      </c>
      <c r="J59">
        <f>IF(Table1[[#This Row],[same_1]]=1 &amp; Table1[[#This Row],[same_2]]=1, 1, 0)</f>
        <v>0</v>
      </c>
      <c r="K59">
        <f>IF(ISNUMBER(SEARCH(Table1[[#This Row],[their_ent_1]],Table1[[#This Row],[my_ent_1]])), 1, 0)</f>
        <v>1</v>
      </c>
      <c r="L59">
        <f>IF(ISNUMBER(SEARCH(Table1[[#This Row],[their_ent_2]],Table1[[#This Row],[my_ent_2]])), 1, 0)</f>
        <v>0</v>
      </c>
    </row>
    <row r="60" spans="1:12" x14ac:dyDescent="0.3">
      <c r="A60" t="s">
        <v>240</v>
      </c>
      <c r="B60" t="s">
        <v>241</v>
      </c>
      <c r="C60" t="s">
        <v>241</v>
      </c>
      <c r="D60" t="s">
        <v>242</v>
      </c>
      <c r="E60" t="s">
        <v>243</v>
      </c>
      <c r="F60">
        <v>0</v>
      </c>
      <c r="G60">
        <v>58</v>
      </c>
      <c r="H60">
        <f>IF(Table1[[#This Row],[my_ent_1]]=Table1[[#This Row],[their_ent_1]], 1, 0)</f>
        <v>1</v>
      </c>
      <c r="I60">
        <f>IF(Table1[[#This Row],[my_ent_2]]=Table1[[#This Row],[their_ent_2]], 1, 0)</f>
        <v>0</v>
      </c>
      <c r="J60">
        <f>IF(Table1[[#This Row],[same_1]]=1 &amp; Table1[[#This Row],[same_2]]=1, 1, 0)</f>
        <v>0</v>
      </c>
      <c r="K60">
        <f>IF(ISNUMBER(SEARCH(Table1[[#This Row],[their_ent_1]],Table1[[#This Row],[my_ent_1]])), 1, 0)</f>
        <v>1</v>
      </c>
      <c r="L60">
        <f>IF(ISNUMBER(SEARCH(Table1[[#This Row],[their_ent_2]],Table1[[#This Row],[my_ent_2]])), 1, 0)</f>
        <v>0</v>
      </c>
    </row>
    <row r="61" spans="1:12" x14ac:dyDescent="0.3">
      <c r="A61" t="s">
        <v>244</v>
      </c>
      <c r="B61" t="s">
        <v>245</v>
      </c>
      <c r="C61" t="s">
        <v>246</v>
      </c>
      <c r="D61" t="s">
        <v>247</v>
      </c>
      <c r="E61" t="s">
        <v>248</v>
      </c>
      <c r="F61">
        <v>0</v>
      </c>
      <c r="G61">
        <v>59</v>
      </c>
      <c r="H61">
        <f>IF(Table1[[#This Row],[my_ent_1]]=Table1[[#This Row],[their_ent_1]], 1, 0)</f>
        <v>0</v>
      </c>
      <c r="I61">
        <f>IF(Table1[[#This Row],[my_ent_2]]=Table1[[#This Row],[their_ent_2]], 1, 0)</f>
        <v>0</v>
      </c>
      <c r="J61">
        <f>IF(Table1[[#This Row],[same_1]]=1 &amp; Table1[[#This Row],[same_2]]=1, 1, 0)</f>
        <v>0</v>
      </c>
      <c r="K61">
        <f>IF(ISNUMBER(SEARCH(Table1[[#This Row],[their_ent_1]],Table1[[#This Row],[my_ent_1]])), 1, 0)</f>
        <v>0</v>
      </c>
      <c r="L61">
        <f>IF(ISNUMBER(SEARCH(Table1[[#This Row],[their_ent_2]],Table1[[#This Row],[my_ent_2]])), 1, 0)</f>
        <v>0</v>
      </c>
    </row>
    <row r="62" spans="1:12" x14ac:dyDescent="0.3">
      <c r="A62" t="s">
        <v>249</v>
      </c>
      <c r="B62" t="s">
        <v>250</v>
      </c>
      <c r="C62" t="s">
        <v>251</v>
      </c>
      <c r="D62" t="s">
        <v>251</v>
      </c>
      <c r="E62" t="s">
        <v>252</v>
      </c>
      <c r="F62">
        <v>0</v>
      </c>
      <c r="G62">
        <v>60</v>
      </c>
      <c r="H62">
        <f>IF(Table1[[#This Row],[my_ent_1]]=Table1[[#This Row],[their_ent_1]], 1, 0)</f>
        <v>0</v>
      </c>
      <c r="I62">
        <f>IF(Table1[[#This Row],[my_ent_2]]=Table1[[#This Row],[their_ent_2]], 1, 0)</f>
        <v>0</v>
      </c>
      <c r="J62">
        <f>IF(Table1[[#This Row],[same_1]]=1 &amp; Table1[[#This Row],[same_2]]=1, 1, 0)</f>
        <v>0</v>
      </c>
      <c r="K62">
        <f>IF(ISNUMBER(SEARCH(Table1[[#This Row],[their_ent_1]],Table1[[#This Row],[my_ent_1]])), 1, 0)</f>
        <v>0</v>
      </c>
      <c r="L62">
        <f>IF(ISNUMBER(SEARCH(Table1[[#This Row],[their_ent_2]],Table1[[#This Row],[my_ent_2]])), 1, 0)</f>
        <v>0</v>
      </c>
    </row>
    <row r="63" spans="1:12" x14ac:dyDescent="0.3">
      <c r="A63" t="s">
        <v>253</v>
      </c>
      <c r="B63" t="s">
        <v>254</v>
      </c>
      <c r="C63" t="s">
        <v>255</v>
      </c>
      <c r="D63" t="s">
        <v>256</v>
      </c>
      <c r="E63" t="s">
        <v>256</v>
      </c>
      <c r="F63">
        <v>0</v>
      </c>
      <c r="G63">
        <v>61</v>
      </c>
      <c r="H63">
        <f>IF(Table1[[#This Row],[my_ent_1]]=Table1[[#This Row],[their_ent_1]], 1, 0)</f>
        <v>0</v>
      </c>
      <c r="I63">
        <f>IF(Table1[[#This Row],[my_ent_2]]=Table1[[#This Row],[their_ent_2]], 1, 0)</f>
        <v>1</v>
      </c>
      <c r="J63">
        <f>IF(Table1[[#This Row],[same_1]]=1 &amp; Table1[[#This Row],[same_2]]=1, 1, 0)</f>
        <v>0</v>
      </c>
      <c r="K63">
        <f>IF(ISNUMBER(SEARCH(Table1[[#This Row],[their_ent_1]],Table1[[#This Row],[my_ent_1]])), 1, 0)</f>
        <v>0</v>
      </c>
      <c r="L63">
        <f>IF(ISNUMBER(SEARCH(Table1[[#This Row],[their_ent_2]],Table1[[#This Row],[my_ent_2]])), 1, 0)</f>
        <v>1</v>
      </c>
    </row>
    <row r="64" spans="1:12" x14ac:dyDescent="0.3">
      <c r="A64" t="s">
        <v>257</v>
      </c>
      <c r="B64" t="s">
        <v>51</v>
      </c>
      <c r="C64" t="s">
        <v>258</v>
      </c>
      <c r="D64" t="s">
        <v>164</v>
      </c>
      <c r="E64" t="s">
        <v>128</v>
      </c>
      <c r="F64">
        <v>0</v>
      </c>
      <c r="G64">
        <v>62</v>
      </c>
      <c r="H64">
        <f>IF(Table1[[#This Row],[my_ent_1]]=Table1[[#This Row],[their_ent_1]], 1, 0)</f>
        <v>0</v>
      </c>
      <c r="I64">
        <f>IF(Table1[[#This Row],[my_ent_2]]=Table1[[#This Row],[their_ent_2]], 1, 0)</f>
        <v>0</v>
      </c>
      <c r="J64">
        <f>IF(Table1[[#This Row],[same_1]]=1 &amp; Table1[[#This Row],[same_2]]=1, 1, 0)</f>
        <v>0</v>
      </c>
      <c r="K64">
        <f>IF(ISNUMBER(SEARCH(Table1[[#This Row],[their_ent_1]],Table1[[#This Row],[my_ent_1]])), 1, 0)</f>
        <v>0</v>
      </c>
      <c r="L64">
        <f>IF(ISNUMBER(SEARCH(Table1[[#This Row],[their_ent_2]],Table1[[#This Row],[my_ent_2]])), 1, 0)</f>
        <v>0</v>
      </c>
    </row>
    <row r="65" spans="1:12" x14ac:dyDescent="0.3">
      <c r="A65" t="s">
        <v>259</v>
      </c>
      <c r="B65" t="s">
        <v>260</v>
      </c>
      <c r="C65" t="s">
        <v>140</v>
      </c>
      <c r="D65" t="s">
        <v>127</v>
      </c>
      <c r="E65" t="s">
        <v>127</v>
      </c>
      <c r="F65">
        <v>0</v>
      </c>
      <c r="G65">
        <v>63</v>
      </c>
      <c r="H65">
        <f>IF(Table1[[#This Row],[my_ent_1]]=Table1[[#This Row],[their_ent_1]], 1, 0)</f>
        <v>0</v>
      </c>
      <c r="I65">
        <f>IF(Table1[[#This Row],[my_ent_2]]=Table1[[#This Row],[their_ent_2]], 1, 0)</f>
        <v>1</v>
      </c>
      <c r="J65">
        <f>IF(Table1[[#This Row],[same_1]]=1 &amp; Table1[[#This Row],[same_2]]=1, 1, 0)</f>
        <v>0</v>
      </c>
      <c r="K65">
        <f>IF(ISNUMBER(SEARCH(Table1[[#This Row],[their_ent_1]],Table1[[#This Row],[my_ent_1]])), 1, 0)</f>
        <v>0</v>
      </c>
      <c r="L65">
        <f>IF(ISNUMBER(SEARCH(Table1[[#This Row],[their_ent_2]],Table1[[#This Row],[my_ent_2]])), 1, 0)</f>
        <v>1</v>
      </c>
    </row>
    <row r="66" spans="1:12" x14ac:dyDescent="0.3">
      <c r="A66" t="s">
        <v>261</v>
      </c>
      <c r="B66" t="s">
        <v>262</v>
      </c>
      <c r="C66" t="s">
        <v>262</v>
      </c>
      <c r="D66" t="s">
        <v>263</v>
      </c>
      <c r="E66" t="s">
        <v>264</v>
      </c>
      <c r="F66">
        <v>0</v>
      </c>
      <c r="G66">
        <v>64</v>
      </c>
      <c r="H66">
        <f>IF(Table1[[#This Row],[my_ent_1]]=Table1[[#This Row],[their_ent_1]], 1, 0)</f>
        <v>1</v>
      </c>
      <c r="I66">
        <f>IF(Table1[[#This Row],[my_ent_2]]=Table1[[#This Row],[their_ent_2]], 1, 0)</f>
        <v>0</v>
      </c>
      <c r="J66">
        <f>IF(Table1[[#This Row],[same_1]]=1 &amp; Table1[[#This Row],[same_2]]=1, 1, 0)</f>
        <v>0</v>
      </c>
      <c r="K66">
        <f>IF(ISNUMBER(SEARCH(Table1[[#This Row],[their_ent_1]],Table1[[#This Row],[my_ent_1]])), 1, 0)</f>
        <v>1</v>
      </c>
      <c r="L66">
        <f>IF(ISNUMBER(SEARCH(Table1[[#This Row],[their_ent_2]],Table1[[#This Row],[my_ent_2]])), 1, 0)</f>
        <v>0</v>
      </c>
    </row>
    <row r="67" spans="1:12" x14ac:dyDescent="0.3">
      <c r="A67" t="s">
        <v>265</v>
      </c>
      <c r="B67" t="s">
        <v>266</v>
      </c>
      <c r="C67" t="s">
        <v>266</v>
      </c>
      <c r="D67" t="s">
        <v>267</v>
      </c>
      <c r="E67" t="s">
        <v>268</v>
      </c>
      <c r="F67">
        <v>0</v>
      </c>
      <c r="G67">
        <v>65</v>
      </c>
      <c r="H67">
        <f>IF(Table1[[#This Row],[my_ent_1]]=Table1[[#This Row],[their_ent_1]], 1, 0)</f>
        <v>1</v>
      </c>
      <c r="I67">
        <f>IF(Table1[[#This Row],[my_ent_2]]=Table1[[#This Row],[their_ent_2]], 1, 0)</f>
        <v>0</v>
      </c>
      <c r="J67">
        <f>IF(Table1[[#This Row],[same_1]]=1 &amp; Table1[[#This Row],[same_2]]=1, 1, 0)</f>
        <v>0</v>
      </c>
      <c r="K67">
        <f>IF(ISNUMBER(SEARCH(Table1[[#This Row],[their_ent_1]],Table1[[#This Row],[my_ent_1]])), 1, 0)</f>
        <v>1</v>
      </c>
      <c r="L67">
        <f>IF(ISNUMBER(SEARCH(Table1[[#This Row],[their_ent_2]],Table1[[#This Row],[my_ent_2]])), 1, 0)</f>
        <v>1</v>
      </c>
    </row>
    <row r="68" spans="1:12" x14ac:dyDescent="0.3">
      <c r="A68" t="s">
        <v>269</v>
      </c>
      <c r="B68" t="s">
        <v>270</v>
      </c>
      <c r="C68" t="s">
        <v>271</v>
      </c>
      <c r="D68" t="s">
        <v>272</v>
      </c>
      <c r="E68" t="s">
        <v>273</v>
      </c>
      <c r="F68">
        <v>0</v>
      </c>
      <c r="G68">
        <v>66</v>
      </c>
      <c r="H68">
        <f>IF(Table1[[#This Row],[my_ent_1]]=Table1[[#This Row],[their_ent_1]], 1, 0)</f>
        <v>0</v>
      </c>
      <c r="I68">
        <f>IF(Table1[[#This Row],[my_ent_2]]=Table1[[#This Row],[their_ent_2]], 1, 0)</f>
        <v>0</v>
      </c>
      <c r="J68">
        <f>IF(Table1[[#This Row],[same_1]]=1 &amp; Table1[[#This Row],[same_2]]=1, 1, 0)</f>
        <v>0</v>
      </c>
      <c r="K68">
        <f>IF(ISNUMBER(SEARCH(Table1[[#This Row],[their_ent_1]],Table1[[#This Row],[my_ent_1]])), 1, 0)</f>
        <v>0</v>
      </c>
      <c r="L68">
        <f>IF(ISNUMBER(SEARCH(Table1[[#This Row],[their_ent_2]],Table1[[#This Row],[my_ent_2]])), 1, 0)</f>
        <v>0</v>
      </c>
    </row>
    <row r="69" spans="1:12" x14ac:dyDescent="0.3">
      <c r="A69" t="s">
        <v>274</v>
      </c>
      <c r="B69" t="s">
        <v>275</v>
      </c>
      <c r="C69" t="s">
        <v>275</v>
      </c>
      <c r="D69" t="s">
        <v>276</v>
      </c>
      <c r="E69" t="s">
        <v>277</v>
      </c>
      <c r="F69">
        <v>0</v>
      </c>
      <c r="G69">
        <v>67</v>
      </c>
      <c r="H69">
        <f>IF(Table1[[#This Row],[my_ent_1]]=Table1[[#This Row],[their_ent_1]], 1, 0)</f>
        <v>1</v>
      </c>
      <c r="I69">
        <f>IF(Table1[[#This Row],[my_ent_2]]=Table1[[#This Row],[their_ent_2]], 1, 0)</f>
        <v>0</v>
      </c>
      <c r="J69">
        <f>IF(Table1[[#This Row],[same_1]]=1 &amp; Table1[[#This Row],[same_2]]=1, 1, 0)</f>
        <v>0</v>
      </c>
      <c r="K69">
        <f>IF(ISNUMBER(SEARCH(Table1[[#This Row],[their_ent_1]],Table1[[#This Row],[my_ent_1]])), 1, 0)</f>
        <v>1</v>
      </c>
      <c r="L69">
        <f>IF(ISNUMBER(SEARCH(Table1[[#This Row],[their_ent_2]],Table1[[#This Row],[my_ent_2]])), 1, 0)</f>
        <v>0</v>
      </c>
    </row>
    <row r="70" spans="1:12" x14ac:dyDescent="0.3">
      <c r="A70" t="s">
        <v>278</v>
      </c>
      <c r="B70" t="s">
        <v>279</v>
      </c>
      <c r="C70" t="s">
        <v>280</v>
      </c>
      <c r="D70" t="s">
        <v>281</v>
      </c>
      <c r="E70" t="s">
        <v>282</v>
      </c>
      <c r="F70">
        <v>0</v>
      </c>
      <c r="G70">
        <v>68</v>
      </c>
      <c r="H70">
        <f>IF(Table1[[#This Row],[my_ent_1]]=Table1[[#This Row],[their_ent_1]], 1, 0)</f>
        <v>0</v>
      </c>
      <c r="I70">
        <f>IF(Table1[[#This Row],[my_ent_2]]=Table1[[#This Row],[their_ent_2]], 1, 0)</f>
        <v>0</v>
      </c>
      <c r="J70">
        <f>IF(Table1[[#This Row],[same_1]]=1 &amp; Table1[[#This Row],[same_2]]=1, 1, 0)</f>
        <v>0</v>
      </c>
      <c r="K70">
        <f>IF(ISNUMBER(SEARCH(Table1[[#This Row],[their_ent_1]],Table1[[#This Row],[my_ent_1]])), 1, 0)</f>
        <v>0</v>
      </c>
      <c r="L70">
        <f>IF(ISNUMBER(SEARCH(Table1[[#This Row],[their_ent_2]],Table1[[#This Row],[my_ent_2]])), 1, 0)</f>
        <v>0</v>
      </c>
    </row>
    <row r="71" spans="1:12" x14ac:dyDescent="0.3">
      <c r="A71" t="s">
        <v>283</v>
      </c>
      <c r="B71" t="s">
        <v>284</v>
      </c>
      <c r="C71" t="s">
        <v>68</v>
      </c>
      <c r="D71" t="s">
        <v>285</v>
      </c>
      <c r="E71" t="s">
        <v>286</v>
      </c>
      <c r="F71">
        <v>0</v>
      </c>
      <c r="G71">
        <v>69</v>
      </c>
      <c r="H71">
        <f>IF(Table1[[#This Row],[my_ent_1]]=Table1[[#This Row],[their_ent_1]], 1, 0)</f>
        <v>0</v>
      </c>
      <c r="I71">
        <f>IF(Table1[[#This Row],[my_ent_2]]=Table1[[#This Row],[their_ent_2]], 1, 0)</f>
        <v>0</v>
      </c>
      <c r="J71">
        <f>IF(Table1[[#This Row],[same_1]]=1 &amp; Table1[[#This Row],[same_2]]=1, 1, 0)</f>
        <v>0</v>
      </c>
      <c r="K71">
        <f>IF(ISNUMBER(SEARCH(Table1[[#This Row],[their_ent_1]],Table1[[#This Row],[my_ent_1]])), 1, 0)</f>
        <v>0</v>
      </c>
      <c r="L71">
        <f>IF(ISNUMBER(SEARCH(Table1[[#This Row],[their_ent_2]],Table1[[#This Row],[my_ent_2]])), 1, 0)</f>
        <v>0</v>
      </c>
    </row>
    <row r="72" spans="1:12" x14ac:dyDescent="0.3">
      <c r="A72" t="s">
        <v>287</v>
      </c>
      <c r="B72" t="s">
        <v>288</v>
      </c>
      <c r="C72" t="s">
        <v>289</v>
      </c>
      <c r="D72" t="s">
        <v>20</v>
      </c>
      <c r="E72" t="s">
        <v>288</v>
      </c>
      <c r="F72">
        <v>0</v>
      </c>
      <c r="G72">
        <v>70</v>
      </c>
      <c r="H72">
        <f>IF(Table1[[#This Row],[my_ent_1]]=Table1[[#This Row],[their_ent_1]], 1, 0)</f>
        <v>0</v>
      </c>
      <c r="I72">
        <f>IF(Table1[[#This Row],[my_ent_2]]=Table1[[#This Row],[their_ent_2]], 1, 0)</f>
        <v>0</v>
      </c>
      <c r="J72">
        <f>IF(Table1[[#This Row],[same_1]]=1 &amp; Table1[[#This Row],[same_2]]=1, 1, 0)</f>
        <v>0</v>
      </c>
      <c r="K72">
        <f>IF(ISNUMBER(SEARCH(Table1[[#This Row],[their_ent_1]],Table1[[#This Row],[my_ent_1]])), 1, 0)</f>
        <v>0</v>
      </c>
      <c r="L72">
        <f>IF(ISNUMBER(SEARCH(Table1[[#This Row],[their_ent_2]],Table1[[#This Row],[my_ent_2]])), 1, 0)</f>
        <v>0</v>
      </c>
    </row>
    <row r="73" spans="1:12" x14ac:dyDescent="0.3">
      <c r="A73" t="s">
        <v>290</v>
      </c>
      <c r="B73" t="s">
        <v>291</v>
      </c>
      <c r="C73" t="s">
        <v>291</v>
      </c>
      <c r="D73" t="s">
        <v>292</v>
      </c>
      <c r="E73" t="s">
        <v>293</v>
      </c>
      <c r="F73">
        <v>0</v>
      </c>
      <c r="G73">
        <v>71</v>
      </c>
      <c r="H73">
        <f>IF(Table1[[#This Row],[my_ent_1]]=Table1[[#This Row],[their_ent_1]], 1, 0)</f>
        <v>1</v>
      </c>
      <c r="I73">
        <f>IF(Table1[[#This Row],[my_ent_2]]=Table1[[#This Row],[their_ent_2]], 1, 0)</f>
        <v>0</v>
      </c>
      <c r="J73">
        <f>IF(Table1[[#This Row],[same_1]]=1 &amp; Table1[[#This Row],[same_2]]=1, 1, 0)</f>
        <v>0</v>
      </c>
      <c r="K73">
        <f>IF(ISNUMBER(SEARCH(Table1[[#This Row],[their_ent_1]],Table1[[#This Row],[my_ent_1]])), 1, 0)</f>
        <v>1</v>
      </c>
      <c r="L73">
        <f>IF(ISNUMBER(SEARCH(Table1[[#This Row],[their_ent_2]],Table1[[#This Row],[my_ent_2]])), 1, 0)</f>
        <v>0</v>
      </c>
    </row>
    <row r="74" spans="1:12" x14ac:dyDescent="0.3">
      <c r="A74" t="s">
        <v>294</v>
      </c>
      <c r="B74" t="s">
        <v>295</v>
      </c>
      <c r="C74" t="s">
        <v>296</v>
      </c>
      <c r="D74" t="s">
        <v>297</v>
      </c>
      <c r="E74" t="s">
        <v>297</v>
      </c>
      <c r="F74">
        <v>0</v>
      </c>
      <c r="G74">
        <v>72</v>
      </c>
      <c r="H74">
        <f>IF(Table1[[#This Row],[my_ent_1]]=Table1[[#This Row],[their_ent_1]], 1, 0)</f>
        <v>0</v>
      </c>
      <c r="I74">
        <f>IF(Table1[[#This Row],[my_ent_2]]=Table1[[#This Row],[their_ent_2]], 1, 0)</f>
        <v>1</v>
      </c>
      <c r="J74">
        <f>IF(Table1[[#This Row],[same_1]]=1 &amp; Table1[[#This Row],[same_2]]=1, 1, 0)</f>
        <v>0</v>
      </c>
      <c r="K74">
        <f>IF(ISNUMBER(SEARCH(Table1[[#This Row],[their_ent_1]],Table1[[#This Row],[my_ent_1]])), 1, 0)</f>
        <v>0</v>
      </c>
      <c r="L74">
        <f>IF(ISNUMBER(SEARCH(Table1[[#This Row],[their_ent_2]],Table1[[#This Row],[my_ent_2]])), 1, 0)</f>
        <v>1</v>
      </c>
    </row>
    <row r="75" spans="1:12" x14ac:dyDescent="0.3">
      <c r="A75" t="s">
        <v>298</v>
      </c>
      <c r="B75" t="s">
        <v>299</v>
      </c>
      <c r="C75" t="s">
        <v>300</v>
      </c>
      <c r="D75" t="s">
        <v>301</v>
      </c>
      <c r="E75" t="s">
        <v>302</v>
      </c>
      <c r="F75">
        <v>0</v>
      </c>
      <c r="G75">
        <v>73</v>
      </c>
      <c r="H75">
        <f>IF(Table1[[#This Row],[my_ent_1]]=Table1[[#This Row],[their_ent_1]], 1, 0)</f>
        <v>0</v>
      </c>
      <c r="I75">
        <f>IF(Table1[[#This Row],[my_ent_2]]=Table1[[#This Row],[their_ent_2]], 1, 0)</f>
        <v>0</v>
      </c>
      <c r="J75">
        <f>IF(Table1[[#This Row],[same_1]]=1 &amp; Table1[[#This Row],[same_2]]=1, 1, 0)</f>
        <v>0</v>
      </c>
      <c r="K75">
        <f>IF(ISNUMBER(SEARCH(Table1[[#This Row],[their_ent_1]],Table1[[#This Row],[my_ent_1]])), 1, 0)</f>
        <v>0</v>
      </c>
      <c r="L75">
        <f>IF(ISNUMBER(SEARCH(Table1[[#This Row],[their_ent_2]],Table1[[#This Row],[my_ent_2]])), 1, 0)</f>
        <v>0</v>
      </c>
    </row>
    <row r="76" spans="1:12" x14ac:dyDescent="0.3">
      <c r="A76" t="s">
        <v>303</v>
      </c>
      <c r="B76" t="s">
        <v>304</v>
      </c>
      <c r="C76" t="s">
        <v>304</v>
      </c>
      <c r="D76" t="s">
        <v>305</v>
      </c>
      <c r="E76" t="s">
        <v>198</v>
      </c>
      <c r="F76">
        <v>0</v>
      </c>
      <c r="G76">
        <v>74</v>
      </c>
      <c r="H76">
        <f>IF(Table1[[#This Row],[my_ent_1]]=Table1[[#This Row],[their_ent_1]], 1, 0)</f>
        <v>1</v>
      </c>
      <c r="I76">
        <f>IF(Table1[[#This Row],[my_ent_2]]=Table1[[#This Row],[their_ent_2]], 1, 0)</f>
        <v>0</v>
      </c>
      <c r="J76">
        <f>IF(Table1[[#This Row],[same_1]]=1 &amp; Table1[[#This Row],[same_2]]=1, 1, 0)</f>
        <v>0</v>
      </c>
      <c r="K76">
        <f>IF(ISNUMBER(SEARCH(Table1[[#This Row],[their_ent_1]],Table1[[#This Row],[my_ent_1]])), 1, 0)</f>
        <v>1</v>
      </c>
      <c r="L76">
        <f>IF(ISNUMBER(SEARCH(Table1[[#This Row],[their_ent_2]],Table1[[#This Row],[my_ent_2]])), 1, 0)</f>
        <v>0</v>
      </c>
    </row>
    <row r="77" spans="1:12" x14ac:dyDescent="0.3">
      <c r="A77" t="s">
        <v>306</v>
      </c>
      <c r="B77" t="s">
        <v>307</v>
      </c>
      <c r="C77" t="s">
        <v>308</v>
      </c>
      <c r="D77" t="s">
        <v>309</v>
      </c>
      <c r="E77" t="s">
        <v>310</v>
      </c>
      <c r="F77">
        <v>0</v>
      </c>
      <c r="G77">
        <v>75</v>
      </c>
      <c r="H77">
        <f>IF(Table1[[#This Row],[my_ent_1]]=Table1[[#This Row],[their_ent_1]], 1, 0)</f>
        <v>0</v>
      </c>
      <c r="I77">
        <f>IF(Table1[[#This Row],[my_ent_2]]=Table1[[#This Row],[their_ent_2]], 1, 0)</f>
        <v>0</v>
      </c>
      <c r="J77">
        <f>IF(Table1[[#This Row],[same_1]]=1 &amp; Table1[[#This Row],[same_2]]=1, 1, 0)</f>
        <v>0</v>
      </c>
      <c r="K77">
        <f>IF(ISNUMBER(SEARCH(Table1[[#This Row],[their_ent_1]],Table1[[#This Row],[my_ent_1]])), 1, 0)</f>
        <v>0</v>
      </c>
      <c r="L77">
        <f>IF(ISNUMBER(SEARCH(Table1[[#This Row],[their_ent_2]],Table1[[#This Row],[my_ent_2]])), 1, 0)</f>
        <v>0</v>
      </c>
    </row>
    <row r="78" spans="1:12" x14ac:dyDescent="0.3">
      <c r="A78" t="s">
        <v>311</v>
      </c>
      <c r="B78" t="s">
        <v>202</v>
      </c>
      <c r="C78" t="s">
        <v>312</v>
      </c>
      <c r="D78" t="s">
        <v>78</v>
      </c>
      <c r="E78" t="s">
        <v>313</v>
      </c>
      <c r="F78">
        <v>0</v>
      </c>
      <c r="G78">
        <v>76</v>
      </c>
      <c r="H78">
        <f>IF(Table1[[#This Row],[my_ent_1]]=Table1[[#This Row],[their_ent_1]], 1, 0)</f>
        <v>0</v>
      </c>
      <c r="I78">
        <f>IF(Table1[[#This Row],[my_ent_2]]=Table1[[#This Row],[their_ent_2]], 1, 0)</f>
        <v>0</v>
      </c>
      <c r="J78">
        <f>IF(Table1[[#This Row],[same_1]]=1 &amp; Table1[[#This Row],[same_2]]=1, 1, 0)</f>
        <v>0</v>
      </c>
      <c r="K78">
        <f>IF(ISNUMBER(SEARCH(Table1[[#This Row],[their_ent_1]],Table1[[#This Row],[my_ent_1]])), 1, 0)</f>
        <v>0</v>
      </c>
      <c r="L78">
        <f>IF(ISNUMBER(SEARCH(Table1[[#This Row],[their_ent_2]],Table1[[#This Row],[my_ent_2]])), 1, 0)</f>
        <v>0</v>
      </c>
    </row>
    <row r="79" spans="1:12" x14ac:dyDescent="0.3">
      <c r="A79" t="s">
        <v>314</v>
      </c>
      <c r="B79" t="s">
        <v>315</v>
      </c>
      <c r="C79" t="s">
        <v>315</v>
      </c>
      <c r="D79" t="s">
        <v>316</v>
      </c>
      <c r="E79" t="s">
        <v>275</v>
      </c>
      <c r="F79">
        <v>0</v>
      </c>
      <c r="G79">
        <v>77</v>
      </c>
      <c r="H79">
        <f>IF(Table1[[#This Row],[my_ent_1]]=Table1[[#This Row],[their_ent_1]], 1, 0)</f>
        <v>1</v>
      </c>
      <c r="I79">
        <f>IF(Table1[[#This Row],[my_ent_2]]=Table1[[#This Row],[their_ent_2]], 1, 0)</f>
        <v>0</v>
      </c>
      <c r="J79">
        <f>IF(Table1[[#This Row],[same_1]]=1 &amp; Table1[[#This Row],[same_2]]=1, 1, 0)</f>
        <v>0</v>
      </c>
      <c r="K79">
        <f>IF(ISNUMBER(SEARCH(Table1[[#This Row],[their_ent_1]],Table1[[#This Row],[my_ent_1]])), 1, 0)</f>
        <v>1</v>
      </c>
      <c r="L79">
        <f>IF(ISNUMBER(SEARCH(Table1[[#This Row],[their_ent_2]],Table1[[#This Row],[my_ent_2]])), 1, 0)</f>
        <v>0</v>
      </c>
    </row>
    <row r="80" spans="1:12" x14ac:dyDescent="0.3">
      <c r="A80" t="s">
        <v>317</v>
      </c>
      <c r="B80" t="s">
        <v>318</v>
      </c>
      <c r="C80" t="s">
        <v>319</v>
      </c>
      <c r="D80" t="s">
        <v>320</v>
      </c>
      <c r="E80" t="s">
        <v>321</v>
      </c>
      <c r="F80">
        <v>0</v>
      </c>
      <c r="G80">
        <v>78</v>
      </c>
      <c r="H80">
        <f>IF(Table1[[#This Row],[my_ent_1]]=Table1[[#This Row],[their_ent_1]], 1, 0)</f>
        <v>0</v>
      </c>
      <c r="I80">
        <f>IF(Table1[[#This Row],[my_ent_2]]=Table1[[#This Row],[their_ent_2]], 1, 0)</f>
        <v>0</v>
      </c>
      <c r="J80">
        <f>IF(Table1[[#This Row],[same_1]]=1 &amp; Table1[[#This Row],[same_2]]=1, 1, 0)</f>
        <v>0</v>
      </c>
      <c r="K80">
        <f>IF(ISNUMBER(SEARCH(Table1[[#This Row],[their_ent_1]],Table1[[#This Row],[my_ent_1]])), 1, 0)</f>
        <v>1</v>
      </c>
      <c r="L80">
        <f>IF(ISNUMBER(SEARCH(Table1[[#This Row],[their_ent_2]],Table1[[#This Row],[my_ent_2]])), 1, 0)</f>
        <v>0</v>
      </c>
    </row>
    <row r="81" spans="1:12" x14ac:dyDescent="0.3">
      <c r="A81" t="s">
        <v>322</v>
      </c>
      <c r="B81" t="s">
        <v>323</v>
      </c>
      <c r="C81" t="s">
        <v>324</v>
      </c>
      <c r="D81" t="s">
        <v>325</v>
      </c>
      <c r="E81" t="s">
        <v>325</v>
      </c>
      <c r="F81">
        <v>0</v>
      </c>
      <c r="G81">
        <v>79</v>
      </c>
      <c r="H81">
        <f>IF(Table1[[#This Row],[my_ent_1]]=Table1[[#This Row],[their_ent_1]], 1, 0)</f>
        <v>0</v>
      </c>
      <c r="I81">
        <f>IF(Table1[[#This Row],[my_ent_2]]=Table1[[#This Row],[their_ent_2]], 1, 0)</f>
        <v>1</v>
      </c>
      <c r="J81">
        <f>IF(Table1[[#This Row],[same_1]]=1 &amp; Table1[[#This Row],[same_2]]=1, 1, 0)</f>
        <v>0</v>
      </c>
      <c r="K81">
        <f>IF(ISNUMBER(SEARCH(Table1[[#This Row],[their_ent_1]],Table1[[#This Row],[my_ent_1]])), 1, 0)</f>
        <v>1</v>
      </c>
      <c r="L81">
        <f>IF(ISNUMBER(SEARCH(Table1[[#This Row],[their_ent_2]],Table1[[#This Row],[my_ent_2]])), 1, 0)</f>
        <v>1</v>
      </c>
    </row>
    <row r="82" spans="1:12" x14ac:dyDescent="0.3">
      <c r="A82" t="s">
        <v>326</v>
      </c>
      <c r="B82" t="s">
        <v>327</v>
      </c>
      <c r="C82" t="s">
        <v>327</v>
      </c>
      <c r="D82" t="s">
        <v>328</v>
      </c>
      <c r="E82" t="s">
        <v>329</v>
      </c>
      <c r="F82">
        <v>0</v>
      </c>
      <c r="G82">
        <v>80</v>
      </c>
      <c r="H82">
        <f>IF(Table1[[#This Row],[my_ent_1]]=Table1[[#This Row],[their_ent_1]], 1, 0)</f>
        <v>1</v>
      </c>
      <c r="I82">
        <f>IF(Table1[[#This Row],[my_ent_2]]=Table1[[#This Row],[their_ent_2]], 1, 0)</f>
        <v>0</v>
      </c>
      <c r="J82">
        <f>IF(Table1[[#This Row],[same_1]]=1 &amp; Table1[[#This Row],[same_2]]=1, 1, 0)</f>
        <v>0</v>
      </c>
      <c r="K82">
        <f>IF(ISNUMBER(SEARCH(Table1[[#This Row],[their_ent_1]],Table1[[#This Row],[my_ent_1]])), 1, 0)</f>
        <v>1</v>
      </c>
      <c r="L82">
        <f>IF(ISNUMBER(SEARCH(Table1[[#This Row],[their_ent_2]],Table1[[#This Row],[my_ent_2]])), 1, 0)</f>
        <v>1</v>
      </c>
    </row>
    <row r="83" spans="1:12" x14ac:dyDescent="0.3">
      <c r="A83" t="s">
        <v>330</v>
      </c>
      <c r="B83" t="s">
        <v>142</v>
      </c>
      <c r="C83" t="s">
        <v>143</v>
      </c>
      <c r="D83" t="s">
        <v>104</v>
      </c>
      <c r="E83" t="s">
        <v>104</v>
      </c>
      <c r="F83">
        <v>0</v>
      </c>
      <c r="G83">
        <v>81</v>
      </c>
      <c r="H83">
        <f>IF(Table1[[#This Row],[my_ent_1]]=Table1[[#This Row],[their_ent_1]], 1, 0)</f>
        <v>0</v>
      </c>
      <c r="I83">
        <f>IF(Table1[[#This Row],[my_ent_2]]=Table1[[#This Row],[their_ent_2]], 1, 0)</f>
        <v>1</v>
      </c>
      <c r="J83">
        <f>IF(Table1[[#This Row],[same_1]]=1 &amp; Table1[[#This Row],[same_2]]=1, 1, 0)</f>
        <v>0</v>
      </c>
      <c r="K83">
        <f>IF(ISNUMBER(SEARCH(Table1[[#This Row],[their_ent_1]],Table1[[#This Row],[my_ent_1]])), 1, 0)</f>
        <v>0</v>
      </c>
      <c r="L83">
        <f>IF(ISNUMBER(SEARCH(Table1[[#This Row],[their_ent_2]],Table1[[#This Row],[my_ent_2]])), 1, 0)</f>
        <v>1</v>
      </c>
    </row>
    <row r="84" spans="1:12" x14ac:dyDescent="0.3">
      <c r="A84" t="s">
        <v>331</v>
      </c>
      <c r="B84" t="s">
        <v>332</v>
      </c>
      <c r="C84" t="s">
        <v>333</v>
      </c>
      <c r="D84" t="s">
        <v>334</v>
      </c>
      <c r="E84" t="s">
        <v>335</v>
      </c>
      <c r="F84">
        <v>0</v>
      </c>
      <c r="G84">
        <v>82</v>
      </c>
      <c r="H84">
        <f>IF(Table1[[#This Row],[my_ent_1]]=Table1[[#This Row],[their_ent_1]], 1, 0)</f>
        <v>0</v>
      </c>
      <c r="I84">
        <f>IF(Table1[[#This Row],[my_ent_2]]=Table1[[#This Row],[their_ent_2]], 1, 0)</f>
        <v>0</v>
      </c>
      <c r="J84">
        <f>IF(Table1[[#This Row],[same_1]]=1 &amp; Table1[[#This Row],[same_2]]=1, 1, 0)</f>
        <v>0</v>
      </c>
      <c r="K84">
        <f>IF(ISNUMBER(SEARCH(Table1[[#This Row],[their_ent_1]],Table1[[#This Row],[my_ent_1]])), 1, 0)</f>
        <v>0</v>
      </c>
      <c r="L84">
        <f>IF(ISNUMBER(SEARCH(Table1[[#This Row],[their_ent_2]],Table1[[#This Row],[my_ent_2]])), 1, 0)</f>
        <v>0</v>
      </c>
    </row>
    <row r="85" spans="1:12" x14ac:dyDescent="0.3">
      <c r="A85" t="s">
        <v>336</v>
      </c>
      <c r="B85" t="s">
        <v>120</v>
      </c>
      <c r="C85" t="s">
        <v>337</v>
      </c>
      <c r="D85" t="s">
        <v>337</v>
      </c>
      <c r="E85" t="s">
        <v>338</v>
      </c>
      <c r="F85">
        <v>0</v>
      </c>
      <c r="G85">
        <v>83</v>
      </c>
      <c r="H85">
        <f>IF(Table1[[#This Row],[my_ent_1]]=Table1[[#This Row],[their_ent_1]], 1, 0)</f>
        <v>0</v>
      </c>
      <c r="I85">
        <f>IF(Table1[[#This Row],[my_ent_2]]=Table1[[#This Row],[their_ent_2]], 1, 0)</f>
        <v>0</v>
      </c>
      <c r="J85">
        <f>IF(Table1[[#This Row],[same_1]]=1 &amp; Table1[[#This Row],[same_2]]=1, 1, 0)</f>
        <v>0</v>
      </c>
      <c r="K85">
        <f>IF(ISNUMBER(SEARCH(Table1[[#This Row],[their_ent_1]],Table1[[#This Row],[my_ent_1]])), 1, 0)</f>
        <v>0</v>
      </c>
      <c r="L85">
        <f>IF(ISNUMBER(SEARCH(Table1[[#This Row],[their_ent_2]],Table1[[#This Row],[my_ent_2]])), 1, 0)</f>
        <v>0</v>
      </c>
    </row>
    <row r="86" spans="1:12" x14ac:dyDescent="0.3">
      <c r="A86" t="s">
        <v>339</v>
      </c>
      <c r="B86" t="s">
        <v>340</v>
      </c>
      <c r="C86" t="s">
        <v>341</v>
      </c>
      <c r="D86" t="s">
        <v>342</v>
      </c>
      <c r="E86" t="s">
        <v>343</v>
      </c>
      <c r="F86">
        <v>0</v>
      </c>
      <c r="G86">
        <v>84</v>
      </c>
      <c r="H86">
        <f>IF(Table1[[#This Row],[my_ent_1]]=Table1[[#This Row],[their_ent_1]], 1, 0)</f>
        <v>0</v>
      </c>
      <c r="I86">
        <f>IF(Table1[[#This Row],[my_ent_2]]=Table1[[#This Row],[their_ent_2]], 1, 0)</f>
        <v>0</v>
      </c>
      <c r="J86">
        <f>IF(Table1[[#This Row],[same_1]]=1 &amp; Table1[[#This Row],[same_2]]=1, 1, 0)</f>
        <v>0</v>
      </c>
      <c r="K86">
        <f>IF(ISNUMBER(SEARCH(Table1[[#This Row],[their_ent_1]],Table1[[#This Row],[my_ent_1]])), 1, 0)</f>
        <v>0</v>
      </c>
      <c r="L86">
        <f>IF(ISNUMBER(SEARCH(Table1[[#This Row],[their_ent_2]],Table1[[#This Row],[my_ent_2]])), 1, 0)</f>
        <v>1</v>
      </c>
    </row>
    <row r="87" spans="1:12" x14ac:dyDescent="0.3">
      <c r="A87" t="s">
        <v>344</v>
      </c>
      <c r="B87" t="s">
        <v>345</v>
      </c>
      <c r="C87" t="s">
        <v>68</v>
      </c>
      <c r="D87" t="s">
        <v>59</v>
      </c>
      <c r="E87" t="s">
        <v>345</v>
      </c>
      <c r="F87">
        <v>0</v>
      </c>
      <c r="G87">
        <v>85</v>
      </c>
      <c r="H87">
        <f>IF(Table1[[#This Row],[my_ent_1]]=Table1[[#This Row],[their_ent_1]], 1, 0)</f>
        <v>0</v>
      </c>
      <c r="I87">
        <f>IF(Table1[[#This Row],[my_ent_2]]=Table1[[#This Row],[their_ent_2]], 1, 0)</f>
        <v>0</v>
      </c>
      <c r="J87">
        <f>IF(Table1[[#This Row],[same_1]]=1 &amp; Table1[[#This Row],[same_2]]=1, 1, 0)</f>
        <v>0</v>
      </c>
      <c r="K87">
        <f>IF(ISNUMBER(SEARCH(Table1[[#This Row],[their_ent_1]],Table1[[#This Row],[my_ent_1]])), 1, 0)</f>
        <v>0</v>
      </c>
      <c r="L87">
        <f>IF(ISNUMBER(SEARCH(Table1[[#This Row],[their_ent_2]],Table1[[#This Row],[my_ent_2]])), 1, 0)</f>
        <v>0</v>
      </c>
    </row>
    <row r="88" spans="1:12" x14ac:dyDescent="0.3">
      <c r="A88" t="s">
        <v>346</v>
      </c>
      <c r="B88" t="s">
        <v>347</v>
      </c>
      <c r="C88" t="s">
        <v>79</v>
      </c>
      <c r="D88" t="s">
        <v>348</v>
      </c>
      <c r="E88" t="s">
        <v>349</v>
      </c>
      <c r="F88">
        <v>0</v>
      </c>
      <c r="G88">
        <v>86</v>
      </c>
      <c r="H88">
        <f>IF(Table1[[#This Row],[my_ent_1]]=Table1[[#This Row],[their_ent_1]], 1, 0)</f>
        <v>0</v>
      </c>
      <c r="I88">
        <f>IF(Table1[[#This Row],[my_ent_2]]=Table1[[#This Row],[their_ent_2]], 1, 0)</f>
        <v>0</v>
      </c>
      <c r="J88">
        <f>IF(Table1[[#This Row],[same_1]]=1 &amp; Table1[[#This Row],[same_2]]=1, 1, 0)</f>
        <v>0</v>
      </c>
      <c r="K88">
        <f>IF(ISNUMBER(SEARCH(Table1[[#This Row],[their_ent_1]],Table1[[#This Row],[my_ent_1]])), 1, 0)</f>
        <v>0</v>
      </c>
      <c r="L88">
        <f>IF(ISNUMBER(SEARCH(Table1[[#This Row],[their_ent_2]],Table1[[#This Row],[my_ent_2]])), 1, 0)</f>
        <v>0</v>
      </c>
    </row>
    <row r="89" spans="1:12" x14ac:dyDescent="0.3">
      <c r="A89" t="s">
        <v>350</v>
      </c>
      <c r="B89" t="s">
        <v>351</v>
      </c>
      <c r="C89" t="s">
        <v>352</v>
      </c>
      <c r="D89" t="s">
        <v>353</v>
      </c>
      <c r="E89" t="s">
        <v>354</v>
      </c>
      <c r="F89">
        <v>0</v>
      </c>
      <c r="G89">
        <v>87</v>
      </c>
      <c r="H89">
        <f>IF(Table1[[#This Row],[my_ent_1]]=Table1[[#This Row],[their_ent_1]], 1, 0)</f>
        <v>0</v>
      </c>
      <c r="I89">
        <f>IF(Table1[[#This Row],[my_ent_2]]=Table1[[#This Row],[their_ent_2]], 1, 0)</f>
        <v>0</v>
      </c>
      <c r="J89">
        <f>IF(Table1[[#This Row],[same_1]]=1 &amp; Table1[[#This Row],[same_2]]=1, 1, 0)</f>
        <v>0</v>
      </c>
      <c r="K89">
        <f>IF(ISNUMBER(SEARCH(Table1[[#This Row],[their_ent_1]],Table1[[#This Row],[my_ent_1]])), 1, 0)</f>
        <v>1</v>
      </c>
      <c r="L89">
        <f>IF(ISNUMBER(SEARCH(Table1[[#This Row],[their_ent_2]],Table1[[#This Row],[my_ent_2]])), 1, 0)</f>
        <v>0</v>
      </c>
    </row>
    <row r="90" spans="1:12" x14ac:dyDescent="0.3">
      <c r="A90" t="s">
        <v>355</v>
      </c>
      <c r="B90" t="s">
        <v>356</v>
      </c>
      <c r="C90" t="s">
        <v>356</v>
      </c>
      <c r="D90" t="s">
        <v>357</v>
      </c>
      <c r="E90" t="s">
        <v>358</v>
      </c>
      <c r="F90">
        <v>0</v>
      </c>
      <c r="G90">
        <v>88</v>
      </c>
      <c r="H90">
        <f>IF(Table1[[#This Row],[my_ent_1]]=Table1[[#This Row],[their_ent_1]], 1, 0)</f>
        <v>1</v>
      </c>
      <c r="I90">
        <f>IF(Table1[[#This Row],[my_ent_2]]=Table1[[#This Row],[their_ent_2]], 1, 0)</f>
        <v>0</v>
      </c>
      <c r="J90">
        <f>IF(Table1[[#This Row],[same_1]]=1 &amp; Table1[[#This Row],[same_2]]=1, 1, 0)</f>
        <v>0</v>
      </c>
      <c r="K90">
        <f>IF(ISNUMBER(SEARCH(Table1[[#This Row],[their_ent_1]],Table1[[#This Row],[my_ent_1]])), 1, 0)</f>
        <v>1</v>
      </c>
      <c r="L90">
        <f>IF(ISNUMBER(SEARCH(Table1[[#This Row],[their_ent_2]],Table1[[#This Row],[my_ent_2]])), 1, 0)</f>
        <v>0</v>
      </c>
    </row>
    <row r="91" spans="1:12" x14ac:dyDescent="0.3">
      <c r="A91" t="s">
        <v>359</v>
      </c>
      <c r="B91" t="s">
        <v>360</v>
      </c>
      <c r="C91" t="s">
        <v>361</v>
      </c>
      <c r="D91" t="s">
        <v>362</v>
      </c>
      <c r="E91" t="s">
        <v>363</v>
      </c>
      <c r="F91">
        <v>0</v>
      </c>
      <c r="G91">
        <v>89</v>
      </c>
      <c r="H91">
        <f>IF(Table1[[#This Row],[my_ent_1]]=Table1[[#This Row],[their_ent_1]], 1, 0)</f>
        <v>0</v>
      </c>
      <c r="I91">
        <f>IF(Table1[[#This Row],[my_ent_2]]=Table1[[#This Row],[their_ent_2]], 1, 0)</f>
        <v>0</v>
      </c>
      <c r="J91">
        <f>IF(Table1[[#This Row],[same_1]]=1 &amp; Table1[[#This Row],[same_2]]=1, 1, 0)</f>
        <v>0</v>
      </c>
      <c r="K91">
        <f>IF(ISNUMBER(SEARCH(Table1[[#This Row],[their_ent_1]],Table1[[#This Row],[my_ent_1]])), 1, 0)</f>
        <v>1</v>
      </c>
      <c r="L91">
        <f>IF(ISNUMBER(SEARCH(Table1[[#This Row],[their_ent_2]],Table1[[#This Row],[my_ent_2]])), 1, 0)</f>
        <v>0</v>
      </c>
    </row>
    <row r="92" spans="1:12" x14ac:dyDescent="0.3">
      <c r="A92" t="s">
        <v>364</v>
      </c>
      <c r="B92" t="s">
        <v>365</v>
      </c>
      <c r="C92" t="s">
        <v>365</v>
      </c>
      <c r="D92" t="s">
        <v>366</v>
      </c>
      <c r="E92" t="s">
        <v>367</v>
      </c>
      <c r="F92">
        <v>0</v>
      </c>
      <c r="G92">
        <v>90</v>
      </c>
      <c r="H92">
        <f>IF(Table1[[#This Row],[my_ent_1]]=Table1[[#This Row],[their_ent_1]], 1, 0)</f>
        <v>1</v>
      </c>
      <c r="I92">
        <f>IF(Table1[[#This Row],[my_ent_2]]=Table1[[#This Row],[their_ent_2]], 1, 0)</f>
        <v>0</v>
      </c>
      <c r="J92">
        <f>IF(Table1[[#This Row],[same_1]]=1 &amp; Table1[[#This Row],[same_2]]=1, 1, 0)</f>
        <v>0</v>
      </c>
      <c r="K92">
        <f>IF(ISNUMBER(SEARCH(Table1[[#This Row],[their_ent_1]],Table1[[#This Row],[my_ent_1]])), 1, 0)</f>
        <v>1</v>
      </c>
      <c r="L92">
        <f>IF(ISNUMBER(SEARCH(Table1[[#This Row],[their_ent_2]],Table1[[#This Row],[my_ent_2]])), 1, 0)</f>
        <v>0</v>
      </c>
    </row>
    <row r="93" spans="1:12" x14ac:dyDescent="0.3">
      <c r="A93" t="s">
        <v>368</v>
      </c>
      <c r="B93" t="s">
        <v>369</v>
      </c>
      <c r="C93" t="s">
        <v>370</v>
      </c>
      <c r="D93" t="s">
        <v>371</v>
      </c>
      <c r="E93" t="s">
        <v>372</v>
      </c>
      <c r="F93">
        <v>0</v>
      </c>
      <c r="G93">
        <v>91</v>
      </c>
      <c r="H93">
        <f>IF(Table1[[#This Row],[my_ent_1]]=Table1[[#This Row],[their_ent_1]], 1, 0)</f>
        <v>0</v>
      </c>
      <c r="I93">
        <f>IF(Table1[[#This Row],[my_ent_2]]=Table1[[#This Row],[their_ent_2]], 1, 0)</f>
        <v>0</v>
      </c>
      <c r="J93">
        <f>IF(Table1[[#This Row],[same_1]]=1 &amp; Table1[[#This Row],[same_2]]=1, 1, 0)</f>
        <v>0</v>
      </c>
      <c r="K93">
        <f>IF(ISNUMBER(SEARCH(Table1[[#This Row],[their_ent_1]],Table1[[#This Row],[my_ent_1]])), 1, 0)</f>
        <v>1</v>
      </c>
      <c r="L93">
        <f>IF(ISNUMBER(SEARCH(Table1[[#This Row],[their_ent_2]],Table1[[#This Row],[my_ent_2]])), 1, 0)</f>
        <v>1</v>
      </c>
    </row>
    <row r="94" spans="1:12" x14ac:dyDescent="0.3">
      <c r="A94" t="s">
        <v>373</v>
      </c>
      <c r="B94" t="s">
        <v>374</v>
      </c>
      <c r="C94" t="s">
        <v>375</v>
      </c>
      <c r="D94" t="s">
        <v>376</v>
      </c>
      <c r="E94" t="s">
        <v>377</v>
      </c>
      <c r="F94">
        <v>0</v>
      </c>
      <c r="G94">
        <v>92</v>
      </c>
      <c r="H94">
        <f>IF(Table1[[#This Row],[my_ent_1]]=Table1[[#This Row],[their_ent_1]], 1, 0)</f>
        <v>0</v>
      </c>
      <c r="I94">
        <f>IF(Table1[[#This Row],[my_ent_2]]=Table1[[#This Row],[their_ent_2]], 1, 0)</f>
        <v>0</v>
      </c>
      <c r="J94">
        <f>IF(Table1[[#This Row],[same_1]]=1 &amp; Table1[[#This Row],[same_2]]=1, 1, 0)</f>
        <v>0</v>
      </c>
      <c r="K94">
        <f>IF(ISNUMBER(SEARCH(Table1[[#This Row],[their_ent_1]],Table1[[#This Row],[my_ent_1]])), 1, 0)</f>
        <v>0</v>
      </c>
      <c r="L94">
        <f>IF(ISNUMBER(SEARCH(Table1[[#This Row],[their_ent_2]],Table1[[#This Row],[my_ent_2]])), 1, 0)</f>
        <v>0</v>
      </c>
    </row>
    <row r="95" spans="1:12" x14ac:dyDescent="0.3">
      <c r="A95" t="s">
        <v>378</v>
      </c>
      <c r="B95" t="s">
        <v>379</v>
      </c>
      <c r="C95" t="s">
        <v>379</v>
      </c>
      <c r="D95" t="s">
        <v>380</v>
      </c>
      <c r="E95" t="s">
        <v>381</v>
      </c>
      <c r="F95">
        <v>0</v>
      </c>
      <c r="G95">
        <v>93</v>
      </c>
      <c r="H95">
        <f>IF(Table1[[#This Row],[my_ent_1]]=Table1[[#This Row],[their_ent_1]], 1, 0)</f>
        <v>1</v>
      </c>
      <c r="I95">
        <f>IF(Table1[[#This Row],[my_ent_2]]=Table1[[#This Row],[their_ent_2]], 1, 0)</f>
        <v>0</v>
      </c>
      <c r="J95">
        <f>IF(Table1[[#This Row],[same_1]]=1 &amp; Table1[[#This Row],[same_2]]=1, 1, 0)</f>
        <v>0</v>
      </c>
      <c r="K95">
        <f>IF(ISNUMBER(SEARCH(Table1[[#This Row],[their_ent_1]],Table1[[#This Row],[my_ent_1]])), 1, 0)</f>
        <v>1</v>
      </c>
      <c r="L95">
        <f>IF(ISNUMBER(SEARCH(Table1[[#This Row],[their_ent_2]],Table1[[#This Row],[my_ent_2]])), 1, 0)</f>
        <v>1</v>
      </c>
    </row>
    <row r="96" spans="1:12" x14ac:dyDescent="0.3">
      <c r="A96" t="s">
        <v>382</v>
      </c>
      <c r="B96" t="s">
        <v>383</v>
      </c>
      <c r="C96" t="s">
        <v>383</v>
      </c>
      <c r="D96" t="s">
        <v>384</v>
      </c>
      <c r="E96" t="s">
        <v>385</v>
      </c>
      <c r="F96">
        <v>0</v>
      </c>
      <c r="G96">
        <v>94</v>
      </c>
      <c r="H96">
        <f>IF(Table1[[#This Row],[my_ent_1]]=Table1[[#This Row],[their_ent_1]], 1, 0)</f>
        <v>1</v>
      </c>
      <c r="I96">
        <f>IF(Table1[[#This Row],[my_ent_2]]=Table1[[#This Row],[their_ent_2]], 1, 0)</f>
        <v>0</v>
      </c>
      <c r="J96">
        <f>IF(Table1[[#This Row],[same_1]]=1 &amp; Table1[[#This Row],[same_2]]=1, 1, 0)</f>
        <v>0</v>
      </c>
      <c r="K96">
        <f>IF(ISNUMBER(SEARCH(Table1[[#This Row],[their_ent_1]],Table1[[#This Row],[my_ent_1]])), 1, 0)</f>
        <v>1</v>
      </c>
      <c r="L96">
        <f>IF(ISNUMBER(SEARCH(Table1[[#This Row],[their_ent_2]],Table1[[#This Row],[my_ent_2]])), 1, 0)</f>
        <v>0</v>
      </c>
    </row>
    <row r="97" spans="1:12" x14ac:dyDescent="0.3">
      <c r="A97" t="s">
        <v>386</v>
      </c>
      <c r="B97" t="s">
        <v>387</v>
      </c>
      <c r="C97" t="s">
        <v>388</v>
      </c>
      <c r="D97" t="s">
        <v>389</v>
      </c>
      <c r="E97" t="s">
        <v>171</v>
      </c>
      <c r="F97">
        <v>0</v>
      </c>
      <c r="G97">
        <v>95</v>
      </c>
      <c r="H97">
        <f>IF(Table1[[#This Row],[my_ent_1]]=Table1[[#This Row],[their_ent_1]], 1, 0)</f>
        <v>0</v>
      </c>
      <c r="I97">
        <f>IF(Table1[[#This Row],[my_ent_2]]=Table1[[#This Row],[their_ent_2]], 1, 0)</f>
        <v>0</v>
      </c>
      <c r="J97">
        <f>IF(Table1[[#This Row],[same_1]]=1 &amp; Table1[[#This Row],[same_2]]=1, 1, 0)</f>
        <v>0</v>
      </c>
      <c r="K97">
        <f>IF(ISNUMBER(SEARCH(Table1[[#This Row],[their_ent_1]],Table1[[#This Row],[my_ent_1]])), 1, 0)</f>
        <v>0</v>
      </c>
      <c r="L97">
        <f>IF(ISNUMBER(SEARCH(Table1[[#This Row],[their_ent_2]],Table1[[#This Row],[my_ent_2]])), 1, 0)</f>
        <v>0</v>
      </c>
    </row>
    <row r="98" spans="1:12" x14ac:dyDescent="0.3">
      <c r="A98" t="s">
        <v>390</v>
      </c>
      <c r="B98" t="s">
        <v>391</v>
      </c>
      <c r="C98" t="s">
        <v>78</v>
      </c>
      <c r="D98" t="s">
        <v>392</v>
      </c>
      <c r="E98" t="s">
        <v>392</v>
      </c>
      <c r="F98">
        <v>0</v>
      </c>
      <c r="G98">
        <v>96</v>
      </c>
      <c r="H98">
        <f>IF(Table1[[#This Row],[my_ent_1]]=Table1[[#This Row],[their_ent_1]], 1, 0)</f>
        <v>0</v>
      </c>
      <c r="I98">
        <f>IF(Table1[[#This Row],[my_ent_2]]=Table1[[#This Row],[their_ent_2]], 1, 0)</f>
        <v>1</v>
      </c>
      <c r="J98">
        <f>IF(Table1[[#This Row],[same_1]]=1 &amp; Table1[[#This Row],[same_2]]=1, 1, 0)</f>
        <v>0</v>
      </c>
      <c r="K98">
        <f>IF(ISNUMBER(SEARCH(Table1[[#This Row],[their_ent_1]],Table1[[#This Row],[my_ent_1]])), 1, 0)</f>
        <v>1</v>
      </c>
      <c r="L98">
        <f>IF(ISNUMBER(SEARCH(Table1[[#This Row],[their_ent_2]],Table1[[#This Row],[my_ent_2]])), 1, 0)</f>
        <v>1</v>
      </c>
    </row>
    <row r="99" spans="1:12" x14ac:dyDescent="0.3">
      <c r="A99" t="s">
        <v>393</v>
      </c>
      <c r="B99" t="s">
        <v>394</v>
      </c>
      <c r="C99" t="s">
        <v>394</v>
      </c>
      <c r="D99" t="s">
        <v>395</v>
      </c>
      <c r="E99" t="s">
        <v>396</v>
      </c>
      <c r="F99">
        <v>0</v>
      </c>
      <c r="G99">
        <v>97</v>
      </c>
      <c r="H99">
        <f>IF(Table1[[#This Row],[my_ent_1]]=Table1[[#This Row],[their_ent_1]], 1, 0)</f>
        <v>1</v>
      </c>
      <c r="I99">
        <f>IF(Table1[[#This Row],[my_ent_2]]=Table1[[#This Row],[their_ent_2]], 1, 0)</f>
        <v>0</v>
      </c>
      <c r="J99">
        <f>IF(Table1[[#This Row],[same_1]]=1 &amp; Table1[[#This Row],[same_2]]=1, 1, 0)</f>
        <v>0</v>
      </c>
      <c r="K99">
        <f>IF(ISNUMBER(SEARCH(Table1[[#This Row],[their_ent_1]],Table1[[#This Row],[my_ent_1]])), 1, 0)</f>
        <v>1</v>
      </c>
      <c r="L99">
        <f>IF(ISNUMBER(SEARCH(Table1[[#This Row],[their_ent_2]],Table1[[#This Row],[my_ent_2]])), 1, 0)</f>
        <v>0</v>
      </c>
    </row>
    <row r="100" spans="1:12" x14ac:dyDescent="0.3">
      <c r="A100" t="s">
        <v>397</v>
      </c>
      <c r="B100" t="s">
        <v>398</v>
      </c>
      <c r="C100" t="s">
        <v>94</v>
      </c>
      <c r="D100" t="s">
        <v>399</v>
      </c>
      <c r="E100" t="s">
        <v>398</v>
      </c>
      <c r="F100">
        <v>0</v>
      </c>
      <c r="G100">
        <v>98</v>
      </c>
      <c r="H100">
        <f>IF(Table1[[#This Row],[my_ent_1]]=Table1[[#This Row],[their_ent_1]], 1, 0)</f>
        <v>0</v>
      </c>
      <c r="I100">
        <f>IF(Table1[[#This Row],[my_ent_2]]=Table1[[#This Row],[their_ent_2]], 1, 0)</f>
        <v>0</v>
      </c>
      <c r="J100">
        <f>IF(Table1[[#This Row],[same_1]]=1 &amp; Table1[[#This Row],[same_2]]=1, 1, 0)</f>
        <v>0</v>
      </c>
      <c r="K100">
        <f>IF(ISNUMBER(SEARCH(Table1[[#This Row],[their_ent_1]],Table1[[#This Row],[my_ent_1]])), 1, 0)</f>
        <v>0</v>
      </c>
      <c r="L100">
        <f>IF(ISNUMBER(SEARCH(Table1[[#This Row],[their_ent_2]],Table1[[#This Row],[my_ent_2]])), 1, 0)</f>
        <v>0</v>
      </c>
    </row>
    <row r="101" spans="1:12" x14ac:dyDescent="0.3">
      <c r="A101" t="s">
        <v>400</v>
      </c>
      <c r="B101" t="s">
        <v>401</v>
      </c>
      <c r="C101" t="s">
        <v>402</v>
      </c>
      <c r="D101" t="s">
        <v>396</v>
      </c>
      <c r="E101" t="s">
        <v>396</v>
      </c>
      <c r="F101">
        <v>0</v>
      </c>
      <c r="G101">
        <v>99</v>
      </c>
      <c r="H101">
        <f>IF(Table1[[#This Row],[my_ent_1]]=Table1[[#This Row],[their_ent_1]], 1, 0)</f>
        <v>0</v>
      </c>
      <c r="I101">
        <f>IF(Table1[[#This Row],[my_ent_2]]=Table1[[#This Row],[their_ent_2]], 1, 0)</f>
        <v>1</v>
      </c>
      <c r="J101">
        <f>IF(Table1[[#This Row],[same_1]]=1 &amp; Table1[[#This Row],[same_2]]=1, 1, 0)</f>
        <v>0</v>
      </c>
      <c r="K101">
        <f>IF(ISNUMBER(SEARCH(Table1[[#This Row],[their_ent_1]],Table1[[#This Row],[my_ent_1]])), 1, 0)</f>
        <v>1</v>
      </c>
      <c r="L101">
        <f>IF(ISNUMBER(SEARCH(Table1[[#This Row],[their_ent_2]],Table1[[#This Row],[my_ent_2]])), 1, 0)</f>
        <v>1</v>
      </c>
    </row>
    <row r="102" spans="1:12" x14ac:dyDescent="0.3">
      <c r="A102" t="s">
        <v>403</v>
      </c>
      <c r="B102" t="s">
        <v>404</v>
      </c>
      <c r="C102" t="s">
        <v>171</v>
      </c>
      <c r="D102" t="s">
        <v>260</v>
      </c>
      <c r="E102" t="s">
        <v>405</v>
      </c>
      <c r="F102">
        <v>0</v>
      </c>
      <c r="G102">
        <v>100</v>
      </c>
      <c r="H102">
        <f>IF(Table1[[#This Row],[my_ent_1]]=Table1[[#This Row],[their_ent_1]], 1, 0)</f>
        <v>0</v>
      </c>
      <c r="I102">
        <f>IF(Table1[[#This Row],[my_ent_2]]=Table1[[#This Row],[their_ent_2]], 1, 0)</f>
        <v>0</v>
      </c>
      <c r="J102">
        <f>IF(Table1[[#This Row],[same_1]]=1 &amp; Table1[[#This Row],[same_2]]=1, 1, 0)</f>
        <v>0</v>
      </c>
      <c r="K102">
        <f>IF(ISNUMBER(SEARCH(Table1[[#This Row],[their_ent_1]],Table1[[#This Row],[my_ent_1]])), 1, 0)</f>
        <v>1</v>
      </c>
      <c r="L102">
        <f>IF(ISNUMBER(SEARCH(Table1[[#This Row],[their_ent_2]],Table1[[#This Row],[my_ent_2]])), 1, 0)</f>
        <v>1</v>
      </c>
    </row>
    <row r="103" spans="1:12" x14ac:dyDescent="0.3">
      <c r="A103" t="s">
        <v>406</v>
      </c>
      <c r="B103" t="s">
        <v>20</v>
      </c>
      <c r="C103" t="s">
        <v>353</v>
      </c>
      <c r="D103" t="s">
        <v>202</v>
      </c>
      <c r="E103" t="s">
        <v>407</v>
      </c>
      <c r="F103">
        <v>0</v>
      </c>
      <c r="G103">
        <v>101</v>
      </c>
      <c r="H103">
        <f>IF(Table1[[#This Row],[my_ent_1]]=Table1[[#This Row],[their_ent_1]], 1, 0)</f>
        <v>0</v>
      </c>
      <c r="I103">
        <f>IF(Table1[[#This Row],[my_ent_2]]=Table1[[#This Row],[their_ent_2]], 1, 0)</f>
        <v>0</v>
      </c>
      <c r="J103">
        <f>IF(Table1[[#This Row],[same_1]]=1 &amp; Table1[[#This Row],[same_2]]=1, 1, 0)</f>
        <v>0</v>
      </c>
      <c r="K103">
        <f>IF(ISNUMBER(SEARCH(Table1[[#This Row],[their_ent_1]],Table1[[#This Row],[my_ent_1]])), 1, 0)</f>
        <v>0</v>
      </c>
      <c r="L103">
        <f>IF(ISNUMBER(SEARCH(Table1[[#This Row],[their_ent_2]],Table1[[#This Row],[my_ent_2]])), 1, 0)</f>
        <v>0</v>
      </c>
    </row>
    <row r="104" spans="1:12" x14ac:dyDescent="0.3">
      <c r="A104" t="s">
        <v>408</v>
      </c>
      <c r="B104" t="s">
        <v>409</v>
      </c>
      <c r="C104" t="s">
        <v>410</v>
      </c>
      <c r="D104" t="s">
        <v>411</v>
      </c>
      <c r="E104" t="s">
        <v>412</v>
      </c>
      <c r="F104">
        <v>0</v>
      </c>
      <c r="G104">
        <v>102</v>
      </c>
      <c r="H104">
        <f>IF(Table1[[#This Row],[my_ent_1]]=Table1[[#This Row],[their_ent_1]], 1, 0)</f>
        <v>0</v>
      </c>
      <c r="I104">
        <f>IF(Table1[[#This Row],[my_ent_2]]=Table1[[#This Row],[their_ent_2]], 1, 0)</f>
        <v>0</v>
      </c>
      <c r="J104">
        <f>IF(Table1[[#This Row],[same_1]]=1 &amp; Table1[[#This Row],[same_2]]=1, 1, 0)</f>
        <v>0</v>
      </c>
      <c r="K104">
        <f>IF(ISNUMBER(SEARCH(Table1[[#This Row],[their_ent_1]],Table1[[#This Row],[my_ent_1]])), 1, 0)</f>
        <v>0</v>
      </c>
      <c r="L104">
        <f>IF(ISNUMBER(SEARCH(Table1[[#This Row],[their_ent_2]],Table1[[#This Row],[my_ent_2]])), 1, 0)</f>
        <v>0</v>
      </c>
    </row>
    <row r="105" spans="1:12" x14ac:dyDescent="0.3">
      <c r="A105" t="s">
        <v>413</v>
      </c>
      <c r="B105" t="s">
        <v>414</v>
      </c>
      <c r="C105" t="s">
        <v>414</v>
      </c>
      <c r="D105" t="s">
        <v>415</v>
      </c>
      <c r="E105" t="s">
        <v>68</v>
      </c>
      <c r="F105">
        <v>0</v>
      </c>
      <c r="G105">
        <v>103</v>
      </c>
      <c r="H105">
        <f>IF(Table1[[#This Row],[my_ent_1]]=Table1[[#This Row],[their_ent_1]], 1, 0)</f>
        <v>1</v>
      </c>
      <c r="I105">
        <f>IF(Table1[[#This Row],[my_ent_2]]=Table1[[#This Row],[their_ent_2]], 1, 0)</f>
        <v>0</v>
      </c>
      <c r="J105">
        <f>IF(Table1[[#This Row],[same_1]]=1 &amp; Table1[[#This Row],[same_2]]=1, 1, 0)</f>
        <v>0</v>
      </c>
      <c r="K105">
        <f>IF(ISNUMBER(SEARCH(Table1[[#This Row],[their_ent_1]],Table1[[#This Row],[my_ent_1]])), 1, 0)</f>
        <v>1</v>
      </c>
      <c r="L105">
        <f>IF(ISNUMBER(SEARCH(Table1[[#This Row],[their_ent_2]],Table1[[#This Row],[my_ent_2]])), 1, 0)</f>
        <v>0</v>
      </c>
    </row>
    <row r="106" spans="1:12" x14ac:dyDescent="0.3">
      <c r="A106" t="s">
        <v>416</v>
      </c>
      <c r="B106" t="s">
        <v>417</v>
      </c>
      <c r="C106" t="s">
        <v>418</v>
      </c>
      <c r="D106" t="s">
        <v>164</v>
      </c>
      <c r="E106" t="s">
        <v>419</v>
      </c>
      <c r="F106">
        <v>0</v>
      </c>
      <c r="G106">
        <v>104</v>
      </c>
      <c r="H106">
        <f>IF(Table1[[#This Row],[my_ent_1]]=Table1[[#This Row],[their_ent_1]], 1, 0)</f>
        <v>0</v>
      </c>
      <c r="I106">
        <f>IF(Table1[[#This Row],[my_ent_2]]=Table1[[#This Row],[their_ent_2]], 1, 0)</f>
        <v>0</v>
      </c>
      <c r="J106">
        <f>IF(Table1[[#This Row],[same_1]]=1 &amp; Table1[[#This Row],[same_2]]=1, 1, 0)</f>
        <v>0</v>
      </c>
      <c r="K106">
        <f>IF(ISNUMBER(SEARCH(Table1[[#This Row],[their_ent_1]],Table1[[#This Row],[my_ent_1]])), 1, 0)</f>
        <v>0</v>
      </c>
      <c r="L106">
        <f>IF(ISNUMBER(SEARCH(Table1[[#This Row],[their_ent_2]],Table1[[#This Row],[my_ent_2]])), 1, 0)</f>
        <v>0</v>
      </c>
    </row>
    <row r="107" spans="1:12" x14ac:dyDescent="0.3">
      <c r="A107" t="s">
        <v>420</v>
      </c>
      <c r="B107" t="s">
        <v>421</v>
      </c>
      <c r="C107" t="s">
        <v>421</v>
      </c>
      <c r="D107" t="s">
        <v>422</v>
      </c>
      <c r="E107" t="s">
        <v>423</v>
      </c>
      <c r="F107">
        <v>0</v>
      </c>
      <c r="G107">
        <v>105</v>
      </c>
      <c r="H107">
        <f>IF(Table1[[#This Row],[my_ent_1]]=Table1[[#This Row],[their_ent_1]], 1, 0)</f>
        <v>1</v>
      </c>
      <c r="I107">
        <f>IF(Table1[[#This Row],[my_ent_2]]=Table1[[#This Row],[their_ent_2]], 1, 0)</f>
        <v>0</v>
      </c>
      <c r="J107">
        <f>IF(Table1[[#This Row],[same_1]]=1 &amp; Table1[[#This Row],[same_2]]=1, 1, 0)</f>
        <v>0</v>
      </c>
      <c r="K107">
        <f>IF(ISNUMBER(SEARCH(Table1[[#This Row],[their_ent_1]],Table1[[#This Row],[my_ent_1]])), 1, 0)</f>
        <v>1</v>
      </c>
      <c r="L107">
        <f>IF(ISNUMBER(SEARCH(Table1[[#This Row],[their_ent_2]],Table1[[#This Row],[my_ent_2]])), 1, 0)</f>
        <v>0</v>
      </c>
    </row>
    <row r="108" spans="1:12" x14ac:dyDescent="0.3">
      <c r="A108" t="s">
        <v>424</v>
      </c>
      <c r="B108" t="s">
        <v>425</v>
      </c>
      <c r="C108" t="s">
        <v>425</v>
      </c>
      <c r="D108" t="s">
        <v>28</v>
      </c>
      <c r="E108" t="s">
        <v>407</v>
      </c>
      <c r="F108">
        <v>0</v>
      </c>
      <c r="G108">
        <v>106</v>
      </c>
      <c r="H108">
        <f>IF(Table1[[#This Row],[my_ent_1]]=Table1[[#This Row],[their_ent_1]], 1, 0)</f>
        <v>1</v>
      </c>
      <c r="I108">
        <f>IF(Table1[[#This Row],[my_ent_2]]=Table1[[#This Row],[their_ent_2]], 1, 0)</f>
        <v>0</v>
      </c>
      <c r="J108">
        <f>IF(Table1[[#This Row],[same_1]]=1 &amp; Table1[[#This Row],[same_2]]=1, 1, 0)</f>
        <v>0</v>
      </c>
      <c r="K108">
        <f>IF(ISNUMBER(SEARCH(Table1[[#This Row],[their_ent_1]],Table1[[#This Row],[my_ent_1]])), 1, 0)</f>
        <v>1</v>
      </c>
      <c r="L108">
        <f>IF(ISNUMBER(SEARCH(Table1[[#This Row],[their_ent_2]],Table1[[#This Row],[my_ent_2]])), 1, 0)</f>
        <v>0</v>
      </c>
    </row>
    <row r="109" spans="1:12" x14ac:dyDescent="0.3">
      <c r="A109" t="s">
        <v>426</v>
      </c>
      <c r="B109" t="s">
        <v>427</v>
      </c>
      <c r="C109" t="s">
        <v>428</v>
      </c>
      <c r="D109" t="s">
        <v>429</v>
      </c>
      <c r="E109" t="s">
        <v>430</v>
      </c>
      <c r="F109">
        <v>0</v>
      </c>
      <c r="G109">
        <v>107</v>
      </c>
      <c r="H109">
        <f>IF(Table1[[#This Row],[my_ent_1]]=Table1[[#This Row],[their_ent_1]], 1, 0)</f>
        <v>0</v>
      </c>
      <c r="I109">
        <f>IF(Table1[[#This Row],[my_ent_2]]=Table1[[#This Row],[their_ent_2]], 1, 0)</f>
        <v>0</v>
      </c>
      <c r="J109">
        <f>IF(Table1[[#This Row],[same_1]]=1 &amp; Table1[[#This Row],[same_2]]=1, 1, 0)</f>
        <v>0</v>
      </c>
      <c r="K109">
        <f>IF(ISNUMBER(SEARCH(Table1[[#This Row],[their_ent_1]],Table1[[#This Row],[my_ent_1]])), 1, 0)</f>
        <v>1</v>
      </c>
      <c r="L109">
        <f>IF(ISNUMBER(SEARCH(Table1[[#This Row],[their_ent_2]],Table1[[#This Row],[my_ent_2]])), 1, 0)</f>
        <v>1</v>
      </c>
    </row>
    <row r="110" spans="1:12" x14ac:dyDescent="0.3">
      <c r="A110" t="s">
        <v>431</v>
      </c>
      <c r="B110" t="s">
        <v>20</v>
      </c>
      <c r="C110" t="s">
        <v>407</v>
      </c>
      <c r="D110" t="s">
        <v>202</v>
      </c>
      <c r="E110" t="s">
        <v>353</v>
      </c>
      <c r="F110">
        <v>0</v>
      </c>
      <c r="G110">
        <v>108</v>
      </c>
      <c r="H110">
        <f>IF(Table1[[#This Row],[my_ent_1]]=Table1[[#This Row],[their_ent_1]], 1, 0)</f>
        <v>0</v>
      </c>
      <c r="I110">
        <f>IF(Table1[[#This Row],[my_ent_2]]=Table1[[#This Row],[their_ent_2]], 1, 0)</f>
        <v>0</v>
      </c>
      <c r="J110">
        <f>IF(Table1[[#This Row],[same_1]]=1 &amp; Table1[[#This Row],[same_2]]=1, 1, 0)</f>
        <v>0</v>
      </c>
      <c r="K110">
        <f>IF(ISNUMBER(SEARCH(Table1[[#This Row],[their_ent_1]],Table1[[#This Row],[my_ent_1]])), 1, 0)</f>
        <v>0</v>
      </c>
      <c r="L110">
        <f>IF(ISNUMBER(SEARCH(Table1[[#This Row],[their_ent_2]],Table1[[#This Row],[my_ent_2]])), 1, 0)</f>
        <v>1</v>
      </c>
    </row>
    <row r="111" spans="1:12" x14ac:dyDescent="0.3">
      <c r="A111" t="s">
        <v>432</v>
      </c>
      <c r="B111" t="s">
        <v>433</v>
      </c>
      <c r="C111" t="s">
        <v>434</v>
      </c>
      <c r="D111" t="s">
        <v>435</v>
      </c>
      <c r="E111" t="s">
        <v>436</v>
      </c>
      <c r="F111">
        <v>0</v>
      </c>
      <c r="G111">
        <v>109</v>
      </c>
      <c r="H111">
        <f>IF(Table1[[#This Row],[my_ent_1]]=Table1[[#This Row],[their_ent_1]], 1, 0)</f>
        <v>0</v>
      </c>
      <c r="I111">
        <f>IF(Table1[[#This Row],[my_ent_2]]=Table1[[#This Row],[their_ent_2]], 1, 0)</f>
        <v>0</v>
      </c>
      <c r="J111">
        <f>IF(Table1[[#This Row],[same_1]]=1 &amp; Table1[[#This Row],[same_2]]=1, 1, 0)</f>
        <v>0</v>
      </c>
      <c r="K111">
        <f>IF(ISNUMBER(SEARCH(Table1[[#This Row],[their_ent_1]],Table1[[#This Row],[my_ent_1]])), 1, 0)</f>
        <v>0</v>
      </c>
      <c r="L111">
        <f>IF(ISNUMBER(SEARCH(Table1[[#This Row],[their_ent_2]],Table1[[#This Row],[my_ent_2]])), 1, 0)</f>
        <v>0</v>
      </c>
    </row>
    <row r="112" spans="1:12" x14ac:dyDescent="0.3">
      <c r="A112" t="s">
        <v>437</v>
      </c>
      <c r="B112" t="s">
        <v>438</v>
      </c>
      <c r="C112" t="s">
        <v>438</v>
      </c>
      <c r="D112" t="s">
        <v>439</v>
      </c>
      <c r="E112" t="s">
        <v>176</v>
      </c>
      <c r="F112">
        <v>0</v>
      </c>
      <c r="G112">
        <v>110</v>
      </c>
      <c r="H112">
        <f>IF(Table1[[#This Row],[my_ent_1]]=Table1[[#This Row],[their_ent_1]], 1, 0)</f>
        <v>1</v>
      </c>
      <c r="I112">
        <f>IF(Table1[[#This Row],[my_ent_2]]=Table1[[#This Row],[their_ent_2]], 1, 0)</f>
        <v>0</v>
      </c>
      <c r="J112">
        <f>IF(Table1[[#This Row],[same_1]]=1 &amp; Table1[[#This Row],[same_2]]=1, 1, 0)</f>
        <v>0</v>
      </c>
      <c r="K112">
        <f>IF(ISNUMBER(SEARCH(Table1[[#This Row],[their_ent_1]],Table1[[#This Row],[my_ent_1]])), 1, 0)</f>
        <v>1</v>
      </c>
      <c r="L112">
        <f>IF(ISNUMBER(SEARCH(Table1[[#This Row],[their_ent_2]],Table1[[#This Row],[my_ent_2]])), 1, 0)</f>
        <v>0</v>
      </c>
    </row>
    <row r="113" spans="1:12" x14ac:dyDescent="0.3">
      <c r="A113" t="s">
        <v>440</v>
      </c>
      <c r="B113" t="s">
        <v>441</v>
      </c>
      <c r="C113" t="s">
        <v>441</v>
      </c>
      <c r="D113" t="s">
        <v>20</v>
      </c>
      <c r="E113" t="s">
        <v>442</v>
      </c>
      <c r="F113">
        <v>0</v>
      </c>
      <c r="G113">
        <v>111</v>
      </c>
      <c r="H113">
        <f>IF(Table1[[#This Row],[my_ent_1]]=Table1[[#This Row],[their_ent_1]], 1, 0)</f>
        <v>1</v>
      </c>
      <c r="I113">
        <f>IF(Table1[[#This Row],[my_ent_2]]=Table1[[#This Row],[their_ent_2]], 1, 0)</f>
        <v>0</v>
      </c>
      <c r="J113">
        <f>IF(Table1[[#This Row],[same_1]]=1 &amp; Table1[[#This Row],[same_2]]=1, 1, 0)</f>
        <v>0</v>
      </c>
      <c r="K113">
        <f>IF(ISNUMBER(SEARCH(Table1[[#This Row],[their_ent_1]],Table1[[#This Row],[my_ent_1]])), 1, 0)</f>
        <v>1</v>
      </c>
      <c r="L113">
        <f>IF(ISNUMBER(SEARCH(Table1[[#This Row],[their_ent_2]],Table1[[#This Row],[my_ent_2]])), 1, 0)</f>
        <v>0</v>
      </c>
    </row>
    <row r="114" spans="1:12" x14ac:dyDescent="0.3">
      <c r="A114" t="s">
        <v>443</v>
      </c>
      <c r="B114" t="s">
        <v>444</v>
      </c>
      <c r="C114" t="s">
        <v>444</v>
      </c>
      <c r="D114" t="s">
        <v>445</v>
      </c>
      <c r="E114" t="s">
        <v>446</v>
      </c>
      <c r="F114">
        <v>0</v>
      </c>
      <c r="G114">
        <v>112</v>
      </c>
      <c r="H114">
        <f>IF(Table1[[#This Row],[my_ent_1]]=Table1[[#This Row],[their_ent_1]], 1, 0)</f>
        <v>1</v>
      </c>
      <c r="I114">
        <f>IF(Table1[[#This Row],[my_ent_2]]=Table1[[#This Row],[their_ent_2]], 1, 0)</f>
        <v>0</v>
      </c>
      <c r="J114">
        <f>IF(Table1[[#This Row],[same_1]]=1 &amp; Table1[[#This Row],[same_2]]=1, 1, 0)</f>
        <v>0</v>
      </c>
      <c r="K114">
        <f>IF(ISNUMBER(SEARCH(Table1[[#This Row],[their_ent_1]],Table1[[#This Row],[my_ent_1]])), 1, 0)</f>
        <v>1</v>
      </c>
      <c r="L114">
        <f>IF(ISNUMBER(SEARCH(Table1[[#This Row],[their_ent_2]],Table1[[#This Row],[my_ent_2]])), 1, 0)</f>
        <v>0</v>
      </c>
    </row>
    <row r="115" spans="1:12" x14ac:dyDescent="0.3">
      <c r="A115" t="s">
        <v>447</v>
      </c>
      <c r="B115" t="s">
        <v>448</v>
      </c>
      <c r="C115" t="s">
        <v>449</v>
      </c>
      <c r="D115" t="s">
        <v>450</v>
      </c>
      <c r="E115" t="s">
        <v>451</v>
      </c>
      <c r="F115">
        <v>0</v>
      </c>
      <c r="G115">
        <v>113</v>
      </c>
      <c r="H115">
        <f>IF(Table1[[#This Row],[my_ent_1]]=Table1[[#This Row],[their_ent_1]], 1, 0)</f>
        <v>0</v>
      </c>
      <c r="I115">
        <f>IF(Table1[[#This Row],[my_ent_2]]=Table1[[#This Row],[their_ent_2]], 1, 0)</f>
        <v>0</v>
      </c>
      <c r="J115">
        <f>IF(Table1[[#This Row],[same_1]]=1 &amp; Table1[[#This Row],[same_2]]=1, 1, 0)</f>
        <v>0</v>
      </c>
      <c r="K115">
        <f>IF(ISNUMBER(SEARCH(Table1[[#This Row],[their_ent_1]],Table1[[#This Row],[my_ent_1]])), 1, 0)</f>
        <v>0</v>
      </c>
      <c r="L115">
        <f>IF(ISNUMBER(SEARCH(Table1[[#This Row],[their_ent_2]],Table1[[#This Row],[my_ent_2]])), 1, 0)</f>
        <v>0</v>
      </c>
    </row>
    <row r="116" spans="1:12" x14ac:dyDescent="0.3">
      <c r="A116" t="s">
        <v>452</v>
      </c>
      <c r="B116" t="s">
        <v>453</v>
      </c>
      <c r="C116" t="s">
        <v>454</v>
      </c>
      <c r="D116" t="s">
        <v>392</v>
      </c>
      <c r="E116" t="s">
        <v>412</v>
      </c>
      <c r="F116">
        <v>0</v>
      </c>
      <c r="G116">
        <v>114</v>
      </c>
      <c r="H116">
        <f>IF(Table1[[#This Row],[my_ent_1]]=Table1[[#This Row],[their_ent_1]], 1, 0)</f>
        <v>0</v>
      </c>
      <c r="I116">
        <f>IF(Table1[[#This Row],[my_ent_2]]=Table1[[#This Row],[their_ent_2]], 1, 0)</f>
        <v>0</v>
      </c>
      <c r="J116">
        <f>IF(Table1[[#This Row],[same_1]]=1 &amp; Table1[[#This Row],[same_2]]=1, 1, 0)</f>
        <v>0</v>
      </c>
      <c r="K116">
        <f>IF(ISNUMBER(SEARCH(Table1[[#This Row],[their_ent_1]],Table1[[#This Row],[my_ent_1]])), 1, 0)</f>
        <v>0</v>
      </c>
      <c r="L116">
        <f>IF(ISNUMBER(SEARCH(Table1[[#This Row],[their_ent_2]],Table1[[#This Row],[my_ent_2]])), 1, 0)</f>
        <v>0</v>
      </c>
    </row>
    <row r="117" spans="1:12" x14ac:dyDescent="0.3">
      <c r="A117" t="s">
        <v>455</v>
      </c>
      <c r="B117" t="s">
        <v>456</v>
      </c>
      <c r="C117" t="s">
        <v>457</v>
      </c>
      <c r="D117" t="s">
        <v>457</v>
      </c>
      <c r="E117" t="s">
        <v>458</v>
      </c>
      <c r="F117">
        <v>0</v>
      </c>
      <c r="G117">
        <v>115</v>
      </c>
      <c r="H117">
        <f>IF(Table1[[#This Row],[my_ent_1]]=Table1[[#This Row],[their_ent_1]], 1, 0)</f>
        <v>0</v>
      </c>
      <c r="I117">
        <f>IF(Table1[[#This Row],[my_ent_2]]=Table1[[#This Row],[their_ent_2]], 1, 0)</f>
        <v>0</v>
      </c>
      <c r="J117">
        <f>IF(Table1[[#This Row],[same_1]]=1 &amp; Table1[[#This Row],[same_2]]=1, 1, 0)</f>
        <v>0</v>
      </c>
      <c r="K117">
        <f>IF(ISNUMBER(SEARCH(Table1[[#This Row],[their_ent_1]],Table1[[#This Row],[my_ent_1]])), 1, 0)</f>
        <v>0</v>
      </c>
      <c r="L117">
        <f>IF(ISNUMBER(SEARCH(Table1[[#This Row],[their_ent_2]],Table1[[#This Row],[my_ent_2]])), 1, 0)</f>
        <v>0</v>
      </c>
    </row>
    <row r="118" spans="1:12" x14ac:dyDescent="0.3">
      <c r="A118" t="s">
        <v>459</v>
      </c>
      <c r="B118" t="s">
        <v>460</v>
      </c>
      <c r="C118" t="s">
        <v>461</v>
      </c>
      <c r="D118" t="s">
        <v>461</v>
      </c>
      <c r="E118" t="s">
        <v>462</v>
      </c>
      <c r="F118">
        <v>0</v>
      </c>
      <c r="G118">
        <v>116</v>
      </c>
      <c r="H118">
        <f>IF(Table1[[#This Row],[my_ent_1]]=Table1[[#This Row],[their_ent_1]], 1, 0)</f>
        <v>0</v>
      </c>
      <c r="I118">
        <f>IF(Table1[[#This Row],[my_ent_2]]=Table1[[#This Row],[their_ent_2]], 1, 0)</f>
        <v>0</v>
      </c>
      <c r="J118">
        <f>IF(Table1[[#This Row],[same_1]]=1 &amp; Table1[[#This Row],[same_2]]=1, 1, 0)</f>
        <v>0</v>
      </c>
      <c r="K118">
        <f>IF(ISNUMBER(SEARCH(Table1[[#This Row],[their_ent_1]],Table1[[#This Row],[my_ent_1]])), 1, 0)</f>
        <v>0</v>
      </c>
      <c r="L118">
        <f>IF(ISNUMBER(SEARCH(Table1[[#This Row],[their_ent_2]],Table1[[#This Row],[my_ent_2]])), 1, 0)</f>
        <v>0</v>
      </c>
    </row>
    <row r="119" spans="1:12" x14ac:dyDescent="0.3">
      <c r="A119" t="s">
        <v>463</v>
      </c>
      <c r="B119" t="s">
        <v>158</v>
      </c>
      <c r="C119" t="s">
        <v>353</v>
      </c>
      <c r="D119" t="s">
        <v>464</v>
      </c>
      <c r="E119" t="s">
        <v>465</v>
      </c>
      <c r="F119">
        <v>0</v>
      </c>
      <c r="G119">
        <v>117</v>
      </c>
      <c r="H119">
        <f>IF(Table1[[#This Row],[my_ent_1]]=Table1[[#This Row],[their_ent_1]], 1, 0)</f>
        <v>0</v>
      </c>
      <c r="I119">
        <f>IF(Table1[[#This Row],[my_ent_2]]=Table1[[#This Row],[their_ent_2]], 1, 0)</f>
        <v>0</v>
      </c>
      <c r="J119">
        <f>IF(Table1[[#This Row],[same_1]]=1 &amp; Table1[[#This Row],[same_2]]=1, 1, 0)</f>
        <v>0</v>
      </c>
      <c r="K119">
        <f>IF(ISNUMBER(SEARCH(Table1[[#This Row],[their_ent_1]],Table1[[#This Row],[my_ent_1]])), 1, 0)</f>
        <v>0</v>
      </c>
      <c r="L119">
        <f>IF(ISNUMBER(SEARCH(Table1[[#This Row],[their_ent_2]],Table1[[#This Row],[my_ent_2]])), 1, 0)</f>
        <v>0</v>
      </c>
    </row>
    <row r="120" spans="1:12" x14ac:dyDescent="0.3">
      <c r="A120" t="s">
        <v>466</v>
      </c>
      <c r="B120" t="s">
        <v>467</v>
      </c>
      <c r="C120" t="s">
        <v>468</v>
      </c>
      <c r="D120" t="s">
        <v>469</v>
      </c>
      <c r="E120" t="s">
        <v>143</v>
      </c>
      <c r="F120">
        <v>0</v>
      </c>
      <c r="G120">
        <v>118</v>
      </c>
      <c r="H120">
        <f>IF(Table1[[#This Row],[my_ent_1]]=Table1[[#This Row],[their_ent_1]], 1, 0)</f>
        <v>0</v>
      </c>
      <c r="I120">
        <f>IF(Table1[[#This Row],[my_ent_2]]=Table1[[#This Row],[their_ent_2]], 1, 0)</f>
        <v>0</v>
      </c>
      <c r="J120">
        <f>IF(Table1[[#This Row],[same_1]]=1 &amp; Table1[[#This Row],[same_2]]=1, 1, 0)</f>
        <v>0</v>
      </c>
      <c r="K120">
        <f>IF(ISNUMBER(SEARCH(Table1[[#This Row],[their_ent_1]],Table1[[#This Row],[my_ent_1]])), 1, 0)</f>
        <v>0</v>
      </c>
      <c r="L120">
        <f>IF(ISNUMBER(SEARCH(Table1[[#This Row],[their_ent_2]],Table1[[#This Row],[my_ent_2]])), 1, 0)</f>
        <v>0</v>
      </c>
    </row>
    <row r="121" spans="1:12" x14ac:dyDescent="0.3">
      <c r="A121" t="s">
        <v>470</v>
      </c>
      <c r="B121" t="s">
        <v>20</v>
      </c>
      <c r="C121" t="s">
        <v>20</v>
      </c>
      <c r="D121" t="s">
        <v>247</v>
      </c>
      <c r="E121" t="s">
        <v>248</v>
      </c>
      <c r="F121">
        <v>0</v>
      </c>
      <c r="G121">
        <v>119</v>
      </c>
      <c r="H121">
        <f>IF(Table1[[#This Row],[my_ent_1]]=Table1[[#This Row],[their_ent_1]], 1, 0)</f>
        <v>1</v>
      </c>
      <c r="I121">
        <f>IF(Table1[[#This Row],[my_ent_2]]=Table1[[#This Row],[their_ent_2]], 1, 0)</f>
        <v>0</v>
      </c>
      <c r="J121">
        <f>IF(Table1[[#This Row],[same_1]]=1 &amp; Table1[[#This Row],[same_2]]=1, 1, 0)</f>
        <v>0</v>
      </c>
      <c r="K121">
        <f>IF(ISNUMBER(SEARCH(Table1[[#This Row],[their_ent_1]],Table1[[#This Row],[my_ent_1]])), 1, 0)</f>
        <v>1</v>
      </c>
      <c r="L121">
        <f>IF(ISNUMBER(SEARCH(Table1[[#This Row],[their_ent_2]],Table1[[#This Row],[my_ent_2]])), 1, 0)</f>
        <v>0</v>
      </c>
    </row>
    <row r="122" spans="1:12" x14ac:dyDescent="0.3">
      <c r="A122" t="s">
        <v>471</v>
      </c>
      <c r="B122" t="s">
        <v>472</v>
      </c>
      <c r="C122" t="s">
        <v>473</v>
      </c>
      <c r="D122" t="s">
        <v>474</v>
      </c>
      <c r="E122" t="s">
        <v>475</v>
      </c>
      <c r="F122">
        <v>0</v>
      </c>
      <c r="G122">
        <v>120</v>
      </c>
      <c r="H122">
        <f>IF(Table1[[#This Row],[my_ent_1]]=Table1[[#This Row],[their_ent_1]], 1, 0)</f>
        <v>0</v>
      </c>
      <c r="I122">
        <f>IF(Table1[[#This Row],[my_ent_2]]=Table1[[#This Row],[their_ent_2]], 1, 0)</f>
        <v>0</v>
      </c>
      <c r="J122">
        <f>IF(Table1[[#This Row],[same_1]]=1 &amp; Table1[[#This Row],[same_2]]=1, 1, 0)</f>
        <v>0</v>
      </c>
      <c r="K122">
        <f>IF(ISNUMBER(SEARCH(Table1[[#This Row],[their_ent_1]],Table1[[#This Row],[my_ent_1]])), 1, 0)</f>
        <v>0</v>
      </c>
      <c r="L122">
        <f>IF(ISNUMBER(SEARCH(Table1[[#This Row],[their_ent_2]],Table1[[#This Row],[my_ent_2]])), 1, 0)</f>
        <v>1</v>
      </c>
    </row>
    <row r="123" spans="1:12" x14ac:dyDescent="0.3">
      <c r="A123" t="s">
        <v>476</v>
      </c>
      <c r="B123" t="s">
        <v>477</v>
      </c>
      <c r="C123" t="s">
        <v>478</v>
      </c>
      <c r="D123" t="s">
        <v>222</v>
      </c>
      <c r="E123" t="s">
        <v>222</v>
      </c>
      <c r="F123">
        <v>0</v>
      </c>
      <c r="G123">
        <v>121</v>
      </c>
      <c r="H123">
        <f>IF(Table1[[#This Row],[my_ent_1]]=Table1[[#This Row],[their_ent_1]], 1, 0)</f>
        <v>0</v>
      </c>
      <c r="I123">
        <f>IF(Table1[[#This Row],[my_ent_2]]=Table1[[#This Row],[their_ent_2]], 1, 0)</f>
        <v>1</v>
      </c>
      <c r="J123">
        <f>IF(Table1[[#This Row],[same_1]]=1 &amp; Table1[[#This Row],[same_2]]=1, 1, 0)</f>
        <v>0</v>
      </c>
      <c r="K123">
        <f>IF(ISNUMBER(SEARCH(Table1[[#This Row],[their_ent_1]],Table1[[#This Row],[my_ent_1]])), 1, 0)</f>
        <v>0</v>
      </c>
      <c r="L123">
        <f>IF(ISNUMBER(SEARCH(Table1[[#This Row],[their_ent_2]],Table1[[#This Row],[my_ent_2]])), 1, 0)</f>
        <v>1</v>
      </c>
    </row>
    <row r="124" spans="1:12" x14ac:dyDescent="0.3">
      <c r="A124" t="s">
        <v>479</v>
      </c>
      <c r="B124" t="s">
        <v>480</v>
      </c>
      <c r="C124" t="s">
        <v>480</v>
      </c>
      <c r="D124" t="s">
        <v>481</v>
      </c>
      <c r="E124" t="s">
        <v>482</v>
      </c>
      <c r="F124">
        <v>0</v>
      </c>
      <c r="G124">
        <v>122</v>
      </c>
      <c r="H124">
        <f>IF(Table1[[#This Row],[my_ent_1]]=Table1[[#This Row],[their_ent_1]], 1, 0)</f>
        <v>1</v>
      </c>
      <c r="I124">
        <f>IF(Table1[[#This Row],[my_ent_2]]=Table1[[#This Row],[their_ent_2]], 1, 0)</f>
        <v>0</v>
      </c>
      <c r="J124">
        <f>IF(Table1[[#This Row],[same_1]]=1 &amp; Table1[[#This Row],[same_2]]=1, 1, 0)</f>
        <v>0</v>
      </c>
      <c r="K124">
        <f>IF(ISNUMBER(SEARCH(Table1[[#This Row],[their_ent_1]],Table1[[#This Row],[my_ent_1]])), 1, 0)</f>
        <v>1</v>
      </c>
      <c r="L124">
        <f>IF(ISNUMBER(SEARCH(Table1[[#This Row],[their_ent_2]],Table1[[#This Row],[my_ent_2]])), 1, 0)</f>
        <v>1</v>
      </c>
    </row>
    <row r="125" spans="1:12" x14ac:dyDescent="0.3">
      <c r="A125" t="s">
        <v>483</v>
      </c>
      <c r="B125" t="s">
        <v>484</v>
      </c>
      <c r="C125" t="s">
        <v>485</v>
      </c>
      <c r="D125" t="s">
        <v>486</v>
      </c>
      <c r="E125" t="s">
        <v>158</v>
      </c>
      <c r="F125">
        <v>0</v>
      </c>
      <c r="G125">
        <v>123</v>
      </c>
      <c r="H125">
        <f>IF(Table1[[#This Row],[my_ent_1]]=Table1[[#This Row],[their_ent_1]], 1, 0)</f>
        <v>0</v>
      </c>
      <c r="I125">
        <f>IF(Table1[[#This Row],[my_ent_2]]=Table1[[#This Row],[their_ent_2]], 1, 0)</f>
        <v>0</v>
      </c>
      <c r="J125">
        <f>IF(Table1[[#This Row],[same_1]]=1 &amp; Table1[[#This Row],[same_2]]=1, 1, 0)</f>
        <v>0</v>
      </c>
      <c r="K125">
        <f>IF(ISNUMBER(SEARCH(Table1[[#This Row],[their_ent_1]],Table1[[#This Row],[my_ent_1]])), 1, 0)</f>
        <v>0</v>
      </c>
      <c r="L125">
        <f>IF(ISNUMBER(SEARCH(Table1[[#This Row],[their_ent_2]],Table1[[#This Row],[my_ent_2]])), 1, 0)</f>
        <v>0</v>
      </c>
    </row>
    <row r="126" spans="1:12" x14ac:dyDescent="0.3">
      <c r="A126" t="s">
        <v>487</v>
      </c>
      <c r="B126" t="s">
        <v>219</v>
      </c>
      <c r="C126" t="s">
        <v>26</v>
      </c>
      <c r="D126" t="s">
        <v>140</v>
      </c>
      <c r="E126" t="s">
        <v>140</v>
      </c>
      <c r="F126">
        <v>0</v>
      </c>
      <c r="G126">
        <v>124</v>
      </c>
      <c r="H126">
        <f>IF(Table1[[#This Row],[my_ent_1]]=Table1[[#This Row],[their_ent_1]], 1, 0)</f>
        <v>0</v>
      </c>
      <c r="I126">
        <f>IF(Table1[[#This Row],[my_ent_2]]=Table1[[#This Row],[their_ent_2]], 1, 0)</f>
        <v>1</v>
      </c>
      <c r="J126">
        <f>IF(Table1[[#This Row],[same_1]]=1 &amp; Table1[[#This Row],[same_2]]=1, 1, 0)</f>
        <v>0</v>
      </c>
      <c r="K126">
        <f>IF(ISNUMBER(SEARCH(Table1[[#This Row],[their_ent_1]],Table1[[#This Row],[my_ent_1]])), 1, 0)</f>
        <v>1</v>
      </c>
      <c r="L126">
        <f>IF(ISNUMBER(SEARCH(Table1[[#This Row],[their_ent_2]],Table1[[#This Row],[my_ent_2]])), 1, 0)</f>
        <v>1</v>
      </c>
    </row>
    <row r="127" spans="1:12" x14ac:dyDescent="0.3">
      <c r="A127" t="s">
        <v>488</v>
      </c>
      <c r="B127" t="s">
        <v>489</v>
      </c>
      <c r="C127" t="s">
        <v>490</v>
      </c>
      <c r="D127" t="s">
        <v>59</v>
      </c>
      <c r="E127" t="s">
        <v>491</v>
      </c>
      <c r="F127">
        <v>0</v>
      </c>
      <c r="G127">
        <v>125</v>
      </c>
      <c r="H127">
        <f>IF(Table1[[#This Row],[my_ent_1]]=Table1[[#This Row],[their_ent_1]], 1, 0)</f>
        <v>0</v>
      </c>
      <c r="I127">
        <f>IF(Table1[[#This Row],[my_ent_2]]=Table1[[#This Row],[their_ent_2]], 1, 0)</f>
        <v>0</v>
      </c>
      <c r="J127">
        <f>IF(Table1[[#This Row],[same_1]]=1 &amp; Table1[[#This Row],[same_2]]=1, 1, 0)</f>
        <v>0</v>
      </c>
      <c r="K127">
        <f>IF(ISNUMBER(SEARCH(Table1[[#This Row],[their_ent_1]],Table1[[#This Row],[my_ent_1]])), 1, 0)</f>
        <v>1</v>
      </c>
      <c r="L127">
        <f>IF(ISNUMBER(SEARCH(Table1[[#This Row],[their_ent_2]],Table1[[#This Row],[my_ent_2]])), 1, 0)</f>
        <v>0</v>
      </c>
    </row>
    <row r="128" spans="1:12" x14ac:dyDescent="0.3">
      <c r="A128" t="s">
        <v>492</v>
      </c>
      <c r="B128" t="s">
        <v>493</v>
      </c>
      <c r="C128" t="s">
        <v>494</v>
      </c>
      <c r="D128" t="s">
        <v>495</v>
      </c>
      <c r="E128" t="s">
        <v>495</v>
      </c>
      <c r="F128">
        <v>0</v>
      </c>
      <c r="G128">
        <v>126</v>
      </c>
      <c r="H128">
        <f>IF(Table1[[#This Row],[my_ent_1]]=Table1[[#This Row],[their_ent_1]], 1, 0)</f>
        <v>0</v>
      </c>
      <c r="I128">
        <f>IF(Table1[[#This Row],[my_ent_2]]=Table1[[#This Row],[their_ent_2]], 1, 0)</f>
        <v>1</v>
      </c>
      <c r="J128">
        <f>IF(Table1[[#This Row],[same_1]]=1 &amp; Table1[[#This Row],[same_2]]=1, 1, 0)</f>
        <v>0</v>
      </c>
      <c r="K128">
        <f>IF(ISNUMBER(SEARCH(Table1[[#This Row],[their_ent_1]],Table1[[#This Row],[my_ent_1]])), 1, 0)</f>
        <v>0</v>
      </c>
      <c r="L128">
        <f>IF(ISNUMBER(SEARCH(Table1[[#This Row],[their_ent_2]],Table1[[#This Row],[my_ent_2]])), 1, 0)</f>
        <v>1</v>
      </c>
    </row>
    <row r="129" spans="1:12" x14ac:dyDescent="0.3">
      <c r="A129" t="s">
        <v>496</v>
      </c>
      <c r="B129" t="s">
        <v>497</v>
      </c>
      <c r="C129" t="s">
        <v>289</v>
      </c>
      <c r="D129" t="s">
        <v>20</v>
      </c>
      <c r="E129" t="s">
        <v>498</v>
      </c>
      <c r="F129">
        <v>0</v>
      </c>
      <c r="G129">
        <v>127</v>
      </c>
      <c r="H129">
        <f>IF(Table1[[#This Row],[my_ent_1]]=Table1[[#This Row],[their_ent_1]], 1, 0)</f>
        <v>0</v>
      </c>
      <c r="I129">
        <f>IF(Table1[[#This Row],[my_ent_2]]=Table1[[#This Row],[their_ent_2]], 1, 0)</f>
        <v>0</v>
      </c>
      <c r="J129">
        <f>IF(Table1[[#This Row],[same_1]]=1 &amp; Table1[[#This Row],[same_2]]=1, 1, 0)</f>
        <v>0</v>
      </c>
      <c r="K129">
        <f>IF(ISNUMBER(SEARCH(Table1[[#This Row],[their_ent_1]],Table1[[#This Row],[my_ent_1]])), 1, 0)</f>
        <v>0</v>
      </c>
      <c r="L129">
        <f>IF(ISNUMBER(SEARCH(Table1[[#This Row],[their_ent_2]],Table1[[#This Row],[my_ent_2]])), 1, 0)</f>
        <v>0</v>
      </c>
    </row>
    <row r="130" spans="1:12" x14ac:dyDescent="0.3">
      <c r="A130" t="s">
        <v>499</v>
      </c>
      <c r="B130" t="s">
        <v>376</v>
      </c>
      <c r="C130" t="s">
        <v>500</v>
      </c>
      <c r="D130" t="s">
        <v>501</v>
      </c>
      <c r="E130" t="s">
        <v>392</v>
      </c>
      <c r="F130">
        <v>0</v>
      </c>
      <c r="G130">
        <v>128</v>
      </c>
      <c r="H130">
        <f>IF(Table1[[#This Row],[my_ent_1]]=Table1[[#This Row],[their_ent_1]], 1, 0)</f>
        <v>0</v>
      </c>
      <c r="I130">
        <f>IF(Table1[[#This Row],[my_ent_2]]=Table1[[#This Row],[their_ent_2]], 1, 0)</f>
        <v>0</v>
      </c>
      <c r="J130">
        <f>IF(Table1[[#This Row],[same_1]]=1 &amp; Table1[[#This Row],[same_2]]=1, 1, 0)</f>
        <v>0</v>
      </c>
      <c r="K130">
        <f>IF(ISNUMBER(SEARCH(Table1[[#This Row],[their_ent_1]],Table1[[#This Row],[my_ent_1]])), 1, 0)</f>
        <v>0</v>
      </c>
      <c r="L130">
        <f>IF(ISNUMBER(SEARCH(Table1[[#This Row],[their_ent_2]],Table1[[#This Row],[my_ent_2]])), 1, 0)</f>
        <v>1</v>
      </c>
    </row>
    <row r="131" spans="1:12" x14ac:dyDescent="0.3">
      <c r="A131" t="s">
        <v>502</v>
      </c>
      <c r="B131" t="s">
        <v>503</v>
      </c>
      <c r="C131" t="s">
        <v>503</v>
      </c>
      <c r="D131" t="s">
        <v>26</v>
      </c>
      <c r="E131" t="s">
        <v>60</v>
      </c>
      <c r="F131">
        <v>0</v>
      </c>
      <c r="G131">
        <v>129</v>
      </c>
      <c r="H131">
        <f>IF(Table1[[#This Row],[my_ent_1]]=Table1[[#This Row],[their_ent_1]], 1, 0)</f>
        <v>1</v>
      </c>
      <c r="I131">
        <f>IF(Table1[[#This Row],[my_ent_2]]=Table1[[#This Row],[their_ent_2]], 1, 0)</f>
        <v>0</v>
      </c>
      <c r="J131">
        <f>IF(Table1[[#This Row],[same_1]]=1 &amp; Table1[[#This Row],[same_2]]=1, 1, 0)</f>
        <v>0</v>
      </c>
      <c r="K131">
        <f>IF(ISNUMBER(SEARCH(Table1[[#This Row],[their_ent_1]],Table1[[#This Row],[my_ent_1]])), 1, 0)</f>
        <v>1</v>
      </c>
      <c r="L131">
        <f>IF(ISNUMBER(SEARCH(Table1[[#This Row],[their_ent_2]],Table1[[#This Row],[my_ent_2]])), 1, 0)</f>
        <v>0</v>
      </c>
    </row>
    <row r="132" spans="1:12" x14ac:dyDescent="0.3">
      <c r="A132" t="s">
        <v>504</v>
      </c>
      <c r="B132" t="s">
        <v>323</v>
      </c>
      <c r="C132" t="s">
        <v>324</v>
      </c>
      <c r="D132" t="s">
        <v>505</v>
      </c>
      <c r="E132" t="s">
        <v>506</v>
      </c>
      <c r="F132">
        <v>0</v>
      </c>
      <c r="G132">
        <v>130</v>
      </c>
      <c r="H132">
        <f>IF(Table1[[#This Row],[my_ent_1]]=Table1[[#This Row],[their_ent_1]], 1, 0)</f>
        <v>0</v>
      </c>
      <c r="I132">
        <f>IF(Table1[[#This Row],[my_ent_2]]=Table1[[#This Row],[their_ent_2]], 1, 0)</f>
        <v>0</v>
      </c>
      <c r="J132">
        <f>IF(Table1[[#This Row],[same_1]]=1 &amp; Table1[[#This Row],[same_2]]=1, 1, 0)</f>
        <v>0</v>
      </c>
      <c r="K132">
        <f>IF(ISNUMBER(SEARCH(Table1[[#This Row],[their_ent_1]],Table1[[#This Row],[my_ent_1]])), 1, 0)</f>
        <v>1</v>
      </c>
      <c r="L132">
        <f>IF(ISNUMBER(SEARCH(Table1[[#This Row],[their_ent_2]],Table1[[#This Row],[my_ent_2]])), 1, 0)</f>
        <v>0</v>
      </c>
    </row>
    <row r="133" spans="1:12" x14ac:dyDescent="0.3">
      <c r="A133" t="s">
        <v>507</v>
      </c>
      <c r="B133" t="s">
        <v>163</v>
      </c>
      <c r="C133" t="s">
        <v>163</v>
      </c>
      <c r="D133" t="s">
        <v>30</v>
      </c>
      <c r="E133" t="s">
        <v>198</v>
      </c>
      <c r="F133">
        <v>0</v>
      </c>
      <c r="G133">
        <v>131</v>
      </c>
      <c r="H133">
        <f>IF(Table1[[#This Row],[my_ent_1]]=Table1[[#This Row],[their_ent_1]], 1, 0)</f>
        <v>1</v>
      </c>
      <c r="I133">
        <f>IF(Table1[[#This Row],[my_ent_2]]=Table1[[#This Row],[their_ent_2]], 1, 0)</f>
        <v>0</v>
      </c>
      <c r="J133">
        <f>IF(Table1[[#This Row],[same_1]]=1 &amp; Table1[[#This Row],[same_2]]=1, 1, 0)</f>
        <v>0</v>
      </c>
      <c r="K133">
        <f>IF(ISNUMBER(SEARCH(Table1[[#This Row],[their_ent_1]],Table1[[#This Row],[my_ent_1]])), 1, 0)</f>
        <v>1</v>
      </c>
      <c r="L133">
        <f>IF(ISNUMBER(SEARCH(Table1[[#This Row],[their_ent_2]],Table1[[#This Row],[my_ent_2]])), 1, 0)</f>
        <v>0</v>
      </c>
    </row>
    <row r="134" spans="1:12" x14ac:dyDescent="0.3">
      <c r="A134" t="s">
        <v>508</v>
      </c>
      <c r="B134" t="s">
        <v>260</v>
      </c>
      <c r="C134" t="s">
        <v>405</v>
      </c>
      <c r="D134" t="s">
        <v>509</v>
      </c>
      <c r="E134" t="s">
        <v>509</v>
      </c>
      <c r="F134">
        <v>0</v>
      </c>
      <c r="G134">
        <v>132</v>
      </c>
      <c r="H134">
        <f>IF(Table1[[#This Row],[my_ent_1]]=Table1[[#This Row],[their_ent_1]], 1, 0)</f>
        <v>0</v>
      </c>
      <c r="I134">
        <f>IF(Table1[[#This Row],[my_ent_2]]=Table1[[#This Row],[their_ent_2]], 1, 0)</f>
        <v>1</v>
      </c>
      <c r="J134">
        <f>IF(Table1[[#This Row],[same_1]]=1 &amp; Table1[[#This Row],[same_2]]=1, 1, 0)</f>
        <v>0</v>
      </c>
      <c r="K134">
        <f>IF(ISNUMBER(SEARCH(Table1[[#This Row],[their_ent_1]],Table1[[#This Row],[my_ent_1]])), 1, 0)</f>
        <v>1</v>
      </c>
      <c r="L134">
        <f>IF(ISNUMBER(SEARCH(Table1[[#This Row],[their_ent_2]],Table1[[#This Row],[my_ent_2]])), 1, 0)</f>
        <v>1</v>
      </c>
    </row>
    <row r="135" spans="1:12" x14ac:dyDescent="0.3">
      <c r="A135" t="s">
        <v>510</v>
      </c>
      <c r="B135" t="s">
        <v>511</v>
      </c>
      <c r="C135" t="s">
        <v>511</v>
      </c>
      <c r="D135" t="s">
        <v>512</v>
      </c>
      <c r="E135" t="s">
        <v>513</v>
      </c>
      <c r="F135">
        <v>0</v>
      </c>
      <c r="G135">
        <v>133</v>
      </c>
      <c r="H135">
        <f>IF(Table1[[#This Row],[my_ent_1]]=Table1[[#This Row],[their_ent_1]], 1, 0)</f>
        <v>1</v>
      </c>
      <c r="I135">
        <f>IF(Table1[[#This Row],[my_ent_2]]=Table1[[#This Row],[their_ent_2]], 1, 0)</f>
        <v>0</v>
      </c>
      <c r="J135">
        <f>IF(Table1[[#This Row],[same_1]]=1 &amp; Table1[[#This Row],[same_2]]=1, 1, 0)</f>
        <v>0</v>
      </c>
      <c r="K135">
        <f>IF(ISNUMBER(SEARCH(Table1[[#This Row],[their_ent_1]],Table1[[#This Row],[my_ent_1]])), 1, 0)</f>
        <v>1</v>
      </c>
      <c r="L135">
        <f>IF(ISNUMBER(SEARCH(Table1[[#This Row],[their_ent_2]],Table1[[#This Row],[my_ent_2]])), 1, 0)</f>
        <v>0</v>
      </c>
    </row>
    <row r="136" spans="1:12" x14ac:dyDescent="0.3">
      <c r="A136" t="s">
        <v>514</v>
      </c>
      <c r="B136" t="s">
        <v>515</v>
      </c>
      <c r="C136" t="s">
        <v>516</v>
      </c>
      <c r="D136" t="s">
        <v>59</v>
      </c>
      <c r="E136" t="s">
        <v>515</v>
      </c>
      <c r="F136">
        <v>0</v>
      </c>
      <c r="G136">
        <v>134</v>
      </c>
      <c r="H136">
        <f>IF(Table1[[#This Row],[my_ent_1]]=Table1[[#This Row],[their_ent_1]], 1, 0)</f>
        <v>0</v>
      </c>
      <c r="I136">
        <f>IF(Table1[[#This Row],[my_ent_2]]=Table1[[#This Row],[their_ent_2]], 1, 0)</f>
        <v>0</v>
      </c>
      <c r="J136">
        <f>IF(Table1[[#This Row],[same_1]]=1 &amp; Table1[[#This Row],[same_2]]=1, 1, 0)</f>
        <v>0</v>
      </c>
      <c r="K136">
        <f>IF(ISNUMBER(SEARCH(Table1[[#This Row],[their_ent_1]],Table1[[#This Row],[my_ent_1]])), 1, 0)</f>
        <v>0</v>
      </c>
      <c r="L136">
        <f>IF(ISNUMBER(SEARCH(Table1[[#This Row],[their_ent_2]],Table1[[#This Row],[my_ent_2]])), 1, 0)</f>
        <v>0</v>
      </c>
    </row>
    <row r="137" spans="1:12" x14ac:dyDescent="0.3">
      <c r="A137" t="s">
        <v>517</v>
      </c>
      <c r="B137" t="s">
        <v>518</v>
      </c>
      <c r="C137" t="s">
        <v>519</v>
      </c>
      <c r="D137" t="s">
        <v>519</v>
      </c>
      <c r="E137" t="s">
        <v>128</v>
      </c>
      <c r="F137">
        <v>0</v>
      </c>
      <c r="G137">
        <v>135</v>
      </c>
      <c r="H137">
        <f>IF(Table1[[#This Row],[my_ent_1]]=Table1[[#This Row],[their_ent_1]], 1, 0)</f>
        <v>0</v>
      </c>
      <c r="I137">
        <f>IF(Table1[[#This Row],[my_ent_2]]=Table1[[#This Row],[their_ent_2]], 1, 0)</f>
        <v>0</v>
      </c>
      <c r="J137">
        <f>IF(Table1[[#This Row],[same_1]]=1 &amp; Table1[[#This Row],[same_2]]=1, 1, 0)</f>
        <v>0</v>
      </c>
      <c r="K137">
        <f>IF(ISNUMBER(SEARCH(Table1[[#This Row],[their_ent_1]],Table1[[#This Row],[my_ent_1]])), 1, 0)</f>
        <v>0</v>
      </c>
      <c r="L137">
        <f>IF(ISNUMBER(SEARCH(Table1[[#This Row],[their_ent_2]],Table1[[#This Row],[my_ent_2]])), 1, 0)</f>
        <v>0</v>
      </c>
    </row>
    <row r="138" spans="1:12" x14ac:dyDescent="0.3">
      <c r="A138" t="s">
        <v>520</v>
      </c>
      <c r="B138" t="s">
        <v>521</v>
      </c>
      <c r="C138" t="s">
        <v>522</v>
      </c>
      <c r="D138" t="s">
        <v>523</v>
      </c>
      <c r="E138" t="s">
        <v>524</v>
      </c>
      <c r="F138">
        <v>0</v>
      </c>
      <c r="G138">
        <v>136</v>
      </c>
      <c r="H138">
        <f>IF(Table1[[#This Row],[my_ent_1]]=Table1[[#This Row],[their_ent_1]], 1, 0)</f>
        <v>0</v>
      </c>
      <c r="I138">
        <f>IF(Table1[[#This Row],[my_ent_2]]=Table1[[#This Row],[their_ent_2]], 1, 0)</f>
        <v>0</v>
      </c>
      <c r="J138">
        <f>IF(Table1[[#This Row],[same_1]]=1 &amp; Table1[[#This Row],[same_2]]=1, 1, 0)</f>
        <v>0</v>
      </c>
      <c r="K138">
        <f>IF(ISNUMBER(SEARCH(Table1[[#This Row],[their_ent_1]],Table1[[#This Row],[my_ent_1]])), 1, 0)</f>
        <v>0</v>
      </c>
      <c r="L138">
        <f>IF(ISNUMBER(SEARCH(Table1[[#This Row],[their_ent_2]],Table1[[#This Row],[my_ent_2]])), 1, 0)</f>
        <v>0</v>
      </c>
    </row>
    <row r="139" spans="1:12" x14ac:dyDescent="0.3">
      <c r="A139" t="s">
        <v>525</v>
      </c>
      <c r="B139" t="s">
        <v>376</v>
      </c>
      <c r="C139" t="s">
        <v>526</v>
      </c>
      <c r="D139" t="s">
        <v>164</v>
      </c>
      <c r="E139" t="s">
        <v>527</v>
      </c>
      <c r="F139">
        <v>0</v>
      </c>
      <c r="G139">
        <v>137</v>
      </c>
      <c r="H139">
        <f>IF(Table1[[#This Row],[my_ent_1]]=Table1[[#This Row],[their_ent_1]], 1, 0)</f>
        <v>0</v>
      </c>
      <c r="I139">
        <f>IF(Table1[[#This Row],[my_ent_2]]=Table1[[#This Row],[their_ent_2]], 1, 0)</f>
        <v>0</v>
      </c>
      <c r="J139">
        <f>IF(Table1[[#This Row],[same_1]]=1 &amp; Table1[[#This Row],[same_2]]=1, 1, 0)</f>
        <v>0</v>
      </c>
      <c r="K139">
        <f>IF(ISNUMBER(SEARCH(Table1[[#This Row],[their_ent_1]],Table1[[#This Row],[my_ent_1]])), 1, 0)</f>
        <v>0</v>
      </c>
      <c r="L139">
        <f>IF(ISNUMBER(SEARCH(Table1[[#This Row],[their_ent_2]],Table1[[#This Row],[my_ent_2]])), 1, 0)</f>
        <v>0</v>
      </c>
    </row>
    <row r="140" spans="1:12" x14ac:dyDescent="0.3">
      <c r="A140" t="s">
        <v>528</v>
      </c>
      <c r="B140" t="s">
        <v>529</v>
      </c>
      <c r="C140" t="s">
        <v>529</v>
      </c>
      <c r="D140" t="s">
        <v>51</v>
      </c>
      <c r="E140" t="s">
        <v>168</v>
      </c>
      <c r="F140">
        <v>0</v>
      </c>
      <c r="G140">
        <v>138</v>
      </c>
      <c r="H140">
        <f>IF(Table1[[#This Row],[my_ent_1]]=Table1[[#This Row],[their_ent_1]], 1, 0)</f>
        <v>1</v>
      </c>
      <c r="I140">
        <f>IF(Table1[[#This Row],[my_ent_2]]=Table1[[#This Row],[their_ent_2]], 1, 0)</f>
        <v>0</v>
      </c>
      <c r="J140">
        <f>IF(Table1[[#This Row],[same_1]]=1 &amp; Table1[[#This Row],[same_2]]=1, 1, 0)</f>
        <v>0</v>
      </c>
      <c r="K140">
        <f>IF(ISNUMBER(SEARCH(Table1[[#This Row],[their_ent_1]],Table1[[#This Row],[my_ent_1]])), 1, 0)</f>
        <v>1</v>
      </c>
      <c r="L140">
        <f>IF(ISNUMBER(SEARCH(Table1[[#This Row],[their_ent_2]],Table1[[#This Row],[my_ent_2]])), 1, 0)</f>
        <v>0</v>
      </c>
    </row>
    <row r="141" spans="1:12" x14ac:dyDescent="0.3">
      <c r="A141" t="s">
        <v>530</v>
      </c>
      <c r="B141" t="s">
        <v>531</v>
      </c>
      <c r="C141" t="s">
        <v>532</v>
      </c>
      <c r="D141" t="s">
        <v>26</v>
      </c>
      <c r="E141" t="s">
        <v>533</v>
      </c>
      <c r="F141">
        <v>0</v>
      </c>
      <c r="G141">
        <v>139</v>
      </c>
      <c r="H141">
        <f>IF(Table1[[#This Row],[my_ent_1]]=Table1[[#This Row],[their_ent_1]], 1, 0)</f>
        <v>0</v>
      </c>
      <c r="I141">
        <f>IF(Table1[[#This Row],[my_ent_2]]=Table1[[#This Row],[their_ent_2]], 1, 0)</f>
        <v>0</v>
      </c>
      <c r="J141">
        <f>IF(Table1[[#This Row],[same_1]]=1 &amp; Table1[[#This Row],[same_2]]=1, 1, 0)</f>
        <v>0</v>
      </c>
      <c r="K141">
        <f>IF(ISNUMBER(SEARCH(Table1[[#This Row],[their_ent_1]],Table1[[#This Row],[my_ent_1]])), 1, 0)</f>
        <v>0</v>
      </c>
      <c r="L141">
        <f>IF(ISNUMBER(SEARCH(Table1[[#This Row],[their_ent_2]],Table1[[#This Row],[my_ent_2]])), 1, 0)</f>
        <v>0</v>
      </c>
    </row>
    <row r="142" spans="1:12" x14ac:dyDescent="0.3">
      <c r="A142" t="s">
        <v>534</v>
      </c>
      <c r="B142" t="s">
        <v>535</v>
      </c>
      <c r="C142" t="s">
        <v>536</v>
      </c>
      <c r="D142" t="s">
        <v>78</v>
      </c>
      <c r="E142" t="s">
        <v>78</v>
      </c>
      <c r="F142">
        <v>0</v>
      </c>
      <c r="G142">
        <v>140</v>
      </c>
      <c r="H142">
        <f>IF(Table1[[#This Row],[my_ent_1]]=Table1[[#This Row],[their_ent_1]], 1, 0)</f>
        <v>0</v>
      </c>
      <c r="I142">
        <f>IF(Table1[[#This Row],[my_ent_2]]=Table1[[#This Row],[their_ent_2]], 1, 0)</f>
        <v>1</v>
      </c>
      <c r="J142">
        <f>IF(Table1[[#This Row],[same_1]]=1 &amp; Table1[[#This Row],[same_2]]=1, 1, 0)</f>
        <v>0</v>
      </c>
      <c r="K142">
        <f>IF(ISNUMBER(SEARCH(Table1[[#This Row],[their_ent_1]],Table1[[#This Row],[my_ent_1]])), 1, 0)</f>
        <v>0</v>
      </c>
      <c r="L142">
        <f>IF(ISNUMBER(SEARCH(Table1[[#This Row],[their_ent_2]],Table1[[#This Row],[my_ent_2]])), 1, 0)</f>
        <v>1</v>
      </c>
    </row>
    <row r="143" spans="1:12" x14ac:dyDescent="0.3">
      <c r="A143" t="s">
        <v>537</v>
      </c>
      <c r="B143" t="s">
        <v>538</v>
      </c>
      <c r="C143" t="s">
        <v>539</v>
      </c>
      <c r="D143" t="s">
        <v>539</v>
      </c>
      <c r="E143" t="s">
        <v>540</v>
      </c>
      <c r="F143">
        <v>0</v>
      </c>
      <c r="G143">
        <v>141</v>
      </c>
      <c r="H143">
        <f>IF(Table1[[#This Row],[my_ent_1]]=Table1[[#This Row],[their_ent_1]], 1, 0)</f>
        <v>0</v>
      </c>
      <c r="I143">
        <f>IF(Table1[[#This Row],[my_ent_2]]=Table1[[#This Row],[their_ent_2]], 1, 0)</f>
        <v>0</v>
      </c>
      <c r="J143">
        <f>IF(Table1[[#This Row],[same_1]]=1 &amp; Table1[[#This Row],[same_2]]=1, 1, 0)</f>
        <v>0</v>
      </c>
      <c r="K143">
        <f>IF(ISNUMBER(SEARCH(Table1[[#This Row],[their_ent_1]],Table1[[#This Row],[my_ent_1]])), 1, 0)</f>
        <v>0</v>
      </c>
      <c r="L143">
        <f>IF(ISNUMBER(SEARCH(Table1[[#This Row],[their_ent_2]],Table1[[#This Row],[my_ent_2]])), 1, 0)</f>
        <v>0</v>
      </c>
    </row>
    <row r="144" spans="1:12" x14ac:dyDescent="0.3">
      <c r="A144" t="s">
        <v>541</v>
      </c>
      <c r="B144" t="s">
        <v>542</v>
      </c>
      <c r="C144" t="s">
        <v>543</v>
      </c>
      <c r="D144" t="s">
        <v>544</v>
      </c>
      <c r="E144" t="s">
        <v>545</v>
      </c>
      <c r="F144">
        <v>0</v>
      </c>
      <c r="G144">
        <v>142</v>
      </c>
      <c r="H144">
        <f>IF(Table1[[#This Row],[my_ent_1]]=Table1[[#This Row],[their_ent_1]], 1, 0)</f>
        <v>0</v>
      </c>
      <c r="I144">
        <f>IF(Table1[[#This Row],[my_ent_2]]=Table1[[#This Row],[their_ent_2]], 1, 0)</f>
        <v>0</v>
      </c>
      <c r="J144">
        <f>IF(Table1[[#This Row],[same_1]]=1 &amp; Table1[[#This Row],[same_2]]=1, 1, 0)</f>
        <v>0</v>
      </c>
      <c r="K144">
        <f>IF(ISNUMBER(SEARCH(Table1[[#This Row],[their_ent_1]],Table1[[#This Row],[my_ent_1]])), 1, 0)</f>
        <v>0</v>
      </c>
      <c r="L144">
        <f>IF(ISNUMBER(SEARCH(Table1[[#This Row],[their_ent_2]],Table1[[#This Row],[my_ent_2]])), 1, 0)</f>
        <v>0</v>
      </c>
    </row>
    <row r="145" spans="1:12" x14ac:dyDescent="0.3">
      <c r="A145" t="s">
        <v>546</v>
      </c>
      <c r="B145" t="s">
        <v>547</v>
      </c>
      <c r="C145" t="s">
        <v>548</v>
      </c>
      <c r="D145" t="s">
        <v>549</v>
      </c>
      <c r="E145" t="s">
        <v>550</v>
      </c>
      <c r="F145">
        <v>0</v>
      </c>
      <c r="G145">
        <v>143</v>
      </c>
      <c r="H145">
        <f>IF(Table1[[#This Row],[my_ent_1]]=Table1[[#This Row],[their_ent_1]], 1, 0)</f>
        <v>0</v>
      </c>
      <c r="I145">
        <f>IF(Table1[[#This Row],[my_ent_2]]=Table1[[#This Row],[their_ent_2]], 1, 0)</f>
        <v>0</v>
      </c>
      <c r="J145">
        <f>IF(Table1[[#This Row],[same_1]]=1 &amp; Table1[[#This Row],[same_2]]=1, 1, 0)</f>
        <v>0</v>
      </c>
      <c r="K145">
        <f>IF(ISNUMBER(SEARCH(Table1[[#This Row],[their_ent_1]],Table1[[#This Row],[my_ent_1]])), 1, 0)</f>
        <v>0</v>
      </c>
      <c r="L145">
        <f>IF(ISNUMBER(SEARCH(Table1[[#This Row],[their_ent_2]],Table1[[#This Row],[my_ent_2]])), 1, 0)</f>
        <v>0</v>
      </c>
    </row>
    <row r="146" spans="1:12" x14ac:dyDescent="0.3">
      <c r="A146" t="s">
        <v>551</v>
      </c>
      <c r="B146" t="s">
        <v>552</v>
      </c>
      <c r="C146" t="s">
        <v>553</v>
      </c>
      <c r="D146" t="s">
        <v>554</v>
      </c>
      <c r="E146" t="s">
        <v>555</v>
      </c>
      <c r="F146">
        <v>0</v>
      </c>
      <c r="G146">
        <v>144</v>
      </c>
      <c r="H146">
        <f>IF(Table1[[#This Row],[my_ent_1]]=Table1[[#This Row],[their_ent_1]], 1, 0)</f>
        <v>0</v>
      </c>
      <c r="I146">
        <f>IF(Table1[[#This Row],[my_ent_2]]=Table1[[#This Row],[their_ent_2]], 1, 0)</f>
        <v>0</v>
      </c>
      <c r="J146">
        <f>IF(Table1[[#This Row],[same_1]]=1 &amp; Table1[[#This Row],[same_2]]=1, 1, 0)</f>
        <v>0</v>
      </c>
      <c r="K146">
        <f>IF(ISNUMBER(SEARCH(Table1[[#This Row],[their_ent_1]],Table1[[#This Row],[my_ent_1]])), 1, 0)</f>
        <v>0</v>
      </c>
      <c r="L146">
        <f>IF(ISNUMBER(SEARCH(Table1[[#This Row],[their_ent_2]],Table1[[#This Row],[my_ent_2]])), 1, 0)</f>
        <v>0</v>
      </c>
    </row>
    <row r="147" spans="1:12" x14ac:dyDescent="0.3">
      <c r="A147" t="s">
        <v>556</v>
      </c>
      <c r="B147" t="s">
        <v>557</v>
      </c>
      <c r="C147" t="s">
        <v>557</v>
      </c>
      <c r="D147" t="s">
        <v>558</v>
      </c>
      <c r="E147" t="s">
        <v>559</v>
      </c>
      <c r="F147">
        <v>0</v>
      </c>
      <c r="G147">
        <v>145</v>
      </c>
      <c r="H147">
        <f>IF(Table1[[#This Row],[my_ent_1]]=Table1[[#This Row],[their_ent_1]], 1, 0)</f>
        <v>1</v>
      </c>
      <c r="I147">
        <f>IF(Table1[[#This Row],[my_ent_2]]=Table1[[#This Row],[their_ent_2]], 1, 0)</f>
        <v>0</v>
      </c>
      <c r="J147">
        <f>IF(Table1[[#This Row],[same_1]]=1 &amp; Table1[[#This Row],[same_2]]=1, 1, 0)</f>
        <v>0</v>
      </c>
      <c r="K147">
        <f>IF(ISNUMBER(SEARCH(Table1[[#This Row],[their_ent_1]],Table1[[#This Row],[my_ent_1]])), 1, 0)</f>
        <v>1</v>
      </c>
      <c r="L147">
        <f>IF(ISNUMBER(SEARCH(Table1[[#This Row],[their_ent_2]],Table1[[#This Row],[my_ent_2]])), 1, 0)</f>
        <v>0</v>
      </c>
    </row>
    <row r="148" spans="1:12" x14ac:dyDescent="0.3">
      <c r="A148" t="s">
        <v>560</v>
      </c>
      <c r="B148" t="s">
        <v>561</v>
      </c>
      <c r="C148" t="s">
        <v>562</v>
      </c>
      <c r="D148" t="s">
        <v>563</v>
      </c>
      <c r="E148" t="s">
        <v>561</v>
      </c>
      <c r="F148">
        <v>0</v>
      </c>
      <c r="G148">
        <v>146</v>
      </c>
      <c r="H148">
        <f>IF(Table1[[#This Row],[my_ent_1]]=Table1[[#This Row],[their_ent_1]], 1, 0)</f>
        <v>0</v>
      </c>
      <c r="I148">
        <f>IF(Table1[[#This Row],[my_ent_2]]=Table1[[#This Row],[their_ent_2]], 1, 0)</f>
        <v>0</v>
      </c>
      <c r="J148">
        <f>IF(Table1[[#This Row],[same_1]]=1 &amp; Table1[[#This Row],[same_2]]=1, 1, 0)</f>
        <v>0</v>
      </c>
      <c r="K148">
        <f>IF(ISNUMBER(SEARCH(Table1[[#This Row],[their_ent_1]],Table1[[#This Row],[my_ent_1]])), 1, 0)</f>
        <v>0</v>
      </c>
      <c r="L148">
        <f>IF(ISNUMBER(SEARCH(Table1[[#This Row],[their_ent_2]],Table1[[#This Row],[my_ent_2]])), 1, 0)</f>
        <v>0</v>
      </c>
    </row>
    <row r="149" spans="1:12" x14ac:dyDescent="0.3">
      <c r="A149" t="s">
        <v>564</v>
      </c>
      <c r="B149" t="s">
        <v>565</v>
      </c>
      <c r="C149" t="s">
        <v>566</v>
      </c>
      <c r="D149" t="s">
        <v>54</v>
      </c>
      <c r="E149" t="s">
        <v>54</v>
      </c>
      <c r="F149">
        <v>0</v>
      </c>
      <c r="G149">
        <v>147</v>
      </c>
      <c r="H149">
        <f>IF(Table1[[#This Row],[my_ent_1]]=Table1[[#This Row],[their_ent_1]], 1, 0)</f>
        <v>0</v>
      </c>
      <c r="I149">
        <f>IF(Table1[[#This Row],[my_ent_2]]=Table1[[#This Row],[their_ent_2]], 1, 0)</f>
        <v>1</v>
      </c>
      <c r="J149">
        <f>IF(Table1[[#This Row],[same_1]]=1 &amp; Table1[[#This Row],[same_2]]=1, 1, 0)</f>
        <v>0</v>
      </c>
      <c r="K149">
        <f>IF(ISNUMBER(SEARCH(Table1[[#This Row],[their_ent_1]],Table1[[#This Row],[my_ent_1]])), 1, 0)</f>
        <v>1</v>
      </c>
      <c r="L149">
        <f>IF(ISNUMBER(SEARCH(Table1[[#This Row],[their_ent_2]],Table1[[#This Row],[my_ent_2]])), 1, 0)</f>
        <v>1</v>
      </c>
    </row>
    <row r="150" spans="1:12" x14ac:dyDescent="0.3">
      <c r="A150" t="s">
        <v>567</v>
      </c>
      <c r="B150" t="s">
        <v>26</v>
      </c>
      <c r="C150" t="s">
        <v>568</v>
      </c>
      <c r="D150" t="s">
        <v>78</v>
      </c>
      <c r="E150" t="s">
        <v>78</v>
      </c>
      <c r="F150">
        <v>0</v>
      </c>
      <c r="G150">
        <v>148</v>
      </c>
      <c r="H150">
        <f>IF(Table1[[#This Row],[my_ent_1]]=Table1[[#This Row],[their_ent_1]], 1, 0)</f>
        <v>0</v>
      </c>
      <c r="I150">
        <f>IF(Table1[[#This Row],[my_ent_2]]=Table1[[#This Row],[their_ent_2]], 1, 0)</f>
        <v>1</v>
      </c>
      <c r="J150">
        <f>IF(Table1[[#This Row],[same_1]]=1 &amp; Table1[[#This Row],[same_2]]=1, 1, 0)</f>
        <v>0</v>
      </c>
      <c r="K150">
        <f>IF(ISNUMBER(SEARCH(Table1[[#This Row],[their_ent_1]],Table1[[#This Row],[my_ent_1]])), 1, 0)</f>
        <v>0</v>
      </c>
      <c r="L150">
        <f>IF(ISNUMBER(SEARCH(Table1[[#This Row],[their_ent_2]],Table1[[#This Row],[my_ent_2]])), 1, 0)</f>
        <v>1</v>
      </c>
    </row>
    <row r="151" spans="1:12" x14ac:dyDescent="0.3">
      <c r="A151" t="s">
        <v>569</v>
      </c>
      <c r="B151" t="s">
        <v>222</v>
      </c>
      <c r="C151" t="s">
        <v>222</v>
      </c>
      <c r="D151" t="s">
        <v>570</v>
      </c>
      <c r="E151" t="s">
        <v>44</v>
      </c>
      <c r="F151">
        <v>0</v>
      </c>
      <c r="G151">
        <v>149</v>
      </c>
      <c r="H151">
        <f>IF(Table1[[#This Row],[my_ent_1]]=Table1[[#This Row],[their_ent_1]], 1, 0)</f>
        <v>1</v>
      </c>
      <c r="I151">
        <f>IF(Table1[[#This Row],[my_ent_2]]=Table1[[#This Row],[their_ent_2]], 1, 0)</f>
        <v>0</v>
      </c>
      <c r="J151">
        <f>IF(Table1[[#This Row],[same_1]]=1 &amp; Table1[[#This Row],[same_2]]=1, 1, 0)</f>
        <v>0</v>
      </c>
      <c r="K151">
        <f>IF(ISNUMBER(SEARCH(Table1[[#This Row],[their_ent_1]],Table1[[#This Row],[my_ent_1]])), 1, 0)</f>
        <v>1</v>
      </c>
      <c r="L151">
        <f>IF(ISNUMBER(SEARCH(Table1[[#This Row],[their_ent_2]],Table1[[#This Row],[my_ent_2]])), 1, 0)</f>
        <v>0</v>
      </c>
    </row>
    <row r="152" spans="1:12" x14ac:dyDescent="0.3">
      <c r="A152" t="s">
        <v>571</v>
      </c>
      <c r="B152" t="s">
        <v>572</v>
      </c>
      <c r="C152" t="s">
        <v>573</v>
      </c>
      <c r="D152" t="s">
        <v>573</v>
      </c>
      <c r="E152" t="s">
        <v>574</v>
      </c>
      <c r="F152">
        <v>0</v>
      </c>
      <c r="G152">
        <v>150</v>
      </c>
      <c r="H152">
        <f>IF(Table1[[#This Row],[my_ent_1]]=Table1[[#This Row],[their_ent_1]], 1, 0)</f>
        <v>0</v>
      </c>
      <c r="I152">
        <f>IF(Table1[[#This Row],[my_ent_2]]=Table1[[#This Row],[their_ent_2]], 1, 0)</f>
        <v>0</v>
      </c>
      <c r="J152">
        <f>IF(Table1[[#This Row],[same_1]]=1 &amp; Table1[[#This Row],[same_2]]=1, 1, 0)</f>
        <v>0</v>
      </c>
      <c r="K152">
        <f>IF(ISNUMBER(SEARCH(Table1[[#This Row],[their_ent_1]],Table1[[#This Row],[my_ent_1]])), 1, 0)</f>
        <v>0</v>
      </c>
      <c r="L152">
        <f>IF(ISNUMBER(SEARCH(Table1[[#This Row],[their_ent_2]],Table1[[#This Row],[my_ent_2]])), 1, 0)</f>
        <v>0</v>
      </c>
    </row>
    <row r="153" spans="1:12" x14ac:dyDescent="0.3">
      <c r="A153" t="s">
        <v>575</v>
      </c>
      <c r="B153" t="s">
        <v>323</v>
      </c>
      <c r="C153" t="s">
        <v>410</v>
      </c>
      <c r="D153" t="s">
        <v>576</v>
      </c>
      <c r="E153" t="s">
        <v>577</v>
      </c>
      <c r="F153">
        <v>0</v>
      </c>
      <c r="G153">
        <v>151</v>
      </c>
      <c r="H153">
        <f>IF(Table1[[#This Row],[my_ent_1]]=Table1[[#This Row],[their_ent_1]], 1, 0)</f>
        <v>0</v>
      </c>
      <c r="I153">
        <f>IF(Table1[[#This Row],[my_ent_2]]=Table1[[#This Row],[their_ent_2]], 1, 0)</f>
        <v>0</v>
      </c>
      <c r="J153">
        <f>IF(Table1[[#This Row],[same_1]]=1 &amp; Table1[[#This Row],[same_2]]=1, 1, 0)</f>
        <v>0</v>
      </c>
      <c r="K153">
        <f>IF(ISNUMBER(SEARCH(Table1[[#This Row],[their_ent_1]],Table1[[#This Row],[my_ent_1]])), 1, 0)</f>
        <v>0</v>
      </c>
      <c r="L153">
        <f>IF(ISNUMBER(SEARCH(Table1[[#This Row],[their_ent_2]],Table1[[#This Row],[my_ent_2]])), 1, 0)</f>
        <v>0</v>
      </c>
    </row>
    <row r="154" spans="1:12" x14ac:dyDescent="0.3">
      <c r="A154" t="s">
        <v>578</v>
      </c>
      <c r="B154" t="s">
        <v>579</v>
      </c>
      <c r="C154" t="s">
        <v>579</v>
      </c>
      <c r="D154" t="s">
        <v>580</v>
      </c>
      <c r="E154" t="s">
        <v>203</v>
      </c>
      <c r="F154">
        <v>0</v>
      </c>
      <c r="G154">
        <v>152</v>
      </c>
      <c r="H154">
        <f>IF(Table1[[#This Row],[my_ent_1]]=Table1[[#This Row],[their_ent_1]], 1, 0)</f>
        <v>1</v>
      </c>
      <c r="I154">
        <f>IF(Table1[[#This Row],[my_ent_2]]=Table1[[#This Row],[their_ent_2]], 1, 0)</f>
        <v>0</v>
      </c>
      <c r="J154">
        <f>IF(Table1[[#This Row],[same_1]]=1 &amp; Table1[[#This Row],[same_2]]=1, 1, 0)</f>
        <v>0</v>
      </c>
      <c r="K154">
        <f>IF(ISNUMBER(SEARCH(Table1[[#This Row],[their_ent_1]],Table1[[#This Row],[my_ent_1]])), 1, 0)</f>
        <v>1</v>
      </c>
      <c r="L154">
        <f>IF(ISNUMBER(SEARCH(Table1[[#This Row],[their_ent_2]],Table1[[#This Row],[my_ent_2]])), 1, 0)</f>
        <v>0</v>
      </c>
    </row>
    <row r="155" spans="1:12" x14ac:dyDescent="0.3">
      <c r="A155" t="s">
        <v>581</v>
      </c>
      <c r="B155" t="s">
        <v>130</v>
      </c>
      <c r="C155" t="s">
        <v>582</v>
      </c>
      <c r="D155" t="s">
        <v>451</v>
      </c>
      <c r="E155" t="s">
        <v>583</v>
      </c>
      <c r="F155">
        <v>0</v>
      </c>
      <c r="G155">
        <v>153</v>
      </c>
      <c r="H155">
        <f>IF(Table1[[#This Row],[my_ent_1]]=Table1[[#This Row],[their_ent_1]], 1, 0)</f>
        <v>0</v>
      </c>
      <c r="I155">
        <f>IF(Table1[[#This Row],[my_ent_2]]=Table1[[#This Row],[their_ent_2]], 1, 0)</f>
        <v>0</v>
      </c>
      <c r="J155">
        <f>IF(Table1[[#This Row],[same_1]]=1 &amp; Table1[[#This Row],[same_2]]=1, 1, 0)</f>
        <v>0</v>
      </c>
      <c r="K155">
        <f>IF(ISNUMBER(SEARCH(Table1[[#This Row],[their_ent_1]],Table1[[#This Row],[my_ent_1]])), 1, 0)</f>
        <v>0</v>
      </c>
      <c r="L155">
        <f>IF(ISNUMBER(SEARCH(Table1[[#This Row],[their_ent_2]],Table1[[#This Row],[my_ent_2]])), 1, 0)</f>
        <v>0</v>
      </c>
    </row>
    <row r="156" spans="1:12" x14ac:dyDescent="0.3">
      <c r="A156" t="s">
        <v>584</v>
      </c>
      <c r="B156" t="s">
        <v>585</v>
      </c>
      <c r="C156" t="s">
        <v>586</v>
      </c>
      <c r="D156" t="s">
        <v>587</v>
      </c>
      <c r="E156" t="s">
        <v>587</v>
      </c>
      <c r="F156">
        <v>0</v>
      </c>
      <c r="G156">
        <v>154</v>
      </c>
      <c r="H156">
        <f>IF(Table1[[#This Row],[my_ent_1]]=Table1[[#This Row],[their_ent_1]], 1, 0)</f>
        <v>0</v>
      </c>
      <c r="I156">
        <f>IF(Table1[[#This Row],[my_ent_2]]=Table1[[#This Row],[their_ent_2]], 1, 0)</f>
        <v>1</v>
      </c>
      <c r="J156">
        <f>IF(Table1[[#This Row],[same_1]]=1 &amp; Table1[[#This Row],[same_2]]=1, 1, 0)</f>
        <v>0</v>
      </c>
      <c r="K156">
        <f>IF(ISNUMBER(SEARCH(Table1[[#This Row],[their_ent_1]],Table1[[#This Row],[my_ent_1]])), 1, 0)</f>
        <v>0</v>
      </c>
      <c r="L156">
        <f>IF(ISNUMBER(SEARCH(Table1[[#This Row],[their_ent_2]],Table1[[#This Row],[my_ent_2]])), 1, 0)</f>
        <v>1</v>
      </c>
    </row>
    <row r="157" spans="1:12" x14ac:dyDescent="0.3">
      <c r="A157" t="s">
        <v>588</v>
      </c>
      <c r="B157" t="s">
        <v>589</v>
      </c>
      <c r="C157" t="s">
        <v>590</v>
      </c>
      <c r="D157" t="s">
        <v>20</v>
      </c>
      <c r="E157" t="s">
        <v>31</v>
      </c>
      <c r="F157">
        <v>0</v>
      </c>
      <c r="G157">
        <v>155</v>
      </c>
      <c r="H157">
        <f>IF(Table1[[#This Row],[my_ent_1]]=Table1[[#This Row],[their_ent_1]], 1, 0)</f>
        <v>0</v>
      </c>
      <c r="I157">
        <f>IF(Table1[[#This Row],[my_ent_2]]=Table1[[#This Row],[their_ent_2]], 1, 0)</f>
        <v>0</v>
      </c>
      <c r="J157">
        <f>IF(Table1[[#This Row],[same_1]]=1 &amp; Table1[[#This Row],[same_2]]=1, 1, 0)</f>
        <v>0</v>
      </c>
      <c r="K157">
        <f>IF(ISNUMBER(SEARCH(Table1[[#This Row],[their_ent_1]],Table1[[#This Row],[my_ent_1]])), 1, 0)</f>
        <v>1</v>
      </c>
      <c r="L157">
        <f>IF(ISNUMBER(SEARCH(Table1[[#This Row],[their_ent_2]],Table1[[#This Row],[my_ent_2]])), 1, 0)</f>
        <v>0</v>
      </c>
    </row>
    <row r="158" spans="1:12" x14ac:dyDescent="0.3">
      <c r="A158" t="s">
        <v>591</v>
      </c>
      <c r="B158" t="s">
        <v>592</v>
      </c>
      <c r="C158" t="s">
        <v>410</v>
      </c>
      <c r="D158" t="s">
        <v>593</v>
      </c>
      <c r="E158" t="s">
        <v>594</v>
      </c>
      <c r="F158">
        <v>0</v>
      </c>
      <c r="G158">
        <v>156</v>
      </c>
      <c r="H158">
        <f>IF(Table1[[#This Row],[my_ent_1]]=Table1[[#This Row],[their_ent_1]], 1, 0)</f>
        <v>0</v>
      </c>
      <c r="I158">
        <f>IF(Table1[[#This Row],[my_ent_2]]=Table1[[#This Row],[their_ent_2]], 1, 0)</f>
        <v>0</v>
      </c>
      <c r="J158">
        <f>IF(Table1[[#This Row],[same_1]]=1 &amp; Table1[[#This Row],[same_2]]=1, 1, 0)</f>
        <v>0</v>
      </c>
      <c r="K158">
        <f>IF(ISNUMBER(SEARCH(Table1[[#This Row],[their_ent_1]],Table1[[#This Row],[my_ent_1]])), 1, 0)</f>
        <v>1</v>
      </c>
      <c r="L158">
        <f>IF(ISNUMBER(SEARCH(Table1[[#This Row],[their_ent_2]],Table1[[#This Row],[my_ent_2]])), 1, 0)</f>
        <v>0</v>
      </c>
    </row>
    <row r="159" spans="1:12" x14ac:dyDescent="0.3">
      <c r="A159" t="s">
        <v>595</v>
      </c>
      <c r="B159" t="s">
        <v>20</v>
      </c>
      <c r="C159" t="s">
        <v>407</v>
      </c>
      <c r="D159" t="s">
        <v>596</v>
      </c>
      <c r="E159" t="s">
        <v>596</v>
      </c>
      <c r="F159">
        <v>0</v>
      </c>
      <c r="G159">
        <v>157</v>
      </c>
      <c r="H159">
        <f>IF(Table1[[#This Row],[my_ent_1]]=Table1[[#This Row],[their_ent_1]], 1, 0)</f>
        <v>0</v>
      </c>
      <c r="I159">
        <f>IF(Table1[[#This Row],[my_ent_2]]=Table1[[#This Row],[their_ent_2]], 1, 0)</f>
        <v>1</v>
      </c>
      <c r="J159">
        <f>IF(Table1[[#This Row],[same_1]]=1 &amp; Table1[[#This Row],[same_2]]=1, 1, 0)</f>
        <v>0</v>
      </c>
      <c r="K159">
        <f>IF(ISNUMBER(SEARCH(Table1[[#This Row],[their_ent_1]],Table1[[#This Row],[my_ent_1]])), 1, 0)</f>
        <v>0</v>
      </c>
      <c r="L159">
        <f>IF(ISNUMBER(SEARCH(Table1[[#This Row],[their_ent_2]],Table1[[#This Row],[my_ent_2]])), 1, 0)</f>
        <v>1</v>
      </c>
    </row>
    <row r="160" spans="1:12" x14ac:dyDescent="0.3">
      <c r="A160" t="s">
        <v>597</v>
      </c>
      <c r="B160" t="s">
        <v>598</v>
      </c>
      <c r="C160" t="s">
        <v>599</v>
      </c>
      <c r="D160" t="s">
        <v>127</v>
      </c>
      <c r="E160" t="s">
        <v>140</v>
      </c>
      <c r="F160">
        <v>0</v>
      </c>
      <c r="G160">
        <v>158</v>
      </c>
      <c r="H160">
        <f>IF(Table1[[#This Row],[my_ent_1]]=Table1[[#This Row],[their_ent_1]], 1, 0)</f>
        <v>0</v>
      </c>
      <c r="I160">
        <f>IF(Table1[[#This Row],[my_ent_2]]=Table1[[#This Row],[their_ent_2]], 1, 0)</f>
        <v>0</v>
      </c>
      <c r="J160">
        <f>IF(Table1[[#This Row],[same_1]]=1 &amp; Table1[[#This Row],[same_2]]=1, 1, 0)</f>
        <v>0</v>
      </c>
      <c r="K160">
        <f>IF(ISNUMBER(SEARCH(Table1[[#This Row],[their_ent_1]],Table1[[#This Row],[my_ent_1]])), 1, 0)</f>
        <v>0</v>
      </c>
      <c r="L160">
        <f>IF(ISNUMBER(SEARCH(Table1[[#This Row],[their_ent_2]],Table1[[#This Row],[my_ent_2]])), 1, 0)</f>
        <v>0</v>
      </c>
    </row>
    <row r="161" spans="1:12" x14ac:dyDescent="0.3">
      <c r="A161" t="s">
        <v>600</v>
      </c>
      <c r="B161" t="s">
        <v>601</v>
      </c>
      <c r="C161" t="s">
        <v>599</v>
      </c>
      <c r="D161" t="s">
        <v>602</v>
      </c>
      <c r="E161" t="s">
        <v>602</v>
      </c>
      <c r="F161">
        <v>0</v>
      </c>
      <c r="G161">
        <v>159</v>
      </c>
      <c r="H161">
        <f>IF(Table1[[#This Row],[my_ent_1]]=Table1[[#This Row],[their_ent_1]], 1, 0)</f>
        <v>0</v>
      </c>
      <c r="I161">
        <f>IF(Table1[[#This Row],[my_ent_2]]=Table1[[#This Row],[their_ent_2]], 1, 0)</f>
        <v>1</v>
      </c>
      <c r="J161">
        <f>IF(Table1[[#This Row],[same_1]]=1 &amp; Table1[[#This Row],[same_2]]=1, 1, 0)</f>
        <v>0</v>
      </c>
      <c r="K161">
        <f>IF(ISNUMBER(SEARCH(Table1[[#This Row],[their_ent_1]],Table1[[#This Row],[my_ent_1]])), 1, 0)</f>
        <v>0</v>
      </c>
      <c r="L161">
        <f>IF(ISNUMBER(SEARCH(Table1[[#This Row],[their_ent_2]],Table1[[#This Row],[my_ent_2]])), 1, 0)</f>
        <v>1</v>
      </c>
    </row>
    <row r="162" spans="1:12" x14ac:dyDescent="0.3">
      <c r="A162" t="s">
        <v>603</v>
      </c>
      <c r="B162" t="s">
        <v>604</v>
      </c>
      <c r="C162" t="s">
        <v>604</v>
      </c>
      <c r="D162" t="s">
        <v>605</v>
      </c>
      <c r="E162" t="s">
        <v>606</v>
      </c>
      <c r="F162">
        <v>0</v>
      </c>
      <c r="G162">
        <v>160</v>
      </c>
      <c r="H162">
        <f>IF(Table1[[#This Row],[my_ent_1]]=Table1[[#This Row],[their_ent_1]], 1, 0)</f>
        <v>1</v>
      </c>
      <c r="I162">
        <f>IF(Table1[[#This Row],[my_ent_2]]=Table1[[#This Row],[their_ent_2]], 1, 0)</f>
        <v>0</v>
      </c>
      <c r="J162">
        <f>IF(Table1[[#This Row],[same_1]]=1 &amp; Table1[[#This Row],[same_2]]=1, 1, 0)</f>
        <v>0</v>
      </c>
      <c r="K162">
        <f>IF(ISNUMBER(SEARCH(Table1[[#This Row],[their_ent_1]],Table1[[#This Row],[my_ent_1]])), 1, 0)</f>
        <v>1</v>
      </c>
      <c r="L162">
        <f>IF(ISNUMBER(SEARCH(Table1[[#This Row],[their_ent_2]],Table1[[#This Row],[my_ent_2]])), 1, 0)</f>
        <v>0</v>
      </c>
    </row>
    <row r="163" spans="1:12" x14ac:dyDescent="0.3">
      <c r="A163" t="s">
        <v>607</v>
      </c>
      <c r="B163" t="s">
        <v>608</v>
      </c>
      <c r="C163" t="s">
        <v>608</v>
      </c>
      <c r="D163" t="s">
        <v>609</v>
      </c>
      <c r="E163" t="s">
        <v>610</v>
      </c>
      <c r="F163">
        <v>0</v>
      </c>
      <c r="G163">
        <v>161</v>
      </c>
      <c r="H163">
        <f>IF(Table1[[#This Row],[my_ent_1]]=Table1[[#This Row],[their_ent_1]], 1, 0)</f>
        <v>1</v>
      </c>
      <c r="I163">
        <f>IF(Table1[[#This Row],[my_ent_2]]=Table1[[#This Row],[their_ent_2]], 1, 0)</f>
        <v>0</v>
      </c>
      <c r="J163">
        <f>IF(Table1[[#This Row],[same_1]]=1 &amp; Table1[[#This Row],[same_2]]=1, 1, 0)</f>
        <v>0</v>
      </c>
      <c r="K163">
        <f>IF(ISNUMBER(SEARCH(Table1[[#This Row],[their_ent_1]],Table1[[#This Row],[my_ent_1]])), 1, 0)</f>
        <v>1</v>
      </c>
      <c r="L163">
        <f>IF(ISNUMBER(SEARCH(Table1[[#This Row],[their_ent_2]],Table1[[#This Row],[my_ent_2]])), 1, 0)</f>
        <v>0</v>
      </c>
    </row>
    <row r="164" spans="1:12" x14ac:dyDescent="0.3">
      <c r="A164" t="s">
        <v>611</v>
      </c>
      <c r="B164" t="s">
        <v>612</v>
      </c>
      <c r="C164" t="s">
        <v>613</v>
      </c>
      <c r="D164" t="s">
        <v>614</v>
      </c>
      <c r="E164" t="s">
        <v>615</v>
      </c>
      <c r="F164">
        <v>0</v>
      </c>
      <c r="G164">
        <v>162</v>
      </c>
      <c r="H164">
        <f>IF(Table1[[#This Row],[my_ent_1]]=Table1[[#This Row],[their_ent_1]], 1, 0)</f>
        <v>0</v>
      </c>
      <c r="I164">
        <f>IF(Table1[[#This Row],[my_ent_2]]=Table1[[#This Row],[their_ent_2]], 1, 0)</f>
        <v>0</v>
      </c>
      <c r="J164">
        <f>IF(Table1[[#This Row],[same_1]]=1 &amp; Table1[[#This Row],[same_2]]=1, 1, 0)</f>
        <v>0</v>
      </c>
      <c r="K164">
        <f>IF(ISNUMBER(SEARCH(Table1[[#This Row],[their_ent_1]],Table1[[#This Row],[my_ent_1]])), 1, 0)</f>
        <v>1</v>
      </c>
      <c r="L164">
        <f>IF(ISNUMBER(SEARCH(Table1[[#This Row],[their_ent_2]],Table1[[#This Row],[my_ent_2]])), 1, 0)</f>
        <v>1</v>
      </c>
    </row>
    <row r="165" spans="1:12" x14ac:dyDescent="0.3">
      <c r="A165" t="s">
        <v>616</v>
      </c>
      <c r="B165" t="s">
        <v>617</v>
      </c>
      <c r="C165" t="s">
        <v>618</v>
      </c>
      <c r="D165" t="s">
        <v>396</v>
      </c>
      <c r="E165" t="s">
        <v>619</v>
      </c>
      <c r="F165">
        <v>0</v>
      </c>
      <c r="G165">
        <v>163</v>
      </c>
      <c r="H165">
        <f>IF(Table1[[#This Row],[my_ent_1]]=Table1[[#This Row],[their_ent_1]], 1, 0)</f>
        <v>0</v>
      </c>
      <c r="I165">
        <f>IF(Table1[[#This Row],[my_ent_2]]=Table1[[#This Row],[their_ent_2]], 1, 0)</f>
        <v>0</v>
      </c>
      <c r="J165">
        <f>IF(Table1[[#This Row],[same_1]]=1 &amp; Table1[[#This Row],[same_2]]=1, 1, 0)</f>
        <v>0</v>
      </c>
      <c r="K165">
        <f>IF(ISNUMBER(SEARCH(Table1[[#This Row],[their_ent_1]],Table1[[#This Row],[my_ent_1]])), 1, 0)</f>
        <v>1</v>
      </c>
      <c r="L165">
        <f>IF(ISNUMBER(SEARCH(Table1[[#This Row],[their_ent_2]],Table1[[#This Row],[my_ent_2]])), 1, 0)</f>
        <v>0</v>
      </c>
    </row>
    <row r="166" spans="1:12" x14ac:dyDescent="0.3">
      <c r="A166" t="s">
        <v>620</v>
      </c>
      <c r="B166" t="s">
        <v>621</v>
      </c>
      <c r="C166" t="s">
        <v>622</v>
      </c>
      <c r="D166" t="s">
        <v>623</v>
      </c>
      <c r="E166" t="s">
        <v>624</v>
      </c>
      <c r="F166">
        <v>0</v>
      </c>
      <c r="G166">
        <v>164</v>
      </c>
      <c r="H166">
        <f>IF(Table1[[#This Row],[my_ent_1]]=Table1[[#This Row],[their_ent_1]], 1, 0)</f>
        <v>0</v>
      </c>
      <c r="I166">
        <f>IF(Table1[[#This Row],[my_ent_2]]=Table1[[#This Row],[their_ent_2]], 1, 0)</f>
        <v>0</v>
      </c>
      <c r="J166">
        <f>IF(Table1[[#This Row],[same_1]]=1 &amp; Table1[[#This Row],[same_2]]=1, 1, 0)</f>
        <v>0</v>
      </c>
      <c r="K166">
        <f>IF(ISNUMBER(SEARCH(Table1[[#This Row],[their_ent_1]],Table1[[#This Row],[my_ent_1]])), 1, 0)</f>
        <v>1</v>
      </c>
      <c r="L166">
        <f>IF(ISNUMBER(SEARCH(Table1[[#This Row],[their_ent_2]],Table1[[#This Row],[my_ent_2]])), 1, 0)</f>
        <v>1</v>
      </c>
    </row>
    <row r="167" spans="1:12" x14ac:dyDescent="0.3">
      <c r="A167" t="s">
        <v>625</v>
      </c>
      <c r="B167" t="s">
        <v>626</v>
      </c>
      <c r="C167" t="s">
        <v>626</v>
      </c>
      <c r="D167" t="s">
        <v>59</v>
      </c>
      <c r="E167" t="s">
        <v>627</v>
      </c>
      <c r="F167">
        <v>0</v>
      </c>
      <c r="G167">
        <v>165</v>
      </c>
      <c r="H167">
        <f>IF(Table1[[#This Row],[my_ent_1]]=Table1[[#This Row],[their_ent_1]], 1, 0)</f>
        <v>1</v>
      </c>
      <c r="I167">
        <f>IF(Table1[[#This Row],[my_ent_2]]=Table1[[#This Row],[their_ent_2]], 1, 0)</f>
        <v>0</v>
      </c>
      <c r="J167">
        <f>IF(Table1[[#This Row],[same_1]]=1 &amp; Table1[[#This Row],[same_2]]=1, 1, 0)</f>
        <v>0</v>
      </c>
      <c r="K167">
        <f>IF(ISNUMBER(SEARCH(Table1[[#This Row],[their_ent_1]],Table1[[#This Row],[my_ent_1]])), 1, 0)</f>
        <v>1</v>
      </c>
      <c r="L167">
        <f>IF(ISNUMBER(SEARCH(Table1[[#This Row],[their_ent_2]],Table1[[#This Row],[my_ent_2]])), 1, 0)</f>
        <v>0</v>
      </c>
    </row>
    <row r="168" spans="1:12" x14ac:dyDescent="0.3">
      <c r="A168" t="s">
        <v>628</v>
      </c>
      <c r="B168" t="s">
        <v>629</v>
      </c>
      <c r="C168" t="s">
        <v>630</v>
      </c>
      <c r="D168" t="s">
        <v>30</v>
      </c>
      <c r="E168" t="s">
        <v>220</v>
      </c>
      <c r="F168">
        <v>0</v>
      </c>
      <c r="G168">
        <v>166</v>
      </c>
      <c r="H168">
        <f>IF(Table1[[#This Row],[my_ent_1]]=Table1[[#This Row],[their_ent_1]], 1, 0)</f>
        <v>0</v>
      </c>
      <c r="I168">
        <f>IF(Table1[[#This Row],[my_ent_2]]=Table1[[#This Row],[their_ent_2]], 1, 0)</f>
        <v>0</v>
      </c>
      <c r="J168">
        <f>IF(Table1[[#This Row],[same_1]]=1 &amp; Table1[[#This Row],[same_2]]=1, 1, 0)</f>
        <v>0</v>
      </c>
      <c r="K168">
        <f>IF(ISNUMBER(SEARCH(Table1[[#This Row],[their_ent_1]],Table1[[#This Row],[my_ent_1]])), 1, 0)</f>
        <v>0</v>
      </c>
      <c r="L168">
        <f>IF(ISNUMBER(SEARCH(Table1[[#This Row],[their_ent_2]],Table1[[#This Row],[my_ent_2]])), 1, 0)</f>
        <v>0</v>
      </c>
    </row>
    <row r="169" spans="1:12" x14ac:dyDescent="0.3">
      <c r="A169" t="s">
        <v>631</v>
      </c>
      <c r="B169" t="s">
        <v>340</v>
      </c>
      <c r="C169" t="s">
        <v>494</v>
      </c>
      <c r="D169" t="s">
        <v>173</v>
      </c>
      <c r="E169" t="s">
        <v>632</v>
      </c>
      <c r="F169">
        <v>0</v>
      </c>
      <c r="G169">
        <v>167</v>
      </c>
      <c r="H169">
        <f>IF(Table1[[#This Row],[my_ent_1]]=Table1[[#This Row],[their_ent_1]], 1, 0)</f>
        <v>0</v>
      </c>
      <c r="I169">
        <f>IF(Table1[[#This Row],[my_ent_2]]=Table1[[#This Row],[their_ent_2]], 1, 0)</f>
        <v>0</v>
      </c>
      <c r="J169">
        <f>IF(Table1[[#This Row],[same_1]]=1 &amp; Table1[[#This Row],[same_2]]=1, 1, 0)</f>
        <v>0</v>
      </c>
      <c r="K169">
        <f>IF(ISNUMBER(SEARCH(Table1[[#This Row],[their_ent_1]],Table1[[#This Row],[my_ent_1]])), 1, 0)</f>
        <v>0</v>
      </c>
      <c r="L169">
        <f>IF(ISNUMBER(SEARCH(Table1[[#This Row],[their_ent_2]],Table1[[#This Row],[my_ent_2]])), 1, 0)</f>
        <v>0</v>
      </c>
    </row>
    <row r="170" spans="1:12" x14ac:dyDescent="0.3">
      <c r="A170" t="s">
        <v>633</v>
      </c>
      <c r="B170" t="s">
        <v>634</v>
      </c>
      <c r="C170" t="s">
        <v>635</v>
      </c>
      <c r="D170" t="s">
        <v>634</v>
      </c>
      <c r="E170" t="s">
        <v>20</v>
      </c>
      <c r="F170">
        <v>0</v>
      </c>
      <c r="G170">
        <v>168</v>
      </c>
      <c r="H170">
        <f>IF(Table1[[#This Row],[my_ent_1]]=Table1[[#This Row],[their_ent_1]], 1, 0)</f>
        <v>0</v>
      </c>
      <c r="I170">
        <f>IF(Table1[[#This Row],[my_ent_2]]=Table1[[#This Row],[their_ent_2]], 1, 0)</f>
        <v>0</v>
      </c>
      <c r="J170">
        <f>IF(Table1[[#This Row],[same_1]]=1 &amp; Table1[[#This Row],[same_2]]=1, 1, 0)</f>
        <v>0</v>
      </c>
      <c r="K170">
        <f>IF(ISNUMBER(SEARCH(Table1[[#This Row],[their_ent_1]],Table1[[#This Row],[my_ent_1]])), 1, 0)</f>
        <v>0</v>
      </c>
      <c r="L170">
        <f>IF(ISNUMBER(SEARCH(Table1[[#This Row],[their_ent_2]],Table1[[#This Row],[my_ent_2]])), 1, 0)</f>
        <v>0</v>
      </c>
    </row>
    <row r="171" spans="1:12" x14ac:dyDescent="0.3">
      <c r="A171" t="s">
        <v>636</v>
      </c>
      <c r="B171" t="s">
        <v>637</v>
      </c>
      <c r="C171" t="s">
        <v>637</v>
      </c>
      <c r="D171" t="s">
        <v>638</v>
      </c>
      <c r="E171" t="s">
        <v>639</v>
      </c>
      <c r="F171">
        <v>0</v>
      </c>
      <c r="G171">
        <v>169</v>
      </c>
      <c r="H171">
        <f>IF(Table1[[#This Row],[my_ent_1]]=Table1[[#This Row],[their_ent_1]], 1, 0)</f>
        <v>1</v>
      </c>
      <c r="I171">
        <f>IF(Table1[[#This Row],[my_ent_2]]=Table1[[#This Row],[their_ent_2]], 1, 0)</f>
        <v>0</v>
      </c>
      <c r="J171">
        <f>IF(Table1[[#This Row],[same_1]]=1 &amp; Table1[[#This Row],[same_2]]=1, 1, 0)</f>
        <v>0</v>
      </c>
      <c r="K171">
        <f>IF(ISNUMBER(SEARCH(Table1[[#This Row],[their_ent_1]],Table1[[#This Row],[my_ent_1]])), 1, 0)</f>
        <v>1</v>
      </c>
      <c r="L171">
        <f>IF(ISNUMBER(SEARCH(Table1[[#This Row],[their_ent_2]],Table1[[#This Row],[my_ent_2]])), 1, 0)</f>
        <v>0</v>
      </c>
    </row>
    <row r="172" spans="1:12" x14ac:dyDescent="0.3">
      <c r="A172" t="s">
        <v>640</v>
      </c>
      <c r="B172" t="s">
        <v>641</v>
      </c>
      <c r="C172" t="s">
        <v>641</v>
      </c>
      <c r="D172" t="s">
        <v>642</v>
      </c>
      <c r="E172" t="s">
        <v>643</v>
      </c>
      <c r="F172">
        <v>0</v>
      </c>
      <c r="G172">
        <v>170</v>
      </c>
      <c r="H172">
        <f>IF(Table1[[#This Row],[my_ent_1]]=Table1[[#This Row],[their_ent_1]], 1, 0)</f>
        <v>1</v>
      </c>
      <c r="I172">
        <f>IF(Table1[[#This Row],[my_ent_2]]=Table1[[#This Row],[their_ent_2]], 1, 0)</f>
        <v>0</v>
      </c>
      <c r="J172">
        <f>IF(Table1[[#This Row],[same_1]]=1 &amp; Table1[[#This Row],[same_2]]=1, 1, 0)</f>
        <v>0</v>
      </c>
      <c r="K172">
        <f>IF(ISNUMBER(SEARCH(Table1[[#This Row],[their_ent_1]],Table1[[#This Row],[my_ent_1]])), 1, 0)</f>
        <v>1</v>
      </c>
      <c r="L172">
        <f>IF(ISNUMBER(SEARCH(Table1[[#This Row],[their_ent_2]],Table1[[#This Row],[my_ent_2]])), 1, 0)</f>
        <v>0</v>
      </c>
    </row>
    <row r="173" spans="1:12" x14ac:dyDescent="0.3">
      <c r="A173" t="s">
        <v>644</v>
      </c>
      <c r="B173" t="s">
        <v>645</v>
      </c>
      <c r="C173" t="s">
        <v>645</v>
      </c>
      <c r="D173" t="s">
        <v>646</v>
      </c>
      <c r="E173" t="s">
        <v>120</v>
      </c>
      <c r="F173">
        <v>0</v>
      </c>
      <c r="G173">
        <v>171</v>
      </c>
      <c r="H173">
        <f>IF(Table1[[#This Row],[my_ent_1]]=Table1[[#This Row],[their_ent_1]], 1, 0)</f>
        <v>1</v>
      </c>
      <c r="I173">
        <f>IF(Table1[[#This Row],[my_ent_2]]=Table1[[#This Row],[their_ent_2]], 1, 0)</f>
        <v>0</v>
      </c>
      <c r="J173">
        <f>IF(Table1[[#This Row],[same_1]]=1 &amp; Table1[[#This Row],[same_2]]=1, 1, 0)</f>
        <v>0</v>
      </c>
      <c r="K173">
        <f>IF(ISNUMBER(SEARCH(Table1[[#This Row],[their_ent_1]],Table1[[#This Row],[my_ent_1]])), 1, 0)</f>
        <v>1</v>
      </c>
      <c r="L173">
        <f>IF(ISNUMBER(SEARCH(Table1[[#This Row],[their_ent_2]],Table1[[#This Row],[my_ent_2]])), 1, 0)</f>
        <v>0</v>
      </c>
    </row>
    <row r="174" spans="1:12" x14ac:dyDescent="0.3">
      <c r="A174" t="s">
        <v>647</v>
      </c>
      <c r="B174" t="s">
        <v>198</v>
      </c>
      <c r="C174" t="s">
        <v>198</v>
      </c>
      <c r="D174" t="s">
        <v>206</v>
      </c>
      <c r="E174" t="s">
        <v>648</v>
      </c>
      <c r="F174">
        <v>0</v>
      </c>
      <c r="G174">
        <v>172</v>
      </c>
      <c r="H174">
        <f>IF(Table1[[#This Row],[my_ent_1]]=Table1[[#This Row],[their_ent_1]], 1, 0)</f>
        <v>1</v>
      </c>
      <c r="I174">
        <f>IF(Table1[[#This Row],[my_ent_2]]=Table1[[#This Row],[their_ent_2]], 1, 0)</f>
        <v>0</v>
      </c>
      <c r="J174">
        <f>IF(Table1[[#This Row],[same_1]]=1 &amp; Table1[[#This Row],[same_2]]=1, 1, 0)</f>
        <v>0</v>
      </c>
      <c r="K174">
        <f>IF(ISNUMBER(SEARCH(Table1[[#This Row],[their_ent_1]],Table1[[#This Row],[my_ent_1]])), 1, 0)</f>
        <v>1</v>
      </c>
      <c r="L174">
        <f>IF(ISNUMBER(SEARCH(Table1[[#This Row],[their_ent_2]],Table1[[#This Row],[my_ent_2]])), 1, 0)</f>
        <v>0</v>
      </c>
    </row>
    <row r="175" spans="1:12" x14ac:dyDescent="0.3">
      <c r="A175" t="s">
        <v>649</v>
      </c>
      <c r="B175" t="s">
        <v>51</v>
      </c>
      <c r="C175" t="s">
        <v>650</v>
      </c>
      <c r="D175" t="s">
        <v>651</v>
      </c>
      <c r="E175" t="s">
        <v>652</v>
      </c>
      <c r="F175">
        <v>0</v>
      </c>
      <c r="G175">
        <v>173</v>
      </c>
      <c r="H175">
        <f>IF(Table1[[#This Row],[my_ent_1]]=Table1[[#This Row],[their_ent_1]], 1, 0)</f>
        <v>0</v>
      </c>
      <c r="I175">
        <f>IF(Table1[[#This Row],[my_ent_2]]=Table1[[#This Row],[their_ent_2]], 1, 0)</f>
        <v>0</v>
      </c>
      <c r="J175">
        <f>IF(Table1[[#This Row],[same_1]]=1 &amp; Table1[[#This Row],[same_2]]=1, 1, 0)</f>
        <v>0</v>
      </c>
      <c r="K175">
        <f>IF(ISNUMBER(SEARCH(Table1[[#This Row],[their_ent_1]],Table1[[#This Row],[my_ent_1]])), 1, 0)</f>
        <v>0</v>
      </c>
      <c r="L175">
        <f>IF(ISNUMBER(SEARCH(Table1[[#This Row],[their_ent_2]],Table1[[#This Row],[my_ent_2]])), 1, 0)</f>
        <v>0</v>
      </c>
    </row>
    <row r="176" spans="1:12" x14ac:dyDescent="0.3">
      <c r="A176" t="s">
        <v>653</v>
      </c>
      <c r="B176" t="s">
        <v>654</v>
      </c>
      <c r="C176" t="s">
        <v>654</v>
      </c>
      <c r="D176" t="s">
        <v>59</v>
      </c>
      <c r="E176" t="s">
        <v>655</v>
      </c>
      <c r="F176">
        <v>0</v>
      </c>
      <c r="G176">
        <v>174</v>
      </c>
      <c r="H176">
        <f>IF(Table1[[#This Row],[my_ent_1]]=Table1[[#This Row],[their_ent_1]], 1, 0)</f>
        <v>1</v>
      </c>
      <c r="I176">
        <f>IF(Table1[[#This Row],[my_ent_2]]=Table1[[#This Row],[their_ent_2]], 1, 0)</f>
        <v>0</v>
      </c>
      <c r="J176">
        <f>IF(Table1[[#This Row],[same_1]]=1 &amp; Table1[[#This Row],[same_2]]=1, 1, 0)</f>
        <v>0</v>
      </c>
      <c r="K176">
        <f>IF(ISNUMBER(SEARCH(Table1[[#This Row],[their_ent_1]],Table1[[#This Row],[my_ent_1]])), 1, 0)</f>
        <v>1</v>
      </c>
      <c r="L176">
        <f>IF(ISNUMBER(SEARCH(Table1[[#This Row],[their_ent_2]],Table1[[#This Row],[my_ent_2]])), 1, 0)</f>
        <v>0</v>
      </c>
    </row>
    <row r="177" spans="1:12" x14ac:dyDescent="0.3">
      <c r="A177" t="s">
        <v>656</v>
      </c>
      <c r="B177" t="s">
        <v>657</v>
      </c>
      <c r="C177" t="s">
        <v>658</v>
      </c>
      <c r="D177" t="s">
        <v>659</v>
      </c>
      <c r="E177" t="s">
        <v>659</v>
      </c>
      <c r="F177">
        <v>0</v>
      </c>
      <c r="G177">
        <v>175</v>
      </c>
      <c r="H177">
        <f>IF(Table1[[#This Row],[my_ent_1]]=Table1[[#This Row],[their_ent_1]], 1, 0)</f>
        <v>0</v>
      </c>
      <c r="I177">
        <f>IF(Table1[[#This Row],[my_ent_2]]=Table1[[#This Row],[their_ent_2]], 1, 0)</f>
        <v>1</v>
      </c>
      <c r="J177">
        <f>IF(Table1[[#This Row],[same_1]]=1 &amp; Table1[[#This Row],[same_2]]=1, 1, 0)</f>
        <v>0</v>
      </c>
      <c r="K177">
        <f>IF(ISNUMBER(SEARCH(Table1[[#This Row],[their_ent_1]],Table1[[#This Row],[my_ent_1]])), 1, 0)</f>
        <v>0</v>
      </c>
      <c r="L177">
        <f>IF(ISNUMBER(SEARCH(Table1[[#This Row],[their_ent_2]],Table1[[#This Row],[my_ent_2]])), 1, 0)</f>
        <v>1</v>
      </c>
    </row>
    <row r="178" spans="1:12" x14ac:dyDescent="0.3">
      <c r="A178" t="s">
        <v>660</v>
      </c>
      <c r="B178" t="s">
        <v>661</v>
      </c>
      <c r="C178" t="s">
        <v>20</v>
      </c>
      <c r="D178" t="s">
        <v>20</v>
      </c>
      <c r="E178" t="s">
        <v>103</v>
      </c>
      <c r="F178">
        <v>0</v>
      </c>
      <c r="G178">
        <v>176</v>
      </c>
      <c r="H178">
        <f>IF(Table1[[#This Row],[my_ent_1]]=Table1[[#This Row],[their_ent_1]], 1, 0)</f>
        <v>0</v>
      </c>
      <c r="I178">
        <f>IF(Table1[[#This Row],[my_ent_2]]=Table1[[#This Row],[their_ent_2]], 1, 0)</f>
        <v>0</v>
      </c>
      <c r="J178">
        <f>IF(Table1[[#This Row],[same_1]]=1 &amp; Table1[[#This Row],[same_2]]=1, 1, 0)</f>
        <v>0</v>
      </c>
      <c r="K178">
        <f>IF(ISNUMBER(SEARCH(Table1[[#This Row],[their_ent_1]],Table1[[#This Row],[my_ent_1]])), 1, 0)</f>
        <v>0</v>
      </c>
      <c r="L178">
        <f>IF(ISNUMBER(SEARCH(Table1[[#This Row],[their_ent_2]],Table1[[#This Row],[my_ent_2]])), 1, 0)</f>
        <v>0</v>
      </c>
    </row>
    <row r="179" spans="1:12" x14ac:dyDescent="0.3">
      <c r="A179" t="s">
        <v>662</v>
      </c>
      <c r="B179" t="s">
        <v>663</v>
      </c>
      <c r="C179" t="s">
        <v>664</v>
      </c>
      <c r="D179" t="s">
        <v>665</v>
      </c>
      <c r="E179" t="s">
        <v>275</v>
      </c>
      <c r="F179">
        <v>0</v>
      </c>
      <c r="G179">
        <v>177</v>
      </c>
      <c r="H179">
        <f>IF(Table1[[#This Row],[my_ent_1]]=Table1[[#This Row],[their_ent_1]], 1, 0)</f>
        <v>0</v>
      </c>
      <c r="I179">
        <f>IF(Table1[[#This Row],[my_ent_2]]=Table1[[#This Row],[their_ent_2]], 1, 0)</f>
        <v>0</v>
      </c>
      <c r="J179">
        <f>IF(Table1[[#This Row],[same_1]]=1 &amp; Table1[[#This Row],[same_2]]=1, 1, 0)</f>
        <v>0</v>
      </c>
      <c r="K179">
        <f>IF(ISNUMBER(SEARCH(Table1[[#This Row],[their_ent_1]],Table1[[#This Row],[my_ent_1]])), 1, 0)</f>
        <v>0</v>
      </c>
      <c r="L179">
        <f>IF(ISNUMBER(SEARCH(Table1[[#This Row],[their_ent_2]],Table1[[#This Row],[my_ent_2]])), 1, 0)</f>
        <v>0</v>
      </c>
    </row>
    <row r="180" spans="1:12" x14ac:dyDescent="0.3">
      <c r="A180" t="s">
        <v>666</v>
      </c>
      <c r="B180" t="s">
        <v>667</v>
      </c>
      <c r="C180" t="s">
        <v>668</v>
      </c>
      <c r="D180" t="s">
        <v>669</v>
      </c>
      <c r="E180" t="s">
        <v>669</v>
      </c>
      <c r="F180">
        <v>0</v>
      </c>
      <c r="G180">
        <v>178</v>
      </c>
      <c r="H180">
        <f>IF(Table1[[#This Row],[my_ent_1]]=Table1[[#This Row],[their_ent_1]], 1, 0)</f>
        <v>0</v>
      </c>
      <c r="I180">
        <f>IF(Table1[[#This Row],[my_ent_2]]=Table1[[#This Row],[their_ent_2]], 1, 0)</f>
        <v>1</v>
      </c>
      <c r="J180">
        <f>IF(Table1[[#This Row],[same_1]]=1 &amp; Table1[[#This Row],[same_2]]=1, 1, 0)</f>
        <v>0</v>
      </c>
      <c r="K180">
        <f>IF(ISNUMBER(SEARCH(Table1[[#This Row],[their_ent_1]],Table1[[#This Row],[my_ent_1]])), 1, 0)</f>
        <v>1</v>
      </c>
      <c r="L180">
        <f>IF(ISNUMBER(SEARCH(Table1[[#This Row],[their_ent_2]],Table1[[#This Row],[my_ent_2]])), 1, 0)</f>
        <v>1</v>
      </c>
    </row>
    <row r="181" spans="1:12" x14ac:dyDescent="0.3">
      <c r="A181" t="s">
        <v>670</v>
      </c>
      <c r="B181" t="s">
        <v>391</v>
      </c>
      <c r="C181" t="s">
        <v>78</v>
      </c>
      <c r="D181" t="s">
        <v>140</v>
      </c>
      <c r="E181" t="s">
        <v>243</v>
      </c>
      <c r="F181">
        <v>0</v>
      </c>
      <c r="G181">
        <v>179</v>
      </c>
      <c r="H181">
        <f>IF(Table1[[#This Row],[my_ent_1]]=Table1[[#This Row],[their_ent_1]], 1, 0)</f>
        <v>0</v>
      </c>
      <c r="I181">
        <f>IF(Table1[[#This Row],[my_ent_2]]=Table1[[#This Row],[their_ent_2]], 1, 0)</f>
        <v>0</v>
      </c>
      <c r="J181">
        <f>IF(Table1[[#This Row],[same_1]]=1 &amp; Table1[[#This Row],[same_2]]=1, 1, 0)</f>
        <v>0</v>
      </c>
      <c r="K181">
        <f>IF(ISNUMBER(SEARCH(Table1[[#This Row],[their_ent_1]],Table1[[#This Row],[my_ent_1]])), 1, 0)</f>
        <v>1</v>
      </c>
      <c r="L181">
        <f>IF(ISNUMBER(SEARCH(Table1[[#This Row],[their_ent_2]],Table1[[#This Row],[my_ent_2]])), 1, 0)</f>
        <v>0</v>
      </c>
    </row>
    <row r="182" spans="1:12" x14ac:dyDescent="0.3">
      <c r="A182" t="s">
        <v>671</v>
      </c>
      <c r="B182" t="s">
        <v>672</v>
      </c>
      <c r="C182" t="s">
        <v>673</v>
      </c>
      <c r="D182" t="s">
        <v>167</v>
      </c>
      <c r="E182" t="s">
        <v>674</v>
      </c>
      <c r="F182">
        <v>0</v>
      </c>
      <c r="G182">
        <v>180</v>
      </c>
      <c r="H182">
        <f>IF(Table1[[#This Row],[my_ent_1]]=Table1[[#This Row],[their_ent_1]], 1, 0)</f>
        <v>0</v>
      </c>
      <c r="I182">
        <f>IF(Table1[[#This Row],[my_ent_2]]=Table1[[#This Row],[their_ent_2]], 1, 0)</f>
        <v>0</v>
      </c>
      <c r="J182">
        <f>IF(Table1[[#This Row],[same_1]]=1 &amp; Table1[[#This Row],[same_2]]=1, 1, 0)</f>
        <v>0</v>
      </c>
      <c r="K182">
        <f>IF(ISNUMBER(SEARCH(Table1[[#This Row],[their_ent_1]],Table1[[#This Row],[my_ent_1]])), 1, 0)</f>
        <v>1</v>
      </c>
      <c r="L182">
        <f>IF(ISNUMBER(SEARCH(Table1[[#This Row],[their_ent_2]],Table1[[#This Row],[my_ent_2]])), 1, 0)</f>
        <v>0</v>
      </c>
    </row>
    <row r="183" spans="1:12" x14ac:dyDescent="0.3">
      <c r="A183" t="s">
        <v>675</v>
      </c>
      <c r="B183" t="s">
        <v>676</v>
      </c>
      <c r="C183" t="s">
        <v>676</v>
      </c>
      <c r="D183" t="s">
        <v>464</v>
      </c>
      <c r="E183" t="s">
        <v>31</v>
      </c>
      <c r="F183">
        <v>0</v>
      </c>
      <c r="G183">
        <v>181</v>
      </c>
      <c r="H183">
        <f>IF(Table1[[#This Row],[my_ent_1]]=Table1[[#This Row],[their_ent_1]], 1, 0)</f>
        <v>1</v>
      </c>
      <c r="I183">
        <f>IF(Table1[[#This Row],[my_ent_2]]=Table1[[#This Row],[their_ent_2]], 1, 0)</f>
        <v>0</v>
      </c>
      <c r="J183">
        <f>IF(Table1[[#This Row],[same_1]]=1 &amp; Table1[[#This Row],[same_2]]=1, 1, 0)</f>
        <v>0</v>
      </c>
      <c r="K183">
        <f>IF(ISNUMBER(SEARCH(Table1[[#This Row],[their_ent_1]],Table1[[#This Row],[my_ent_1]])), 1, 0)</f>
        <v>1</v>
      </c>
      <c r="L183">
        <f>IF(ISNUMBER(SEARCH(Table1[[#This Row],[their_ent_2]],Table1[[#This Row],[my_ent_2]])), 1, 0)</f>
        <v>0</v>
      </c>
    </row>
    <row r="184" spans="1:12" x14ac:dyDescent="0.3">
      <c r="A184" t="s">
        <v>677</v>
      </c>
      <c r="B184" t="s">
        <v>678</v>
      </c>
      <c r="C184" t="s">
        <v>679</v>
      </c>
      <c r="D184" t="s">
        <v>680</v>
      </c>
      <c r="E184" t="s">
        <v>63</v>
      </c>
      <c r="F184">
        <v>0</v>
      </c>
      <c r="G184">
        <v>182</v>
      </c>
      <c r="H184">
        <f>IF(Table1[[#This Row],[my_ent_1]]=Table1[[#This Row],[their_ent_1]], 1, 0)</f>
        <v>0</v>
      </c>
      <c r="I184">
        <f>IF(Table1[[#This Row],[my_ent_2]]=Table1[[#This Row],[their_ent_2]], 1, 0)</f>
        <v>0</v>
      </c>
      <c r="J184">
        <f>IF(Table1[[#This Row],[same_1]]=1 &amp; Table1[[#This Row],[same_2]]=1, 1, 0)</f>
        <v>0</v>
      </c>
      <c r="K184">
        <f>IF(ISNUMBER(SEARCH(Table1[[#This Row],[their_ent_1]],Table1[[#This Row],[my_ent_1]])), 1, 0)</f>
        <v>0</v>
      </c>
      <c r="L184">
        <f>IF(ISNUMBER(SEARCH(Table1[[#This Row],[their_ent_2]],Table1[[#This Row],[my_ent_2]])), 1, 0)</f>
        <v>0</v>
      </c>
    </row>
    <row r="185" spans="1:12" x14ac:dyDescent="0.3">
      <c r="A185" t="s">
        <v>681</v>
      </c>
      <c r="B185" t="s">
        <v>202</v>
      </c>
      <c r="C185" t="s">
        <v>353</v>
      </c>
      <c r="D185" t="s">
        <v>124</v>
      </c>
      <c r="E185" t="s">
        <v>30</v>
      </c>
      <c r="F185">
        <v>0</v>
      </c>
      <c r="G185">
        <v>183</v>
      </c>
      <c r="H185">
        <f>IF(Table1[[#This Row],[my_ent_1]]=Table1[[#This Row],[their_ent_1]], 1, 0)</f>
        <v>0</v>
      </c>
      <c r="I185">
        <f>IF(Table1[[#This Row],[my_ent_2]]=Table1[[#This Row],[their_ent_2]], 1, 0)</f>
        <v>0</v>
      </c>
      <c r="J185">
        <f>IF(Table1[[#This Row],[same_1]]=1 &amp; Table1[[#This Row],[same_2]]=1, 1, 0)</f>
        <v>0</v>
      </c>
      <c r="K185">
        <f>IF(ISNUMBER(SEARCH(Table1[[#This Row],[their_ent_1]],Table1[[#This Row],[my_ent_1]])), 1, 0)</f>
        <v>1</v>
      </c>
      <c r="L185">
        <f>IF(ISNUMBER(SEARCH(Table1[[#This Row],[their_ent_2]],Table1[[#This Row],[my_ent_2]])), 1, 0)</f>
        <v>1</v>
      </c>
    </row>
    <row r="186" spans="1:12" x14ac:dyDescent="0.3">
      <c r="A186" t="s">
        <v>682</v>
      </c>
      <c r="B186" t="s">
        <v>683</v>
      </c>
      <c r="C186" t="s">
        <v>684</v>
      </c>
      <c r="D186" t="s">
        <v>685</v>
      </c>
      <c r="E186" t="s">
        <v>686</v>
      </c>
      <c r="F186">
        <v>0</v>
      </c>
      <c r="G186">
        <v>184</v>
      </c>
      <c r="H186">
        <f>IF(Table1[[#This Row],[my_ent_1]]=Table1[[#This Row],[their_ent_1]], 1, 0)</f>
        <v>0</v>
      </c>
      <c r="I186">
        <f>IF(Table1[[#This Row],[my_ent_2]]=Table1[[#This Row],[their_ent_2]], 1, 0)</f>
        <v>0</v>
      </c>
      <c r="J186">
        <f>IF(Table1[[#This Row],[same_1]]=1 &amp; Table1[[#This Row],[same_2]]=1, 1, 0)</f>
        <v>0</v>
      </c>
      <c r="K186">
        <f>IF(ISNUMBER(SEARCH(Table1[[#This Row],[their_ent_1]],Table1[[#This Row],[my_ent_1]])), 1, 0)</f>
        <v>0</v>
      </c>
      <c r="L186">
        <f>IF(ISNUMBER(SEARCH(Table1[[#This Row],[their_ent_2]],Table1[[#This Row],[my_ent_2]])), 1, 0)</f>
        <v>1</v>
      </c>
    </row>
    <row r="187" spans="1:12" x14ac:dyDescent="0.3">
      <c r="A187" t="s">
        <v>687</v>
      </c>
      <c r="B187" t="s">
        <v>688</v>
      </c>
      <c r="C187" t="s">
        <v>689</v>
      </c>
      <c r="D187" t="s">
        <v>690</v>
      </c>
      <c r="E187" t="s">
        <v>691</v>
      </c>
      <c r="F187">
        <v>0</v>
      </c>
      <c r="G187">
        <v>185</v>
      </c>
      <c r="H187">
        <f>IF(Table1[[#This Row],[my_ent_1]]=Table1[[#This Row],[their_ent_1]], 1, 0)</f>
        <v>0</v>
      </c>
      <c r="I187">
        <f>IF(Table1[[#This Row],[my_ent_2]]=Table1[[#This Row],[their_ent_2]], 1, 0)</f>
        <v>0</v>
      </c>
      <c r="J187">
        <f>IF(Table1[[#This Row],[same_1]]=1 &amp; Table1[[#This Row],[same_2]]=1, 1, 0)</f>
        <v>0</v>
      </c>
      <c r="K187">
        <f>IF(ISNUMBER(SEARCH(Table1[[#This Row],[their_ent_1]],Table1[[#This Row],[my_ent_1]])), 1, 0)</f>
        <v>0</v>
      </c>
      <c r="L187">
        <f>IF(ISNUMBER(SEARCH(Table1[[#This Row],[their_ent_2]],Table1[[#This Row],[my_ent_2]])), 1, 0)</f>
        <v>0</v>
      </c>
    </row>
    <row r="188" spans="1:12" x14ac:dyDescent="0.3">
      <c r="A188" t="s">
        <v>692</v>
      </c>
      <c r="B188" t="s">
        <v>693</v>
      </c>
      <c r="C188" t="s">
        <v>694</v>
      </c>
      <c r="D188" t="s">
        <v>695</v>
      </c>
      <c r="E188" t="s">
        <v>696</v>
      </c>
      <c r="F188">
        <v>0</v>
      </c>
      <c r="G188">
        <v>186</v>
      </c>
      <c r="H188">
        <f>IF(Table1[[#This Row],[my_ent_1]]=Table1[[#This Row],[their_ent_1]], 1, 0)</f>
        <v>0</v>
      </c>
      <c r="I188">
        <f>IF(Table1[[#This Row],[my_ent_2]]=Table1[[#This Row],[their_ent_2]], 1, 0)</f>
        <v>0</v>
      </c>
      <c r="J188">
        <f>IF(Table1[[#This Row],[same_1]]=1 &amp; Table1[[#This Row],[same_2]]=1, 1, 0)</f>
        <v>0</v>
      </c>
      <c r="K188">
        <f>IF(ISNUMBER(SEARCH(Table1[[#This Row],[their_ent_1]],Table1[[#This Row],[my_ent_1]])), 1, 0)</f>
        <v>0</v>
      </c>
      <c r="L188">
        <f>IF(ISNUMBER(SEARCH(Table1[[#This Row],[their_ent_2]],Table1[[#This Row],[my_ent_2]])), 1, 0)</f>
        <v>1</v>
      </c>
    </row>
    <row r="189" spans="1:12" x14ac:dyDescent="0.3">
      <c r="A189" t="s">
        <v>697</v>
      </c>
      <c r="B189" t="s">
        <v>698</v>
      </c>
      <c r="C189" t="s">
        <v>698</v>
      </c>
      <c r="D189" t="s">
        <v>699</v>
      </c>
      <c r="E189" t="s">
        <v>700</v>
      </c>
      <c r="F189">
        <v>0</v>
      </c>
      <c r="G189">
        <v>187</v>
      </c>
      <c r="H189">
        <f>IF(Table1[[#This Row],[my_ent_1]]=Table1[[#This Row],[their_ent_1]], 1, 0)</f>
        <v>1</v>
      </c>
      <c r="I189">
        <f>IF(Table1[[#This Row],[my_ent_2]]=Table1[[#This Row],[their_ent_2]], 1, 0)</f>
        <v>0</v>
      </c>
      <c r="J189">
        <f>IF(Table1[[#This Row],[same_1]]=1 &amp; Table1[[#This Row],[same_2]]=1, 1, 0)</f>
        <v>0</v>
      </c>
      <c r="K189">
        <f>IF(ISNUMBER(SEARCH(Table1[[#This Row],[their_ent_1]],Table1[[#This Row],[my_ent_1]])), 1, 0)</f>
        <v>1</v>
      </c>
      <c r="L189">
        <f>IF(ISNUMBER(SEARCH(Table1[[#This Row],[their_ent_2]],Table1[[#This Row],[my_ent_2]])), 1, 0)</f>
        <v>0</v>
      </c>
    </row>
    <row r="190" spans="1:12" x14ac:dyDescent="0.3">
      <c r="A190" t="s">
        <v>701</v>
      </c>
      <c r="B190" t="s">
        <v>702</v>
      </c>
      <c r="C190" t="s">
        <v>703</v>
      </c>
      <c r="D190" t="s">
        <v>704</v>
      </c>
      <c r="E190" t="s">
        <v>704</v>
      </c>
      <c r="F190">
        <v>0</v>
      </c>
      <c r="G190">
        <v>188</v>
      </c>
      <c r="H190">
        <f>IF(Table1[[#This Row],[my_ent_1]]=Table1[[#This Row],[their_ent_1]], 1, 0)</f>
        <v>0</v>
      </c>
      <c r="I190">
        <f>IF(Table1[[#This Row],[my_ent_2]]=Table1[[#This Row],[their_ent_2]], 1, 0)</f>
        <v>1</v>
      </c>
      <c r="J190">
        <f>IF(Table1[[#This Row],[same_1]]=1 &amp; Table1[[#This Row],[same_2]]=1, 1, 0)</f>
        <v>0</v>
      </c>
      <c r="K190">
        <f>IF(ISNUMBER(SEARCH(Table1[[#This Row],[their_ent_1]],Table1[[#This Row],[my_ent_1]])), 1, 0)</f>
        <v>1</v>
      </c>
      <c r="L190">
        <f>IF(ISNUMBER(SEARCH(Table1[[#This Row],[their_ent_2]],Table1[[#This Row],[my_ent_2]])), 1, 0)</f>
        <v>1</v>
      </c>
    </row>
    <row r="191" spans="1:12" x14ac:dyDescent="0.3">
      <c r="A191" t="s">
        <v>705</v>
      </c>
      <c r="B191" t="s">
        <v>706</v>
      </c>
      <c r="C191" t="s">
        <v>706</v>
      </c>
      <c r="D191" t="s">
        <v>279</v>
      </c>
      <c r="E191" t="s">
        <v>707</v>
      </c>
      <c r="F191">
        <v>0</v>
      </c>
      <c r="G191">
        <v>189</v>
      </c>
      <c r="H191">
        <f>IF(Table1[[#This Row],[my_ent_1]]=Table1[[#This Row],[their_ent_1]], 1, 0)</f>
        <v>1</v>
      </c>
      <c r="I191">
        <f>IF(Table1[[#This Row],[my_ent_2]]=Table1[[#This Row],[their_ent_2]], 1, 0)</f>
        <v>0</v>
      </c>
      <c r="J191">
        <f>IF(Table1[[#This Row],[same_1]]=1 &amp; Table1[[#This Row],[same_2]]=1, 1, 0)</f>
        <v>0</v>
      </c>
      <c r="K191">
        <f>IF(ISNUMBER(SEARCH(Table1[[#This Row],[their_ent_1]],Table1[[#This Row],[my_ent_1]])), 1, 0)</f>
        <v>1</v>
      </c>
      <c r="L191">
        <f>IF(ISNUMBER(SEARCH(Table1[[#This Row],[their_ent_2]],Table1[[#This Row],[my_ent_2]])), 1, 0)</f>
        <v>0</v>
      </c>
    </row>
    <row r="192" spans="1:12" x14ac:dyDescent="0.3">
      <c r="A192" t="s">
        <v>708</v>
      </c>
      <c r="B192" t="s">
        <v>709</v>
      </c>
      <c r="C192" t="s">
        <v>709</v>
      </c>
      <c r="D192" t="s">
        <v>59</v>
      </c>
      <c r="E192" t="s">
        <v>710</v>
      </c>
      <c r="F192">
        <v>0</v>
      </c>
      <c r="G192">
        <v>190</v>
      </c>
      <c r="H192">
        <f>IF(Table1[[#This Row],[my_ent_1]]=Table1[[#This Row],[their_ent_1]], 1, 0)</f>
        <v>1</v>
      </c>
      <c r="I192">
        <f>IF(Table1[[#This Row],[my_ent_2]]=Table1[[#This Row],[their_ent_2]], 1, 0)</f>
        <v>0</v>
      </c>
      <c r="J192">
        <f>IF(Table1[[#This Row],[same_1]]=1 &amp; Table1[[#This Row],[same_2]]=1, 1, 0)</f>
        <v>0</v>
      </c>
      <c r="K192">
        <f>IF(ISNUMBER(SEARCH(Table1[[#This Row],[their_ent_1]],Table1[[#This Row],[my_ent_1]])), 1, 0)</f>
        <v>1</v>
      </c>
      <c r="L192">
        <f>IF(ISNUMBER(SEARCH(Table1[[#This Row],[their_ent_2]],Table1[[#This Row],[my_ent_2]])), 1, 0)</f>
        <v>0</v>
      </c>
    </row>
    <row r="193" spans="1:12" x14ac:dyDescent="0.3">
      <c r="A193" t="s">
        <v>711</v>
      </c>
      <c r="B193" t="s">
        <v>202</v>
      </c>
      <c r="C193" t="s">
        <v>68</v>
      </c>
      <c r="D193" t="s">
        <v>20</v>
      </c>
      <c r="E193" t="s">
        <v>353</v>
      </c>
      <c r="F193">
        <v>0</v>
      </c>
      <c r="G193">
        <v>191</v>
      </c>
      <c r="H193">
        <f>IF(Table1[[#This Row],[my_ent_1]]=Table1[[#This Row],[their_ent_1]], 1, 0)</f>
        <v>0</v>
      </c>
      <c r="I193">
        <f>IF(Table1[[#This Row],[my_ent_2]]=Table1[[#This Row],[their_ent_2]], 1, 0)</f>
        <v>0</v>
      </c>
      <c r="J193">
        <f>IF(Table1[[#This Row],[same_1]]=1 &amp; Table1[[#This Row],[same_2]]=1, 1, 0)</f>
        <v>0</v>
      </c>
      <c r="K193">
        <f>IF(ISNUMBER(SEARCH(Table1[[#This Row],[their_ent_1]],Table1[[#This Row],[my_ent_1]])), 1, 0)</f>
        <v>0</v>
      </c>
      <c r="L193">
        <f>IF(ISNUMBER(SEARCH(Table1[[#This Row],[their_ent_2]],Table1[[#This Row],[my_ent_2]])), 1, 0)</f>
        <v>0</v>
      </c>
    </row>
    <row r="194" spans="1:12" x14ac:dyDescent="0.3">
      <c r="A194" t="s">
        <v>712</v>
      </c>
      <c r="B194" t="s">
        <v>464</v>
      </c>
      <c r="C194" t="s">
        <v>143</v>
      </c>
      <c r="D194" t="s">
        <v>713</v>
      </c>
      <c r="E194" t="s">
        <v>713</v>
      </c>
      <c r="F194">
        <v>0</v>
      </c>
      <c r="G194">
        <v>192</v>
      </c>
      <c r="H194">
        <f>IF(Table1[[#This Row],[my_ent_1]]=Table1[[#This Row],[their_ent_1]], 1, 0)</f>
        <v>0</v>
      </c>
      <c r="I194">
        <f>IF(Table1[[#This Row],[my_ent_2]]=Table1[[#This Row],[their_ent_2]], 1, 0)</f>
        <v>1</v>
      </c>
      <c r="J194">
        <f>IF(Table1[[#This Row],[same_1]]=1 &amp; Table1[[#This Row],[same_2]]=1, 1, 0)</f>
        <v>0</v>
      </c>
      <c r="K194">
        <f>IF(ISNUMBER(SEARCH(Table1[[#This Row],[their_ent_1]],Table1[[#This Row],[my_ent_1]])), 1, 0)</f>
        <v>1</v>
      </c>
      <c r="L194">
        <f>IF(ISNUMBER(SEARCH(Table1[[#This Row],[their_ent_2]],Table1[[#This Row],[my_ent_2]])), 1, 0)</f>
        <v>1</v>
      </c>
    </row>
    <row r="195" spans="1:12" x14ac:dyDescent="0.3">
      <c r="A195" t="s">
        <v>714</v>
      </c>
      <c r="B195" t="s">
        <v>715</v>
      </c>
      <c r="C195" t="s">
        <v>715</v>
      </c>
      <c r="D195" t="s">
        <v>716</v>
      </c>
      <c r="E195" t="s">
        <v>392</v>
      </c>
      <c r="F195">
        <v>0</v>
      </c>
      <c r="G195">
        <v>193</v>
      </c>
      <c r="H195">
        <f>IF(Table1[[#This Row],[my_ent_1]]=Table1[[#This Row],[their_ent_1]], 1, 0)</f>
        <v>1</v>
      </c>
      <c r="I195">
        <f>IF(Table1[[#This Row],[my_ent_2]]=Table1[[#This Row],[their_ent_2]], 1, 0)</f>
        <v>0</v>
      </c>
      <c r="J195">
        <f>IF(Table1[[#This Row],[same_1]]=1 &amp; Table1[[#This Row],[same_2]]=1, 1, 0)</f>
        <v>0</v>
      </c>
      <c r="K195">
        <f>IF(ISNUMBER(SEARCH(Table1[[#This Row],[their_ent_1]],Table1[[#This Row],[my_ent_1]])), 1, 0)</f>
        <v>1</v>
      </c>
      <c r="L195">
        <f>IF(ISNUMBER(SEARCH(Table1[[#This Row],[their_ent_2]],Table1[[#This Row],[my_ent_2]])), 1, 0)</f>
        <v>0</v>
      </c>
    </row>
    <row r="196" spans="1:12" x14ac:dyDescent="0.3">
      <c r="A196" t="s">
        <v>717</v>
      </c>
      <c r="B196" t="s">
        <v>718</v>
      </c>
      <c r="C196" t="s">
        <v>719</v>
      </c>
      <c r="D196" t="s">
        <v>193</v>
      </c>
      <c r="E196" t="s">
        <v>193</v>
      </c>
      <c r="F196">
        <v>0</v>
      </c>
      <c r="G196">
        <v>194</v>
      </c>
      <c r="H196">
        <f>IF(Table1[[#This Row],[my_ent_1]]=Table1[[#This Row],[their_ent_1]], 1, 0)</f>
        <v>0</v>
      </c>
      <c r="I196">
        <f>IF(Table1[[#This Row],[my_ent_2]]=Table1[[#This Row],[their_ent_2]], 1, 0)</f>
        <v>1</v>
      </c>
      <c r="J196">
        <f>IF(Table1[[#This Row],[same_1]]=1 &amp; Table1[[#This Row],[same_2]]=1, 1, 0)</f>
        <v>0</v>
      </c>
      <c r="K196">
        <f>IF(ISNUMBER(SEARCH(Table1[[#This Row],[their_ent_1]],Table1[[#This Row],[my_ent_1]])), 1, 0)</f>
        <v>0</v>
      </c>
      <c r="L196">
        <f>IF(ISNUMBER(SEARCH(Table1[[#This Row],[their_ent_2]],Table1[[#This Row],[my_ent_2]])), 1, 0)</f>
        <v>1</v>
      </c>
    </row>
    <row r="197" spans="1:12" x14ac:dyDescent="0.3">
      <c r="A197" t="s">
        <v>720</v>
      </c>
      <c r="B197" t="s">
        <v>721</v>
      </c>
      <c r="C197" t="s">
        <v>721</v>
      </c>
      <c r="D197" t="s">
        <v>722</v>
      </c>
      <c r="E197" t="s">
        <v>723</v>
      </c>
      <c r="F197">
        <v>0</v>
      </c>
      <c r="G197">
        <v>195</v>
      </c>
      <c r="H197">
        <f>IF(Table1[[#This Row],[my_ent_1]]=Table1[[#This Row],[their_ent_1]], 1, 0)</f>
        <v>1</v>
      </c>
      <c r="I197">
        <f>IF(Table1[[#This Row],[my_ent_2]]=Table1[[#This Row],[their_ent_2]], 1, 0)</f>
        <v>0</v>
      </c>
      <c r="J197">
        <f>IF(Table1[[#This Row],[same_1]]=1 &amp; Table1[[#This Row],[same_2]]=1, 1, 0)</f>
        <v>0</v>
      </c>
      <c r="K197">
        <f>IF(ISNUMBER(SEARCH(Table1[[#This Row],[their_ent_1]],Table1[[#This Row],[my_ent_1]])), 1, 0)</f>
        <v>1</v>
      </c>
      <c r="L197">
        <f>IF(ISNUMBER(SEARCH(Table1[[#This Row],[their_ent_2]],Table1[[#This Row],[my_ent_2]])), 1, 0)</f>
        <v>0</v>
      </c>
    </row>
    <row r="198" spans="1:12" x14ac:dyDescent="0.3">
      <c r="A198" t="s">
        <v>724</v>
      </c>
      <c r="B198" t="s">
        <v>725</v>
      </c>
      <c r="C198" t="s">
        <v>726</v>
      </c>
      <c r="D198" t="s">
        <v>59</v>
      </c>
      <c r="E198" t="s">
        <v>725</v>
      </c>
      <c r="F198">
        <v>0</v>
      </c>
      <c r="G198">
        <v>196</v>
      </c>
      <c r="H198">
        <f>IF(Table1[[#This Row],[my_ent_1]]=Table1[[#This Row],[their_ent_1]], 1, 0)</f>
        <v>0</v>
      </c>
      <c r="I198">
        <f>IF(Table1[[#This Row],[my_ent_2]]=Table1[[#This Row],[their_ent_2]], 1, 0)</f>
        <v>0</v>
      </c>
      <c r="J198">
        <f>IF(Table1[[#This Row],[same_1]]=1 &amp; Table1[[#This Row],[same_2]]=1, 1, 0)</f>
        <v>0</v>
      </c>
      <c r="K198">
        <f>IF(ISNUMBER(SEARCH(Table1[[#This Row],[their_ent_1]],Table1[[#This Row],[my_ent_1]])), 1, 0)</f>
        <v>0</v>
      </c>
      <c r="L198">
        <f>IF(ISNUMBER(SEARCH(Table1[[#This Row],[their_ent_2]],Table1[[#This Row],[my_ent_2]])), 1, 0)</f>
        <v>0</v>
      </c>
    </row>
    <row r="199" spans="1:12" x14ac:dyDescent="0.3">
      <c r="A199" t="s">
        <v>727</v>
      </c>
      <c r="B199" t="s">
        <v>728</v>
      </c>
      <c r="C199" t="s">
        <v>353</v>
      </c>
      <c r="D199" t="s">
        <v>729</v>
      </c>
      <c r="E199" t="s">
        <v>730</v>
      </c>
      <c r="F199">
        <v>0</v>
      </c>
      <c r="G199">
        <v>197</v>
      </c>
      <c r="H199">
        <f>IF(Table1[[#This Row],[my_ent_1]]=Table1[[#This Row],[their_ent_1]], 1, 0)</f>
        <v>0</v>
      </c>
      <c r="I199">
        <f>IF(Table1[[#This Row],[my_ent_2]]=Table1[[#This Row],[their_ent_2]], 1, 0)</f>
        <v>0</v>
      </c>
      <c r="J199">
        <f>IF(Table1[[#This Row],[same_1]]=1 &amp; Table1[[#This Row],[same_2]]=1, 1, 0)</f>
        <v>0</v>
      </c>
      <c r="K199">
        <f>IF(ISNUMBER(SEARCH(Table1[[#This Row],[their_ent_1]],Table1[[#This Row],[my_ent_1]])), 1, 0)</f>
        <v>0</v>
      </c>
      <c r="L199">
        <f>IF(ISNUMBER(SEARCH(Table1[[#This Row],[their_ent_2]],Table1[[#This Row],[my_ent_2]])), 1, 0)</f>
        <v>1</v>
      </c>
    </row>
    <row r="200" spans="1:12" x14ac:dyDescent="0.3">
      <c r="A200" t="s">
        <v>731</v>
      </c>
      <c r="B200" t="s">
        <v>732</v>
      </c>
      <c r="C200" t="s">
        <v>203</v>
      </c>
      <c r="D200" t="s">
        <v>733</v>
      </c>
      <c r="E200" t="s">
        <v>580</v>
      </c>
      <c r="F200">
        <v>0</v>
      </c>
      <c r="G200">
        <v>198</v>
      </c>
      <c r="H200">
        <f>IF(Table1[[#This Row],[my_ent_1]]=Table1[[#This Row],[their_ent_1]], 1, 0)</f>
        <v>0</v>
      </c>
      <c r="I200">
        <f>IF(Table1[[#This Row],[my_ent_2]]=Table1[[#This Row],[their_ent_2]], 1, 0)</f>
        <v>0</v>
      </c>
      <c r="J200">
        <f>IF(Table1[[#This Row],[same_1]]=1 &amp; Table1[[#This Row],[same_2]]=1, 1, 0)</f>
        <v>0</v>
      </c>
      <c r="K200">
        <f>IF(ISNUMBER(SEARCH(Table1[[#This Row],[their_ent_1]],Table1[[#This Row],[my_ent_1]])), 1, 0)</f>
        <v>0</v>
      </c>
      <c r="L200">
        <f>IF(ISNUMBER(SEARCH(Table1[[#This Row],[their_ent_2]],Table1[[#This Row],[my_ent_2]])), 1, 0)</f>
        <v>1</v>
      </c>
    </row>
    <row r="201" spans="1:12" x14ac:dyDescent="0.3">
      <c r="A201" t="s">
        <v>734</v>
      </c>
      <c r="B201" t="s">
        <v>735</v>
      </c>
      <c r="C201" t="s">
        <v>736</v>
      </c>
      <c r="D201" t="s">
        <v>737</v>
      </c>
      <c r="E201" t="s">
        <v>737</v>
      </c>
      <c r="F201">
        <v>0</v>
      </c>
      <c r="G201">
        <v>199</v>
      </c>
      <c r="H201">
        <f>IF(Table1[[#This Row],[my_ent_1]]=Table1[[#This Row],[their_ent_1]], 1, 0)</f>
        <v>0</v>
      </c>
      <c r="I201">
        <f>IF(Table1[[#This Row],[my_ent_2]]=Table1[[#This Row],[their_ent_2]], 1, 0)</f>
        <v>1</v>
      </c>
      <c r="J201">
        <f>IF(Table1[[#This Row],[same_1]]=1 &amp; Table1[[#This Row],[same_2]]=1, 1, 0)</f>
        <v>0</v>
      </c>
      <c r="K201">
        <f>IF(ISNUMBER(SEARCH(Table1[[#This Row],[their_ent_1]],Table1[[#This Row],[my_ent_1]])), 1, 0)</f>
        <v>0</v>
      </c>
      <c r="L201">
        <f>IF(ISNUMBER(SEARCH(Table1[[#This Row],[their_ent_2]],Table1[[#This Row],[my_ent_2]])), 1, 0)</f>
        <v>1</v>
      </c>
    </row>
    <row r="202" spans="1:12" x14ac:dyDescent="0.3">
      <c r="A202" t="s">
        <v>738</v>
      </c>
      <c r="B202" t="s">
        <v>739</v>
      </c>
      <c r="C202" t="s">
        <v>740</v>
      </c>
      <c r="D202" t="s">
        <v>78</v>
      </c>
      <c r="E202" t="s">
        <v>739</v>
      </c>
      <c r="F202">
        <v>0</v>
      </c>
      <c r="G202">
        <v>200</v>
      </c>
      <c r="H202">
        <f>IF(Table1[[#This Row],[my_ent_1]]=Table1[[#This Row],[their_ent_1]], 1, 0)</f>
        <v>0</v>
      </c>
      <c r="I202">
        <f>IF(Table1[[#This Row],[my_ent_2]]=Table1[[#This Row],[their_ent_2]], 1, 0)</f>
        <v>0</v>
      </c>
      <c r="J202">
        <f>IF(Table1[[#This Row],[same_1]]=1 &amp; Table1[[#This Row],[same_2]]=1, 1, 0)</f>
        <v>0</v>
      </c>
      <c r="K202">
        <f>IF(ISNUMBER(SEARCH(Table1[[#This Row],[their_ent_1]],Table1[[#This Row],[my_ent_1]])), 1, 0)</f>
        <v>0</v>
      </c>
      <c r="L202">
        <f>IF(ISNUMBER(SEARCH(Table1[[#This Row],[their_ent_2]],Table1[[#This Row],[my_ent_2]])), 1, 0)</f>
        <v>0</v>
      </c>
    </row>
    <row r="203" spans="1:12" x14ac:dyDescent="0.3">
      <c r="A203" t="s">
        <v>741</v>
      </c>
      <c r="B203" t="s">
        <v>742</v>
      </c>
      <c r="C203" t="s">
        <v>742</v>
      </c>
      <c r="D203" t="s">
        <v>743</v>
      </c>
      <c r="E203" t="s">
        <v>744</v>
      </c>
      <c r="F203">
        <v>0</v>
      </c>
      <c r="G203">
        <v>201</v>
      </c>
      <c r="H203">
        <f>IF(Table1[[#This Row],[my_ent_1]]=Table1[[#This Row],[their_ent_1]], 1, 0)</f>
        <v>1</v>
      </c>
      <c r="I203">
        <f>IF(Table1[[#This Row],[my_ent_2]]=Table1[[#This Row],[their_ent_2]], 1, 0)</f>
        <v>0</v>
      </c>
      <c r="J203">
        <f>IF(Table1[[#This Row],[same_1]]=1 &amp; Table1[[#This Row],[same_2]]=1, 1, 0)</f>
        <v>0</v>
      </c>
      <c r="K203">
        <f>IF(ISNUMBER(SEARCH(Table1[[#This Row],[their_ent_1]],Table1[[#This Row],[my_ent_1]])), 1, 0)</f>
        <v>1</v>
      </c>
      <c r="L203">
        <f>IF(ISNUMBER(SEARCH(Table1[[#This Row],[their_ent_2]],Table1[[#This Row],[my_ent_2]])), 1, 0)</f>
        <v>0</v>
      </c>
    </row>
    <row r="204" spans="1:12" x14ac:dyDescent="0.3">
      <c r="A204" t="s">
        <v>745</v>
      </c>
      <c r="B204" t="s">
        <v>746</v>
      </c>
      <c r="C204" t="s">
        <v>747</v>
      </c>
      <c r="D204" t="s">
        <v>202</v>
      </c>
      <c r="E204" t="s">
        <v>748</v>
      </c>
      <c r="F204">
        <v>0</v>
      </c>
      <c r="G204">
        <v>202</v>
      </c>
      <c r="H204">
        <f>IF(Table1[[#This Row],[my_ent_1]]=Table1[[#This Row],[their_ent_1]], 1, 0)</f>
        <v>0</v>
      </c>
      <c r="I204">
        <f>IF(Table1[[#This Row],[my_ent_2]]=Table1[[#This Row],[their_ent_2]], 1, 0)</f>
        <v>0</v>
      </c>
      <c r="J204">
        <f>IF(Table1[[#This Row],[same_1]]=1 &amp; Table1[[#This Row],[same_2]]=1, 1, 0)</f>
        <v>0</v>
      </c>
      <c r="K204">
        <f>IF(ISNUMBER(SEARCH(Table1[[#This Row],[their_ent_1]],Table1[[#This Row],[my_ent_1]])), 1, 0)</f>
        <v>0</v>
      </c>
      <c r="L204">
        <f>IF(ISNUMBER(SEARCH(Table1[[#This Row],[their_ent_2]],Table1[[#This Row],[my_ent_2]])), 1, 0)</f>
        <v>0</v>
      </c>
    </row>
    <row r="205" spans="1:12" x14ac:dyDescent="0.3">
      <c r="A205" t="s">
        <v>749</v>
      </c>
      <c r="B205" t="s">
        <v>750</v>
      </c>
      <c r="C205" t="s">
        <v>751</v>
      </c>
      <c r="D205" t="s">
        <v>751</v>
      </c>
      <c r="E205" t="s">
        <v>752</v>
      </c>
      <c r="F205">
        <v>0</v>
      </c>
      <c r="G205">
        <v>203</v>
      </c>
      <c r="H205">
        <f>IF(Table1[[#This Row],[my_ent_1]]=Table1[[#This Row],[their_ent_1]], 1, 0)</f>
        <v>0</v>
      </c>
      <c r="I205">
        <f>IF(Table1[[#This Row],[my_ent_2]]=Table1[[#This Row],[their_ent_2]], 1, 0)</f>
        <v>0</v>
      </c>
      <c r="J205">
        <f>IF(Table1[[#This Row],[same_1]]=1 &amp; Table1[[#This Row],[same_2]]=1, 1, 0)</f>
        <v>0</v>
      </c>
      <c r="K205">
        <f>IF(ISNUMBER(SEARCH(Table1[[#This Row],[their_ent_1]],Table1[[#This Row],[my_ent_1]])), 1, 0)</f>
        <v>0</v>
      </c>
      <c r="L205">
        <f>IF(ISNUMBER(SEARCH(Table1[[#This Row],[their_ent_2]],Table1[[#This Row],[my_ent_2]])), 1, 0)</f>
        <v>0</v>
      </c>
    </row>
    <row r="206" spans="1:12" x14ac:dyDescent="0.3">
      <c r="A206" t="s">
        <v>753</v>
      </c>
      <c r="B206" t="s">
        <v>78</v>
      </c>
      <c r="C206" t="s">
        <v>78</v>
      </c>
      <c r="D206" t="s">
        <v>754</v>
      </c>
      <c r="E206" t="s">
        <v>755</v>
      </c>
      <c r="F206">
        <v>0</v>
      </c>
      <c r="G206">
        <v>204</v>
      </c>
      <c r="H206">
        <f>IF(Table1[[#This Row],[my_ent_1]]=Table1[[#This Row],[their_ent_1]], 1, 0)</f>
        <v>1</v>
      </c>
      <c r="I206">
        <f>IF(Table1[[#This Row],[my_ent_2]]=Table1[[#This Row],[their_ent_2]], 1, 0)</f>
        <v>0</v>
      </c>
      <c r="J206">
        <f>IF(Table1[[#This Row],[same_1]]=1 &amp; Table1[[#This Row],[same_2]]=1, 1, 0)</f>
        <v>0</v>
      </c>
      <c r="K206">
        <f>IF(ISNUMBER(SEARCH(Table1[[#This Row],[their_ent_1]],Table1[[#This Row],[my_ent_1]])), 1, 0)</f>
        <v>1</v>
      </c>
      <c r="L206">
        <f>IF(ISNUMBER(SEARCH(Table1[[#This Row],[their_ent_2]],Table1[[#This Row],[my_ent_2]])), 1, 0)</f>
        <v>1</v>
      </c>
    </row>
    <row r="207" spans="1:12" x14ac:dyDescent="0.3">
      <c r="A207" t="s">
        <v>756</v>
      </c>
      <c r="B207" t="s">
        <v>757</v>
      </c>
      <c r="C207" t="s">
        <v>271</v>
      </c>
      <c r="D207" t="s">
        <v>758</v>
      </c>
      <c r="E207" t="s">
        <v>759</v>
      </c>
      <c r="F207">
        <v>0</v>
      </c>
      <c r="G207">
        <v>205</v>
      </c>
      <c r="H207">
        <f>IF(Table1[[#This Row],[my_ent_1]]=Table1[[#This Row],[their_ent_1]], 1, 0)</f>
        <v>0</v>
      </c>
      <c r="I207">
        <f>IF(Table1[[#This Row],[my_ent_2]]=Table1[[#This Row],[their_ent_2]], 1, 0)</f>
        <v>0</v>
      </c>
      <c r="J207">
        <f>IF(Table1[[#This Row],[same_1]]=1 &amp; Table1[[#This Row],[same_2]]=1, 1, 0)</f>
        <v>0</v>
      </c>
      <c r="K207">
        <f>IF(ISNUMBER(SEARCH(Table1[[#This Row],[their_ent_1]],Table1[[#This Row],[my_ent_1]])), 1, 0)</f>
        <v>0</v>
      </c>
      <c r="L207">
        <f>IF(ISNUMBER(SEARCH(Table1[[#This Row],[their_ent_2]],Table1[[#This Row],[my_ent_2]])), 1, 0)</f>
        <v>0</v>
      </c>
    </row>
    <row r="208" spans="1:12" x14ac:dyDescent="0.3">
      <c r="A208" t="s">
        <v>760</v>
      </c>
      <c r="B208" t="s">
        <v>26</v>
      </c>
      <c r="C208" t="s">
        <v>761</v>
      </c>
      <c r="D208" t="s">
        <v>762</v>
      </c>
      <c r="E208" t="s">
        <v>763</v>
      </c>
      <c r="F208">
        <v>0</v>
      </c>
      <c r="G208">
        <v>206</v>
      </c>
      <c r="H208">
        <f>IF(Table1[[#This Row],[my_ent_1]]=Table1[[#This Row],[their_ent_1]], 1, 0)</f>
        <v>0</v>
      </c>
      <c r="I208">
        <f>IF(Table1[[#This Row],[my_ent_2]]=Table1[[#This Row],[their_ent_2]], 1, 0)</f>
        <v>0</v>
      </c>
      <c r="J208">
        <f>IF(Table1[[#This Row],[same_1]]=1 &amp; Table1[[#This Row],[same_2]]=1, 1, 0)</f>
        <v>0</v>
      </c>
      <c r="K208">
        <f>IF(ISNUMBER(SEARCH(Table1[[#This Row],[their_ent_1]],Table1[[#This Row],[my_ent_1]])), 1, 0)</f>
        <v>0</v>
      </c>
      <c r="L208">
        <f>IF(ISNUMBER(SEARCH(Table1[[#This Row],[their_ent_2]],Table1[[#This Row],[my_ent_2]])), 1, 0)</f>
        <v>1</v>
      </c>
    </row>
    <row r="209" spans="1:12" x14ac:dyDescent="0.3">
      <c r="A209" t="s">
        <v>764</v>
      </c>
      <c r="B209" t="s">
        <v>765</v>
      </c>
      <c r="C209" t="s">
        <v>766</v>
      </c>
      <c r="D209" t="s">
        <v>767</v>
      </c>
      <c r="E209" t="s">
        <v>768</v>
      </c>
      <c r="F209">
        <v>0</v>
      </c>
      <c r="G209">
        <v>207</v>
      </c>
      <c r="H209">
        <f>IF(Table1[[#This Row],[my_ent_1]]=Table1[[#This Row],[their_ent_1]], 1, 0)</f>
        <v>0</v>
      </c>
      <c r="I209">
        <f>IF(Table1[[#This Row],[my_ent_2]]=Table1[[#This Row],[their_ent_2]], 1, 0)</f>
        <v>0</v>
      </c>
      <c r="J209">
        <f>IF(Table1[[#This Row],[same_1]]=1 &amp; Table1[[#This Row],[same_2]]=1, 1, 0)</f>
        <v>0</v>
      </c>
      <c r="K209">
        <f>IF(ISNUMBER(SEARCH(Table1[[#This Row],[their_ent_1]],Table1[[#This Row],[my_ent_1]])), 1, 0)</f>
        <v>1</v>
      </c>
      <c r="L209">
        <f>IF(ISNUMBER(SEARCH(Table1[[#This Row],[their_ent_2]],Table1[[#This Row],[my_ent_2]])), 1, 0)</f>
        <v>1</v>
      </c>
    </row>
    <row r="210" spans="1:12" x14ac:dyDescent="0.3">
      <c r="A210" t="s">
        <v>769</v>
      </c>
      <c r="B210" t="s">
        <v>69</v>
      </c>
      <c r="C210" t="s">
        <v>770</v>
      </c>
      <c r="D210" t="s">
        <v>485</v>
      </c>
      <c r="E210" t="s">
        <v>485</v>
      </c>
      <c r="F210">
        <v>0</v>
      </c>
      <c r="G210">
        <v>208</v>
      </c>
      <c r="H210">
        <f>IF(Table1[[#This Row],[my_ent_1]]=Table1[[#This Row],[their_ent_1]], 1, 0)</f>
        <v>0</v>
      </c>
      <c r="I210">
        <f>IF(Table1[[#This Row],[my_ent_2]]=Table1[[#This Row],[their_ent_2]], 1, 0)</f>
        <v>1</v>
      </c>
      <c r="J210">
        <f>IF(Table1[[#This Row],[same_1]]=1 &amp; Table1[[#This Row],[same_2]]=1, 1, 0)</f>
        <v>0</v>
      </c>
      <c r="K210">
        <f>IF(ISNUMBER(SEARCH(Table1[[#This Row],[their_ent_1]],Table1[[#This Row],[my_ent_1]])), 1, 0)</f>
        <v>0</v>
      </c>
      <c r="L210">
        <f>IF(ISNUMBER(SEARCH(Table1[[#This Row],[their_ent_2]],Table1[[#This Row],[my_ent_2]])), 1, 0)</f>
        <v>1</v>
      </c>
    </row>
    <row r="211" spans="1:12" x14ac:dyDescent="0.3">
      <c r="A211" t="s">
        <v>771</v>
      </c>
      <c r="B211" t="s">
        <v>127</v>
      </c>
      <c r="C211" t="s">
        <v>772</v>
      </c>
      <c r="D211" t="s">
        <v>158</v>
      </c>
      <c r="E211" t="s">
        <v>773</v>
      </c>
      <c r="F211">
        <v>0</v>
      </c>
      <c r="G211">
        <v>209</v>
      </c>
      <c r="H211">
        <f>IF(Table1[[#This Row],[my_ent_1]]=Table1[[#This Row],[their_ent_1]], 1, 0)</f>
        <v>0</v>
      </c>
      <c r="I211">
        <f>IF(Table1[[#This Row],[my_ent_2]]=Table1[[#This Row],[their_ent_2]], 1, 0)</f>
        <v>0</v>
      </c>
      <c r="J211">
        <f>IF(Table1[[#This Row],[same_1]]=1 &amp; Table1[[#This Row],[same_2]]=1, 1, 0)</f>
        <v>0</v>
      </c>
      <c r="K211">
        <f>IF(ISNUMBER(SEARCH(Table1[[#This Row],[their_ent_1]],Table1[[#This Row],[my_ent_1]])), 1, 0)</f>
        <v>0</v>
      </c>
      <c r="L211">
        <f>IF(ISNUMBER(SEARCH(Table1[[#This Row],[their_ent_2]],Table1[[#This Row],[my_ent_2]])), 1, 0)</f>
        <v>0</v>
      </c>
    </row>
    <row r="212" spans="1:12" x14ac:dyDescent="0.3">
      <c r="A212" t="s">
        <v>774</v>
      </c>
      <c r="B212" t="s">
        <v>775</v>
      </c>
      <c r="C212" t="s">
        <v>402</v>
      </c>
      <c r="D212" t="s">
        <v>776</v>
      </c>
      <c r="E212" t="s">
        <v>777</v>
      </c>
      <c r="F212">
        <v>0</v>
      </c>
      <c r="G212">
        <v>210</v>
      </c>
      <c r="H212">
        <f>IF(Table1[[#This Row],[my_ent_1]]=Table1[[#This Row],[their_ent_1]], 1, 0)</f>
        <v>0</v>
      </c>
      <c r="I212">
        <f>IF(Table1[[#This Row],[my_ent_2]]=Table1[[#This Row],[their_ent_2]], 1, 0)</f>
        <v>0</v>
      </c>
      <c r="J212">
        <f>IF(Table1[[#This Row],[same_1]]=1 &amp; Table1[[#This Row],[same_2]]=1, 1, 0)</f>
        <v>0</v>
      </c>
      <c r="K212">
        <f>IF(ISNUMBER(SEARCH(Table1[[#This Row],[their_ent_1]],Table1[[#This Row],[my_ent_1]])), 1, 0)</f>
        <v>0</v>
      </c>
      <c r="L212">
        <f>IF(ISNUMBER(SEARCH(Table1[[#This Row],[their_ent_2]],Table1[[#This Row],[my_ent_2]])), 1, 0)</f>
        <v>0</v>
      </c>
    </row>
    <row r="213" spans="1:12" x14ac:dyDescent="0.3">
      <c r="A213" t="s">
        <v>778</v>
      </c>
      <c r="B213" t="s">
        <v>498</v>
      </c>
      <c r="C213" t="s">
        <v>779</v>
      </c>
      <c r="D213" t="s">
        <v>780</v>
      </c>
      <c r="E213" t="s">
        <v>780</v>
      </c>
      <c r="F213">
        <v>0</v>
      </c>
      <c r="G213">
        <v>211</v>
      </c>
      <c r="H213">
        <f>IF(Table1[[#This Row],[my_ent_1]]=Table1[[#This Row],[their_ent_1]], 1, 0)</f>
        <v>0</v>
      </c>
      <c r="I213">
        <f>IF(Table1[[#This Row],[my_ent_2]]=Table1[[#This Row],[their_ent_2]], 1, 0)</f>
        <v>1</v>
      </c>
      <c r="J213">
        <f>IF(Table1[[#This Row],[same_1]]=1 &amp; Table1[[#This Row],[same_2]]=1, 1, 0)</f>
        <v>0</v>
      </c>
      <c r="K213">
        <f>IF(ISNUMBER(SEARCH(Table1[[#This Row],[their_ent_1]],Table1[[#This Row],[my_ent_1]])), 1, 0)</f>
        <v>0</v>
      </c>
      <c r="L213">
        <f>IF(ISNUMBER(SEARCH(Table1[[#This Row],[their_ent_2]],Table1[[#This Row],[my_ent_2]])), 1, 0)</f>
        <v>1</v>
      </c>
    </row>
    <row r="214" spans="1:12" x14ac:dyDescent="0.3">
      <c r="A214" t="s">
        <v>781</v>
      </c>
      <c r="B214" t="s">
        <v>782</v>
      </c>
      <c r="C214" t="s">
        <v>243</v>
      </c>
      <c r="D214" t="s">
        <v>783</v>
      </c>
      <c r="E214" t="s">
        <v>782</v>
      </c>
      <c r="F214">
        <v>0</v>
      </c>
      <c r="G214">
        <v>212</v>
      </c>
      <c r="H214">
        <f>IF(Table1[[#This Row],[my_ent_1]]=Table1[[#This Row],[their_ent_1]], 1, 0)</f>
        <v>0</v>
      </c>
      <c r="I214">
        <f>IF(Table1[[#This Row],[my_ent_2]]=Table1[[#This Row],[their_ent_2]], 1, 0)</f>
        <v>0</v>
      </c>
      <c r="J214">
        <f>IF(Table1[[#This Row],[same_1]]=1 &amp; Table1[[#This Row],[same_2]]=1, 1, 0)</f>
        <v>0</v>
      </c>
      <c r="K214">
        <f>IF(ISNUMBER(SEARCH(Table1[[#This Row],[their_ent_1]],Table1[[#This Row],[my_ent_1]])), 1, 0)</f>
        <v>0</v>
      </c>
      <c r="L214">
        <f>IF(ISNUMBER(SEARCH(Table1[[#This Row],[their_ent_2]],Table1[[#This Row],[my_ent_2]])), 1, 0)</f>
        <v>0</v>
      </c>
    </row>
    <row r="215" spans="1:12" x14ac:dyDescent="0.3">
      <c r="A215" t="s">
        <v>784</v>
      </c>
      <c r="B215" t="s">
        <v>353</v>
      </c>
      <c r="C215" t="s">
        <v>396</v>
      </c>
      <c r="D215" t="s">
        <v>785</v>
      </c>
      <c r="E215" t="s">
        <v>786</v>
      </c>
      <c r="F215">
        <v>0</v>
      </c>
      <c r="G215">
        <v>213</v>
      </c>
      <c r="H215">
        <f>IF(Table1[[#This Row],[my_ent_1]]=Table1[[#This Row],[their_ent_1]], 1, 0)</f>
        <v>0</v>
      </c>
      <c r="I215">
        <f>IF(Table1[[#This Row],[my_ent_2]]=Table1[[#This Row],[their_ent_2]], 1, 0)</f>
        <v>0</v>
      </c>
      <c r="J215">
        <f>IF(Table1[[#This Row],[same_1]]=1 &amp; Table1[[#This Row],[same_2]]=1, 1, 0)</f>
        <v>0</v>
      </c>
      <c r="K215">
        <f>IF(ISNUMBER(SEARCH(Table1[[#This Row],[their_ent_1]],Table1[[#This Row],[my_ent_1]])), 1, 0)</f>
        <v>0</v>
      </c>
      <c r="L215">
        <f>IF(ISNUMBER(SEARCH(Table1[[#This Row],[their_ent_2]],Table1[[#This Row],[my_ent_2]])), 1, 0)</f>
        <v>0</v>
      </c>
    </row>
    <row r="216" spans="1:12" x14ac:dyDescent="0.3">
      <c r="A216" t="s">
        <v>787</v>
      </c>
      <c r="B216" t="s">
        <v>788</v>
      </c>
      <c r="C216" t="s">
        <v>789</v>
      </c>
      <c r="D216" t="s">
        <v>790</v>
      </c>
      <c r="E216" t="s">
        <v>790</v>
      </c>
      <c r="F216">
        <v>0</v>
      </c>
      <c r="G216">
        <v>214</v>
      </c>
      <c r="H216">
        <f>IF(Table1[[#This Row],[my_ent_1]]=Table1[[#This Row],[their_ent_1]], 1, 0)</f>
        <v>0</v>
      </c>
      <c r="I216">
        <f>IF(Table1[[#This Row],[my_ent_2]]=Table1[[#This Row],[their_ent_2]], 1, 0)</f>
        <v>1</v>
      </c>
      <c r="J216">
        <f>IF(Table1[[#This Row],[same_1]]=1 &amp; Table1[[#This Row],[same_2]]=1, 1, 0)</f>
        <v>0</v>
      </c>
      <c r="K216">
        <f>IF(ISNUMBER(SEARCH(Table1[[#This Row],[their_ent_1]],Table1[[#This Row],[my_ent_1]])), 1, 0)</f>
        <v>0</v>
      </c>
      <c r="L216">
        <f>IF(ISNUMBER(SEARCH(Table1[[#This Row],[their_ent_2]],Table1[[#This Row],[my_ent_2]])), 1, 0)</f>
        <v>1</v>
      </c>
    </row>
    <row r="217" spans="1:12" x14ac:dyDescent="0.3">
      <c r="A217" t="s">
        <v>791</v>
      </c>
      <c r="B217" t="s">
        <v>792</v>
      </c>
      <c r="C217" t="s">
        <v>793</v>
      </c>
      <c r="D217" t="s">
        <v>793</v>
      </c>
      <c r="E217" t="s">
        <v>794</v>
      </c>
      <c r="F217">
        <v>0</v>
      </c>
      <c r="G217">
        <v>215</v>
      </c>
      <c r="H217">
        <f>IF(Table1[[#This Row],[my_ent_1]]=Table1[[#This Row],[their_ent_1]], 1, 0)</f>
        <v>0</v>
      </c>
      <c r="I217">
        <f>IF(Table1[[#This Row],[my_ent_2]]=Table1[[#This Row],[their_ent_2]], 1, 0)</f>
        <v>0</v>
      </c>
      <c r="J217">
        <f>IF(Table1[[#This Row],[same_1]]=1 &amp; Table1[[#This Row],[same_2]]=1, 1, 0)</f>
        <v>0</v>
      </c>
      <c r="K217">
        <f>IF(ISNUMBER(SEARCH(Table1[[#This Row],[their_ent_1]],Table1[[#This Row],[my_ent_1]])), 1, 0)</f>
        <v>0</v>
      </c>
      <c r="L217">
        <f>IF(ISNUMBER(SEARCH(Table1[[#This Row],[their_ent_2]],Table1[[#This Row],[my_ent_2]])), 1, 0)</f>
        <v>0</v>
      </c>
    </row>
    <row r="218" spans="1:12" x14ac:dyDescent="0.3">
      <c r="A218" t="s">
        <v>795</v>
      </c>
      <c r="B218" t="s">
        <v>411</v>
      </c>
      <c r="C218" t="s">
        <v>796</v>
      </c>
      <c r="D218" t="s">
        <v>797</v>
      </c>
      <c r="E218" t="s">
        <v>798</v>
      </c>
      <c r="F218">
        <v>0</v>
      </c>
      <c r="G218">
        <v>216</v>
      </c>
      <c r="H218">
        <f>IF(Table1[[#This Row],[my_ent_1]]=Table1[[#This Row],[their_ent_1]], 1, 0)</f>
        <v>0</v>
      </c>
      <c r="I218">
        <f>IF(Table1[[#This Row],[my_ent_2]]=Table1[[#This Row],[their_ent_2]], 1, 0)</f>
        <v>0</v>
      </c>
      <c r="J218">
        <f>IF(Table1[[#This Row],[same_1]]=1 &amp; Table1[[#This Row],[same_2]]=1, 1, 0)</f>
        <v>0</v>
      </c>
      <c r="K218">
        <f>IF(ISNUMBER(SEARCH(Table1[[#This Row],[their_ent_1]],Table1[[#This Row],[my_ent_1]])), 1, 0)</f>
        <v>1</v>
      </c>
      <c r="L218">
        <f>IF(ISNUMBER(SEARCH(Table1[[#This Row],[their_ent_2]],Table1[[#This Row],[my_ent_2]])), 1, 0)</f>
        <v>1</v>
      </c>
    </row>
    <row r="219" spans="1:12" x14ac:dyDescent="0.3">
      <c r="A219" t="s">
        <v>799</v>
      </c>
      <c r="B219" t="s">
        <v>78</v>
      </c>
      <c r="C219" t="s">
        <v>353</v>
      </c>
      <c r="D219" t="s">
        <v>353</v>
      </c>
      <c r="E219" t="s">
        <v>800</v>
      </c>
      <c r="F219">
        <v>0</v>
      </c>
      <c r="G219">
        <v>217</v>
      </c>
      <c r="H219">
        <f>IF(Table1[[#This Row],[my_ent_1]]=Table1[[#This Row],[their_ent_1]], 1, 0)</f>
        <v>0</v>
      </c>
      <c r="I219">
        <f>IF(Table1[[#This Row],[my_ent_2]]=Table1[[#This Row],[their_ent_2]], 1, 0)</f>
        <v>0</v>
      </c>
      <c r="J219">
        <f>IF(Table1[[#This Row],[same_1]]=1 &amp; Table1[[#This Row],[same_2]]=1, 1, 0)</f>
        <v>0</v>
      </c>
      <c r="K219">
        <f>IF(ISNUMBER(SEARCH(Table1[[#This Row],[their_ent_1]],Table1[[#This Row],[my_ent_1]])), 1, 0)</f>
        <v>0</v>
      </c>
      <c r="L219">
        <f>IF(ISNUMBER(SEARCH(Table1[[#This Row],[their_ent_2]],Table1[[#This Row],[my_ent_2]])), 1, 0)</f>
        <v>0</v>
      </c>
    </row>
    <row r="220" spans="1:12" x14ac:dyDescent="0.3">
      <c r="A220" t="s">
        <v>801</v>
      </c>
      <c r="B220" t="s">
        <v>802</v>
      </c>
      <c r="C220" t="s">
        <v>803</v>
      </c>
      <c r="D220" t="s">
        <v>140</v>
      </c>
      <c r="E220" t="s">
        <v>140</v>
      </c>
      <c r="F220">
        <v>0</v>
      </c>
      <c r="G220">
        <v>218</v>
      </c>
      <c r="H220">
        <f>IF(Table1[[#This Row],[my_ent_1]]=Table1[[#This Row],[their_ent_1]], 1, 0)</f>
        <v>0</v>
      </c>
      <c r="I220">
        <f>IF(Table1[[#This Row],[my_ent_2]]=Table1[[#This Row],[their_ent_2]], 1, 0)</f>
        <v>1</v>
      </c>
      <c r="J220">
        <f>IF(Table1[[#This Row],[same_1]]=1 &amp; Table1[[#This Row],[same_2]]=1, 1, 0)</f>
        <v>0</v>
      </c>
      <c r="K220">
        <f>IF(ISNUMBER(SEARCH(Table1[[#This Row],[their_ent_1]],Table1[[#This Row],[my_ent_1]])), 1, 0)</f>
        <v>0</v>
      </c>
      <c r="L220">
        <f>IF(ISNUMBER(SEARCH(Table1[[#This Row],[their_ent_2]],Table1[[#This Row],[my_ent_2]])), 1, 0)</f>
        <v>1</v>
      </c>
    </row>
    <row r="221" spans="1:12" x14ac:dyDescent="0.3">
      <c r="A221" t="s">
        <v>804</v>
      </c>
      <c r="B221" t="s">
        <v>805</v>
      </c>
      <c r="C221" t="s">
        <v>806</v>
      </c>
      <c r="D221" t="s">
        <v>505</v>
      </c>
      <c r="E221" t="s">
        <v>505</v>
      </c>
      <c r="F221">
        <v>0</v>
      </c>
      <c r="G221">
        <v>219</v>
      </c>
      <c r="H221">
        <f>IF(Table1[[#This Row],[my_ent_1]]=Table1[[#This Row],[their_ent_1]], 1, 0)</f>
        <v>0</v>
      </c>
      <c r="I221">
        <f>IF(Table1[[#This Row],[my_ent_2]]=Table1[[#This Row],[their_ent_2]], 1, 0)</f>
        <v>1</v>
      </c>
      <c r="J221">
        <f>IF(Table1[[#This Row],[same_1]]=1 &amp; Table1[[#This Row],[same_2]]=1, 1, 0)</f>
        <v>0</v>
      </c>
      <c r="K221">
        <f>IF(ISNUMBER(SEARCH(Table1[[#This Row],[their_ent_1]],Table1[[#This Row],[my_ent_1]])), 1, 0)</f>
        <v>1</v>
      </c>
      <c r="L221">
        <f>IF(ISNUMBER(SEARCH(Table1[[#This Row],[their_ent_2]],Table1[[#This Row],[my_ent_2]])), 1, 0)</f>
        <v>1</v>
      </c>
    </row>
    <row r="222" spans="1:12" x14ac:dyDescent="0.3">
      <c r="A222" t="s">
        <v>807</v>
      </c>
      <c r="B222" t="s">
        <v>51</v>
      </c>
      <c r="C222" t="s">
        <v>808</v>
      </c>
      <c r="D222" t="s">
        <v>809</v>
      </c>
      <c r="E222" t="s">
        <v>810</v>
      </c>
      <c r="F222">
        <v>0</v>
      </c>
      <c r="G222">
        <v>220</v>
      </c>
      <c r="H222">
        <f>IF(Table1[[#This Row],[my_ent_1]]=Table1[[#This Row],[their_ent_1]], 1, 0)</f>
        <v>0</v>
      </c>
      <c r="I222">
        <f>IF(Table1[[#This Row],[my_ent_2]]=Table1[[#This Row],[their_ent_2]], 1, 0)</f>
        <v>0</v>
      </c>
      <c r="J222">
        <f>IF(Table1[[#This Row],[same_1]]=1 &amp; Table1[[#This Row],[same_2]]=1, 1, 0)</f>
        <v>0</v>
      </c>
      <c r="K222">
        <f>IF(ISNUMBER(SEARCH(Table1[[#This Row],[their_ent_1]],Table1[[#This Row],[my_ent_1]])), 1, 0)</f>
        <v>0</v>
      </c>
      <c r="L222">
        <f>IF(ISNUMBER(SEARCH(Table1[[#This Row],[their_ent_2]],Table1[[#This Row],[my_ent_2]])), 1, 0)</f>
        <v>1</v>
      </c>
    </row>
    <row r="223" spans="1:12" x14ac:dyDescent="0.3">
      <c r="A223" t="s">
        <v>811</v>
      </c>
      <c r="B223" t="s">
        <v>62</v>
      </c>
      <c r="C223" t="s">
        <v>62</v>
      </c>
      <c r="D223" t="s">
        <v>812</v>
      </c>
      <c r="E223" t="s">
        <v>813</v>
      </c>
      <c r="F223">
        <v>0</v>
      </c>
      <c r="G223">
        <v>221</v>
      </c>
      <c r="H223">
        <f>IF(Table1[[#This Row],[my_ent_1]]=Table1[[#This Row],[their_ent_1]], 1, 0)</f>
        <v>1</v>
      </c>
      <c r="I223">
        <f>IF(Table1[[#This Row],[my_ent_2]]=Table1[[#This Row],[their_ent_2]], 1, 0)</f>
        <v>0</v>
      </c>
      <c r="J223">
        <f>IF(Table1[[#This Row],[same_1]]=1 &amp; Table1[[#This Row],[same_2]]=1, 1, 0)</f>
        <v>0</v>
      </c>
      <c r="K223">
        <f>IF(ISNUMBER(SEARCH(Table1[[#This Row],[their_ent_1]],Table1[[#This Row],[my_ent_1]])), 1, 0)</f>
        <v>1</v>
      </c>
      <c r="L223">
        <f>IF(ISNUMBER(SEARCH(Table1[[#This Row],[their_ent_2]],Table1[[#This Row],[my_ent_2]])), 1, 0)</f>
        <v>0</v>
      </c>
    </row>
    <row r="224" spans="1:12" x14ac:dyDescent="0.3">
      <c r="A224" t="s">
        <v>814</v>
      </c>
      <c r="B224" t="s">
        <v>157</v>
      </c>
      <c r="C224" t="s">
        <v>815</v>
      </c>
      <c r="D224" t="s">
        <v>51</v>
      </c>
      <c r="E224" t="s">
        <v>816</v>
      </c>
      <c r="F224">
        <v>0</v>
      </c>
      <c r="G224">
        <v>222</v>
      </c>
      <c r="H224">
        <f>IF(Table1[[#This Row],[my_ent_1]]=Table1[[#This Row],[their_ent_1]], 1, 0)</f>
        <v>0</v>
      </c>
      <c r="I224">
        <f>IF(Table1[[#This Row],[my_ent_2]]=Table1[[#This Row],[their_ent_2]], 1, 0)</f>
        <v>0</v>
      </c>
      <c r="J224">
        <f>IF(Table1[[#This Row],[same_1]]=1 &amp; Table1[[#This Row],[same_2]]=1, 1, 0)</f>
        <v>0</v>
      </c>
      <c r="K224">
        <f>IF(ISNUMBER(SEARCH(Table1[[#This Row],[their_ent_1]],Table1[[#This Row],[my_ent_1]])), 1, 0)</f>
        <v>0</v>
      </c>
      <c r="L224">
        <f>IF(ISNUMBER(SEARCH(Table1[[#This Row],[their_ent_2]],Table1[[#This Row],[my_ent_2]])), 1, 0)</f>
        <v>0</v>
      </c>
    </row>
    <row r="225" spans="1:12" x14ac:dyDescent="0.3">
      <c r="A225" t="s">
        <v>817</v>
      </c>
      <c r="B225" t="s">
        <v>818</v>
      </c>
      <c r="C225" t="s">
        <v>20</v>
      </c>
      <c r="D225" t="s">
        <v>819</v>
      </c>
      <c r="E225" t="s">
        <v>820</v>
      </c>
      <c r="F225">
        <v>0</v>
      </c>
      <c r="G225">
        <v>223</v>
      </c>
      <c r="H225">
        <f>IF(Table1[[#This Row],[my_ent_1]]=Table1[[#This Row],[their_ent_1]], 1, 0)</f>
        <v>0</v>
      </c>
      <c r="I225">
        <f>IF(Table1[[#This Row],[my_ent_2]]=Table1[[#This Row],[their_ent_2]], 1, 0)</f>
        <v>0</v>
      </c>
      <c r="J225">
        <f>IF(Table1[[#This Row],[same_1]]=1 &amp; Table1[[#This Row],[same_2]]=1, 1, 0)</f>
        <v>0</v>
      </c>
      <c r="K225">
        <f>IF(ISNUMBER(SEARCH(Table1[[#This Row],[their_ent_1]],Table1[[#This Row],[my_ent_1]])), 1, 0)</f>
        <v>0</v>
      </c>
      <c r="L225">
        <f>IF(ISNUMBER(SEARCH(Table1[[#This Row],[their_ent_2]],Table1[[#This Row],[my_ent_2]])), 1, 0)</f>
        <v>0</v>
      </c>
    </row>
    <row r="226" spans="1:12" x14ac:dyDescent="0.3">
      <c r="A226" t="s">
        <v>821</v>
      </c>
      <c r="B226" t="s">
        <v>822</v>
      </c>
      <c r="C226" t="s">
        <v>822</v>
      </c>
      <c r="D226" t="s">
        <v>193</v>
      </c>
      <c r="E226" t="s">
        <v>719</v>
      </c>
      <c r="F226">
        <v>0</v>
      </c>
      <c r="G226">
        <v>224</v>
      </c>
      <c r="H226">
        <f>IF(Table1[[#This Row],[my_ent_1]]=Table1[[#This Row],[their_ent_1]], 1, 0)</f>
        <v>1</v>
      </c>
      <c r="I226">
        <f>IF(Table1[[#This Row],[my_ent_2]]=Table1[[#This Row],[their_ent_2]], 1, 0)</f>
        <v>0</v>
      </c>
      <c r="J226">
        <f>IF(Table1[[#This Row],[same_1]]=1 &amp; Table1[[#This Row],[same_2]]=1, 1, 0)</f>
        <v>0</v>
      </c>
      <c r="K226">
        <f>IF(ISNUMBER(SEARCH(Table1[[#This Row],[their_ent_1]],Table1[[#This Row],[my_ent_1]])), 1, 0)</f>
        <v>1</v>
      </c>
      <c r="L226">
        <f>IF(ISNUMBER(SEARCH(Table1[[#This Row],[their_ent_2]],Table1[[#This Row],[my_ent_2]])), 1, 0)</f>
        <v>0</v>
      </c>
    </row>
    <row r="227" spans="1:12" x14ac:dyDescent="0.3">
      <c r="A227" t="s">
        <v>823</v>
      </c>
      <c r="B227" t="s">
        <v>323</v>
      </c>
      <c r="C227" t="s">
        <v>824</v>
      </c>
      <c r="D227" t="s">
        <v>825</v>
      </c>
      <c r="E227" t="s">
        <v>826</v>
      </c>
      <c r="F227">
        <v>0</v>
      </c>
      <c r="G227">
        <v>225</v>
      </c>
      <c r="H227">
        <f>IF(Table1[[#This Row],[my_ent_1]]=Table1[[#This Row],[their_ent_1]], 1, 0)</f>
        <v>0</v>
      </c>
      <c r="I227">
        <f>IF(Table1[[#This Row],[my_ent_2]]=Table1[[#This Row],[their_ent_2]], 1, 0)</f>
        <v>0</v>
      </c>
      <c r="J227">
        <f>IF(Table1[[#This Row],[same_1]]=1 &amp; Table1[[#This Row],[same_2]]=1, 1, 0)</f>
        <v>0</v>
      </c>
      <c r="K227">
        <f>IF(ISNUMBER(SEARCH(Table1[[#This Row],[their_ent_1]],Table1[[#This Row],[my_ent_1]])), 1, 0)</f>
        <v>0</v>
      </c>
      <c r="L227">
        <f>IF(ISNUMBER(SEARCH(Table1[[#This Row],[their_ent_2]],Table1[[#This Row],[my_ent_2]])), 1, 0)</f>
        <v>0</v>
      </c>
    </row>
    <row r="228" spans="1:12" x14ac:dyDescent="0.3">
      <c r="A228" t="s">
        <v>827</v>
      </c>
      <c r="B228" t="s">
        <v>20</v>
      </c>
      <c r="C228" t="s">
        <v>20</v>
      </c>
      <c r="D228" t="s">
        <v>828</v>
      </c>
      <c r="E228" t="s">
        <v>140</v>
      </c>
      <c r="F228">
        <v>0</v>
      </c>
      <c r="G228">
        <v>226</v>
      </c>
      <c r="H228">
        <f>IF(Table1[[#This Row],[my_ent_1]]=Table1[[#This Row],[their_ent_1]], 1, 0)</f>
        <v>1</v>
      </c>
      <c r="I228">
        <f>IF(Table1[[#This Row],[my_ent_2]]=Table1[[#This Row],[their_ent_2]], 1, 0)</f>
        <v>0</v>
      </c>
      <c r="J228">
        <f>IF(Table1[[#This Row],[same_1]]=1 &amp; Table1[[#This Row],[same_2]]=1, 1, 0)</f>
        <v>0</v>
      </c>
      <c r="K228">
        <f>IF(ISNUMBER(SEARCH(Table1[[#This Row],[their_ent_1]],Table1[[#This Row],[my_ent_1]])), 1, 0)</f>
        <v>1</v>
      </c>
      <c r="L228">
        <f>IF(ISNUMBER(SEARCH(Table1[[#This Row],[their_ent_2]],Table1[[#This Row],[my_ent_2]])), 1, 0)</f>
        <v>0</v>
      </c>
    </row>
    <row r="229" spans="1:12" x14ac:dyDescent="0.3">
      <c r="A229" t="s">
        <v>829</v>
      </c>
      <c r="B229" t="s">
        <v>830</v>
      </c>
      <c r="C229" t="s">
        <v>831</v>
      </c>
      <c r="D229" t="s">
        <v>832</v>
      </c>
      <c r="E229" t="s">
        <v>833</v>
      </c>
      <c r="F229">
        <v>0</v>
      </c>
      <c r="G229">
        <v>227</v>
      </c>
      <c r="H229">
        <f>IF(Table1[[#This Row],[my_ent_1]]=Table1[[#This Row],[their_ent_1]], 1, 0)</f>
        <v>0</v>
      </c>
      <c r="I229">
        <f>IF(Table1[[#This Row],[my_ent_2]]=Table1[[#This Row],[their_ent_2]], 1, 0)</f>
        <v>0</v>
      </c>
      <c r="J229">
        <f>IF(Table1[[#This Row],[same_1]]=1 &amp; Table1[[#This Row],[same_2]]=1, 1, 0)</f>
        <v>0</v>
      </c>
      <c r="K229">
        <f>IF(ISNUMBER(SEARCH(Table1[[#This Row],[their_ent_1]],Table1[[#This Row],[my_ent_1]])), 1, 0)</f>
        <v>0</v>
      </c>
      <c r="L229">
        <f>IF(ISNUMBER(SEARCH(Table1[[#This Row],[their_ent_2]],Table1[[#This Row],[my_ent_2]])), 1, 0)</f>
        <v>0</v>
      </c>
    </row>
    <row r="230" spans="1:12" x14ac:dyDescent="0.3">
      <c r="A230" t="s">
        <v>834</v>
      </c>
      <c r="B230" t="s">
        <v>127</v>
      </c>
      <c r="C230" t="s">
        <v>835</v>
      </c>
      <c r="D230" t="s">
        <v>835</v>
      </c>
      <c r="E230" t="s">
        <v>836</v>
      </c>
      <c r="F230">
        <v>0</v>
      </c>
      <c r="G230">
        <v>228</v>
      </c>
      <c r="H230">
        <f>IF(Table1[[#This Row],[my_ent_1]]=Table1[[#This Row],[their_ent_1]], 1, 0)</f>
        <v>0</v>
      </c>
      <c r="I230">
        <f>IF(Table1[[#This Row],[my_ent_2]]=Table1[[#This Row],[their_ent_2]], 1, 0)</f>
        <v>0</v>
      </c>
      <c r="J230">
        <f>IF(Table1[[#This Row],[same_1]]=1 &amp; Table1[[#This Row],[same_2]]=1, 1, 0)</f>
        <v>0</v>
      </c>
      <c r="K230">
        <f>IF(ISNUMBER(SEARCH(Table1[[#This Row],[their_ent_1]],Table1[[#This Row],[my_ent_1]])), 1, 0)</f>
        <v>0</v>
      </c>
      <c r="L230">
        <f>IF(ISNUMBER(SEARCH(Table1[[#This Row],[their_ent_2]],Table1[[#This Row],[my_ent_2]])), 1, 0)</f>
        <v>0</v>
      </c>
    </row>
    <row r="231" spans="1:12" x14ac:dyDescent="0.3">
      <c r="A231" t="s">
        <v>837</v>
      </c>
      <c r="B231" t="s">
        <v>838</v>
      </c>
      <c r="C231" t="s">
        <v>838</v>
      </c>
      <c r="D231" t="s">
        <v>839</v>
      </c>
      <c r="E231" t="s">
        <v>840</v>
      </c>
      <c r="F231">
        <v>0</v>
      </c>
      <c r="G231">
        <v>229</v>
      </c>
      <c r="H231">
        <f>IF(Table1[[#This Row],[my_ent_1]]=Table1[[#This Row],[their_ent_1]], 1, 0)</f>
        <v>1</v>
      </c>
      <c r="I231">
        <f>IF(Table1[[#This Row],[my_ent_2]]=Table1[[#This Row],[their_ent_2]], 1, 0)</f>
        <v>0</v>
      </c>
      <c r="J231">
        <f>IF(Table1[[#This Row],[same_1]]=1 &amp; Table1[[#This Row],[same_2]]=1, 1, 0)</f>
        <v>0</v>
      </c>
      <c r="K231">
        <f>IF(ISNUMBER(SEARCH(Table1[[#This Row],[their_ent_1]],Table1[[#This Row],[my_ent_1]])), 1, 0)</f>
        <v>1</v>
      </c>
      <c r="L231">
        <f>IF(ISNUMBER(SEARCH(Table1[[#This Row],[their_ent_2]],Table1[[#This Row],[my_ent_2]])), 1, 0)</f>
        <v>0</v>
      </c>
    </row>
    <row r="232" spans="1:12" x14ac:dyDescent="0.3">
      <c r="A232" t="s">
        <v>841</v>
      </c>
      <c r="B232" t="s">
        <v>842</v>
      </c>
      <c r="C232" t="s">
        <v>30</v>
      </c>
      <c r="D232" t="s">
        <v>124</v>
      </c>
      <c r="E232" t="s">
        <v>843</v>
      </c>
      <c r="F232">
        <v>0</v>
      </c>
      <c r="G232">
        <v>230</v>
      </c>
      <c r="H232">
        <f>IF(Table1[[#This Row],[my_ent_1]]=Table1[[#This Row],[their_ent_1]], 1, 0)</f>
        <v>0</v>
      </c>
      <c r="I232">
        <f>IF(Table1[[#This Row],[my_ent_2]]=Table1[[#This Row],[their_ent_2]], 1, 0)</f>
        <v>0</v>
      </c>
      <c r="J232">
        <f>IF(Table1[[#This Row],[same_1]]=1 &amp; Table1[[#This Row],[same_2]]=1, 1, 0)</f>
        <v>0</v>
      </c>
      <c r="K232">
        <f>IF(ISNUMBER(SEARCH(Table1[[#This Row],[their_ent_1]],Table1[[#This Row],[my_ent_1]])), 1, 0)</f>
        <v>0</v>
      </c>
      <c r="L232">
        <f>IF(ISNUMBER(SEARCH(Table1[[#This Row],[their_ent_2]],Table1[[#This Row],[my_ent_2]])), 1, 0)</f>
        <v>0</v>
      </c>
    </row>
    <row r="233" spans="1:12" x14ac:dyDescent="0.3">
      <c r="A233" t="s">
        <v>844</v>
      </c>
      <c r="B233" t="s">
        <v>580</v>
      </c>
      <c r="C233" t="s">
        <v>203</v>
      </c>
      <c r="D233" t="s">
        <v>845</v>
      </c>
      <c r="E233" t="s">
        <v>580</v>
      </c>
      <c r="F233">
        <v>0</v>
      </c>
      <c r="G233">
        <v>231</v>
      </c>
      <c r="H233">
        <f>IF(Table1[[#This Row],[my_ent_1]]=Table1[[#This Row],[their_ent_1]], 1, 0)</f>
        <v>0</v>
      </c>
      <c r="I233">
        <f>IF(Table1[[#This Row],[my_ent_2]]=Table1[[#This Row],[their_ent_2]], 1, 0)</f>
        <v>0</v>
      </c>
      <c r="J233">
        <f>IF(Table1[[#This Row],[same_1]]=1 &amp; Table1[[#This Row],[same_2]]=1, 1, 0)</f>
        <v>0</v>
      </c>
      <c r="K233">
        <f>IF(ISNUMBER(SEARCH(Table1[[#This Row],[their_ent_1]],Table1[[#This Row],[my_ent_1]])), 1, 0)</f>
        <v>0</v>
      </c>
      <c r="L233">
        <f>IF(ISNUMBER(SEARCH(Table1[[#This Row],[their_ent_2]],Table1[[#This Row],[my_ent_2]])), 1, 0)</f>
        <v>0</v>
      </c>
    </row>
    <row r="234" spans="1:12" x14ac:dyDescent="0.3">
      <c r="A234" t="s">
        <v>846</v>
      </c>
      <c r="B234" t="s">
        <v>847</v>
      </c>
      <c r="C234" t="s">
        <v>848</v>
      </c>
      <c r="D234" t="s">
        <v>280</v>
      </c>
      <c r="E234" t="s">
        <v>849</v>
      </c>
      <c r="F234">
        <v>0</v>
      </c>
      <c r="G234">
        <v>232</v>
      </c>
      <c r="H234">
        <f>IF(Table1[[#This Row],[my_ent_1]]=Table1[[#This Row],[their_ent_1]], 1, 0)</f>
        <v>0</v>
      </c>
      <c r="I234">
        <f>IF(Table1[[#This Row],[my_ent_2]]=Table1[[#This Row],[their_ent_2]], 1, 0)</f>
        <v>0</v>
      </c>
      <c r="J234">
        <f>IF(Table1[[#This Row],[same_1]]=1 &amp; Table1[[#This Row],[same_2]]=1, 1, 0)</f>
        <v>0</v>
      </c>
      <c r="K234">
        <f>IF(ISNUMBER(SEARCH(Table1[[#This Row],[their_ent_1]],Table1[[#This Row],[my_ent_1]])), 1, 0)</f>
        <v>0</v>
      </c>
      <c r="L234">
        <f>IF(ISNUMBER(SEARCH(Table1[[#This Row],[their_ent_2]],Table1[[#This Row],[my_ent_2]])), 1, 0)</f>
        <v>0</v>
      </c>
    </row>
    <row r="235" spans="1:12" x14ac:dyDescent="0.3">
      <c r="A235" t="s">
        <v>850</v>
      </c>
      <c r="B235" t="s">
        <v>851</v>
      </c>
      <c r="C235" t="s">
        <v>852</v>
      </c>
      <c r="D235" t="s">
        <v>852</v>
      </c>
      <c r="E235" t="s">
        <v>853</v>
      </c>
      <c r="F235">
        <v>0</v>
      </c>
      <c r="G235">
        <v>233</v>
      </c>
      <c r="H235">
        <f>IF(Table1[[#This Row],[my_ent_1]]=Table1[[#This Row],[their_ent_1]], 1, 0)</f>
        <v>0</v>
      </c>
      <c r="I235">
        <f>IF(Table1[[#This Row],[my_ent_2]]=Table1[[#This Row],[their_ent_2]], 1, 0)</f>
        <v>0</v>
      </c>
      <c r="J235">
        <f>IF(Table1[[#This Row],[same_1]]=1 &amp; Table1[[#This Row],[same_2]]=1, 1, 0)</f>
        <v>0</v>
      </c>
      <c r="K235">
        <f>IF(ISNUMBER(SEARCH(Table1[[#This Row],[their_ent_1]],Table1[[#This Row],[my_ent_1]])), 1, 0)</f>
        <v>0</v>
      </c>
      <c r="L235">
        <f>IF(ISNUMBER(SEARCH(Table1[[#This Row],[their_ent_2]],Table1[[#This Row],[my_ent_2]])), 1, 0)</f>
        <v>0</v>
      </c>
    </row>
    <row r="236" spans="1:12" x14ac:dyDescent="0.3">
      <c r="A236" t="s">
        <v>854</v>
      </c>
      <c r="B236" t="s">
        <v>855</v>
      </c>
      <c r="C236" t="s">
        <v>856</v>
      </c>
      <c r="D236" t="s">
        <v>857</v>
      </c>
      <c r="E236" t="s">
        <v>857</v>
      </c>
      <c r="F236">
        <v>0</v>
      </c>
      <c r="G236">
        <v>234</v>
      </c>
      <c r="H236">
        <f>IF(Table1[[#This Row],[my_ent_1]]=Table1[[#This Row],[their_ent_1]], 1, 0)</f>
        <v>0</v>
      </c>
      <c r="I236">
        <f>IF(Table1[[#This Row],[my_ent_2]]=Table1[[#This Row],[their_ent_2]], 1, 0)</f>
        <v>1</v>
      </c>
      <c r="J236">
        <f>IF(Table1[[#This Row],[same_1]]=1 &amp; Table1[[#This Row],[same_2]]=1, 1, 0)</f>
        <v>0</v>
      </c>
      <c r="K236">
        <f>IF(ISNUMBER(SEARCH(Table1[[#This Row],[their_ent_1]],Table1[[#This Row],[my_ent_1]])), 1, 0)</f>
        <v>0</v>
      </c>
      <c r="L236">
        <f>IF(ISNUMBER(SEARCH(Table1[[#This Row],[their_ent_2]],Table1[[#This Row],[my_ent_2]])), 1, 0)</f>
        <v>1</v>
      </c>
    </row>
    <row r="237" spans="1:12" x14ac:dyDescent="0.3">
      <c r="A237" t="s">
        <v>858</v>
      </c>
      <c r="B237" t="s">
        <v>160</v>
      </c>
      <c r="C237" t="s">
        <v>160</v>
      </c>
      <c r="D237" t="s">
        <v>859</v>
      </c>
      <c r="E237" t="s">
        <v>860</v>
      </c>
      <c r="F237">
        <v>0</v>
      </c>
      <c r="G237">
        <v>235</v>
      </c>
      <c r="H237">
        <f>IF(Table1[[#This Row],[my_ent_1]]=Table1[[#This Row],[their_ent_1]], 1, 0)</f>
        <v>1</v>
      </c>
      <c r="I237">
        <f>IF(Table1[[#This Row],[my_ent_2]]=Table1[[#This Row],[their_ent_2]], 1, 0)</f>
        <v>0</v>
      </c>
      <c r="J237">
        <f>IF(Table1[[#This Row],[same_1]]=1 &amp; Table1[[#This Row],[same_2]]=1, 1, 0)</f>
        <v>0</v>
      </c>
      <c r="K237">
        <f>IF(ISNUMBER(SEARCH(Table1[[#This Row],[their_ent_1]],Table1[[#This Row],[my_ent_1]])), 1, 0)</f>
        <v>1</v>
      </c>
      <c r="L237">
        <f>IF(ISNUMBER(SEARCH(Table1[[#This Row],[their_ent_2]],Table1[[#This Row],[my_ent_2]])), 1, 0)</f>
        <v>0</v>
      </c>
    </row>
    <row r="238" spans="1:12" x14ac:dyDescent="0.3">
      <c r="A238" t="s">
        <v>861</v>
      </c>
      <c r="B238" t="s">
        <v>30</v>
      </c>
      <c r="C238" t="s">
        <v>425</v>
      </c>
      <c r="D238" t="s">
        <v>425</v>
      </c>
      <c r="E238" t="s">
        <v>843</v>
      </c>
      <c r="F238">
        <v>0</v>
      </c>
      <c r="G238">
        <v>236</v>
      </c>
      <c r="H238">
        <f>IF(Table1[[#This Row],[my_ent_1]]=Table1[[#This Row],[their_ent_1]], 1, 0)</f>
        <v>0</v>
      </c>
      <c r="I238">
        <f>IF(Table1[[#This Row],[my_ent_2]]=Table1[[#This Row],[their_ent_2]], 1, 0)</f>
        <v>0</v>
      </c>
      <c r="J238">
        <f>IF(Table1[[#This Row],[same_1]]=1 &amp; Table1[[#This Row],[same_2]]=1, 1, 0)</f>
        <v>0</v>
      </c>
      <c r="K238">
        <f>IF(ISNUMBER(SEARCH(Table1[[#This Row],[their_ent_1]],Table1[[#This Row],[my_ent_1]])), 1, 0)</f>
        <v>0</v>
      </c>
      <c r="L238">
        <f>IF(ISNUMBER(SEARCH(Table1[[#This Row],[their_ent_2]],Table1[[#This Row],[my_ent_2]])), 1, 0)</f>
        <v>0</v>
      </c>
    </row>
    <row r="239" spans="1:12" x14ac:dyDescent="0.3">
      <c r="A239" t="s">
        <v>862</v>
      </c>
      <c r="B239" t="s">
        <v>863</v>
      </c>
      <c r="C239" t="s">
        <v>864</v>
      </c>
      <c r="D239" t="s">
        <v>865</v>
      </c>
      <c r="E239" t="s">
        <v>865</v>
      </c>
      <c r="F239">
        <v>0</v>
      </c>
      <c r="G239">
        <v>237</v>
      </c>
      <c r="H239">
        <f>IF(Table1[[#This Row],[my_ent_1]]=Table1[[#This Row],[their_ent_1]], 1, 0)</f>
        <v>0</v>
      </c>
      <c r="I239">
        <f>IF(Table1[[#This Row],[my_ent_2]]=Table1[[#This Row],[their_ent_2]], 1, 0)</f>
        <v>1</v>
      </c>
      <c r="J239">
        <f>IF(Table1[[#This Row],[same_1]]=1 &amp; Table1[[#This Row],[same_2]]=1, 1, 0)</f>
        <v>0</v>
      </c>
      <c r="K239">
        <f>IF(ISNUMBER(SEARCH(Table1[[#This Row],[their_ent_1]],Table1[[#This Row],[my_ent_1]])), 1, 0)</f>
        <v>1</v>
      </c>
      <c r="L239">
        <f>IF(ISNUMBER(SEARCH(Table1[[#This Row],[their_ent_2]],Table1[[#This Row],[my_ent_2]])), 1, 0)</f>
        <v>1</v>
      </c>
    </row>
    <row r="240" spans="1:12" x14ac:dyDescent="0.3">
      <c r="A240" t="s">
        <v>866</v>
      </c>
      <c r="B240" t="s">
        <v>20</v>
      </c>
      <c r="C240" t="s">
        <v>867</v>
      </c>
      <c r="D240" t="s">
        <v>867</v>
      </c>
      <c r="E240" t="s">
        <v>634</v>
      </c>
      <c r="F240">
        <v>0</v>
      </c>
      <c r="G240">
        <v>238</v>
      </c>
      <c r="H240">
        <f>IF(Table1[[#This Row],[my_ent_1]]=Table1[[#This Row],[their_ent_1]], 1, 0)</f>
        <v>0</v>
      </c>
      <c r="I240">
        <f>IF(Table1[[#This Row],[my_ent_2]]=Table1[[#This Row],[their_ent_2]], 1, 0)</f>
        <v>0</v>
      </c>
      <c r="J240">
        <f>IF(Table1[[#This Row],[same_1]]=1 &amp; Table1[[#This Row],[same_2]]=1, 1, 0)</f>
        <v>0</v>
      </c>
      <c r="K240">
        <f>IF(ISNUMBER(SEARCH(Table1[[#This Row],[their_ent_1]],Table1[[#This Row],[my_ent_1]])), 1, 0)</f>
        <v>0</v>
      </c>
      <c r="L240">
        <f>IF(ISNUMBER(SEARCH(Table1[[#This Row],[their_ent_2]],Table1[[#This Row],[my_ent_2]])), 1, 0)</f>
        <v>0</v>
      </c>
    </row>
    <row r="241" spans="1:12" x14ac:dyDescent="0.3">
      <c r="A241" t="s">
        <v>868</v>
      </c>
      <c r="B241" t="s">
        <v>869</v>
      </c>
      <c r="C241" t="s">
        <v>870</v>
      </c>
      <c r="D241" t="s">
        <v>871</v>
      </c>
      <c r="E241" t="s">
        <v>869</v>
      </c>
      <c r="F241">
        <v>0</v>
      </c>
      <c r="G241">
        <v>239</v>
      </c>
      <c r="H241">
        <f>IF(Table1[[#This Row],[my_ent_1]]=Table1[[#This Row],[their_ent_1]], 1, 0)</f>
        <v>0</v>
      </c>
      <c r="I241">
        <f>IF(Table1[[#This Row],[my_ent_2]]=Table1[[#This Row],[their_ent_2]], 1, 0)</f>
        <v>0</v>
      </c>
      <c r="J241">
        <f>IF(Table1[[#This Row],[same_1]]=1 &amp; Table1[[#This Row],[same_2]]=1, 1, 0)</f>
        <v>0</v>
      </c>
      <c r="K241">
        <f>IF(ISNUMBER(SEARCH(Table1[[#This Row],[their_ent_1]],Table1[[#This Row],[my_ent_1]])), 1, 0)</f>
        <v>0</v>
      </c>
      <c r="L241">
        <f>IF(ISNUMBER(SEARCH(Table1[[#This Row],[their_ent_2]],Table1[[#This Row],[my_ent_2]])), 1, 0)</f>
        <v>0</v>
      </c>
    </row>
    <row r="242" spans="1:12" x14ac:dyDescent="0.3">
      <c r="A242" t="s">
        <v>872</v>
      </c>
      <c r="B242" t="s">
        <v>627</v>
      </c>
      <c r="C242" t="s">
        <v>627</v>
      </c>
      <c r="D242" t="s">
        <v>280</v>
      </c>
      <c r="E242" t="s">
        <v>48</v>
      </c>
      <c r="F242">
        <v>0</v>
      </c>
      <c r="G242">
        <v>240</v>
      </c>
      <c r="H242">
        <f>IF(Table1[[#This Row],[my_ent_1]]=Table1[[#This Row],[their_ent_1]], 1, 0)</f>
        <v>1</v>
      </c>
      <c r="I242">
        <f>IF(Table1[[#This Row],[my_ent_2]]=Table1[[#This Row],[their_ent_2]], 1, 0)</f>
        <v>0</v>
      </c>
      <c r="J242">
        <f>IF(Table1[[#This Row],[same_1]]=1 &amp; Table1[[#This Row],[same_2]]=1, 1, 0)</f>
        <v>0</v>
      </c>
      <c r="K242">
        <f>IF(ISNUMBER(SEARCH(Table1[[#This Row],[their_ent_1]],Table1[[#This Row],[my_ent_1]])), 1, 0)</f>
        <v>1</v>
      </c>
      <c r="L242">
        <f>IF(ISNUMBER(SEARCH(Table1[[#This Row],[their_ent_2]],Table1[[#This Row],[my_ent_2]])), 1, 0)</f>
        <v>0</v>
      </c>
    </row>
    <row r="243" spans="1:12" x14ac:dyDescent="0.3">
      <c r="A243" t="s">
        <v>873</v>
      </c>
      <c r="B243" t="s">
        <v>874</v>
      </c>
      <c r="C243" t="s">
        <v>279</v>
      </c>
      <c r="D243" t="s">
        <v>875</v>
      </c>
      <c r="E243" t="s">
        <v>876</v>
      </c>
      <c r="F243">
        <v>0</v>
      </c>
      <c r="G243">
        <v>241</v>
      </c>
      <c r="H243">
        <f>IF(Table1[[#This Row],[my_ent_1]]=Table1[[#This Row],[their_ent_1]], 1, 0)</f>
        <v>0</v>
      </c>
      <c r="I243">
        <f>IF(Table1[[#This Row],[my_ent_2]]=Table1[[#This Row],[their_ent_2]], 1, 0)</f>
        <v>0</v>
      </c>
      <c r="J243">
        <f>IF(Table1[[#This Row],[same_1]]=1 &amp; Table1[[#This Row],[same_2]]=1, 1, 0)</f>
        <v>0</v>
      </c>
      <c r="K243">
        <f>IF(ISNUMBER(SEARCH(Table1[[#This Row],[their_ent_1]],Table1[[#This Row],[my_ent_1]])), 1, 0)</f>
        <v>0</v>
      </c>
      <c r="L243">
        <f>IF(ISNUMBER(SEARCH(Table1[[#This Row],[their_ent_2]],Table1[[#This Row],[my_ent_2]])), 1, 0)</f>
        <v>0</v>
      </c>
    </row>
    <row r="244" spans="1:12" x14ac:dyDescent="0.3">
      <c r="A244" t="s">
        <v>877</v>
      </c>
      <c r="B244" t="s">
        <v>167</v>
      </c>
      <c r="C244" t="s">
        <v>878</v>
      </c>
      <c r="D244" t="s">
        <v>879</v>
      </c>
      <c r="E244" t="s">
        <v>880</v>
      </c>
      <c r="F244">
        <v>0</v>
      </c>
      <c r="G244">
        <v>242</v>
      </c>
      <c r="H244">
        <f>IF(Table1[[#This Row],[my_ent_1]]=Table1[[#This Row],[their_ent_1]], 1, 0)</f>
        <v>0</v>
      </c>
      <c r="I244">
        <f>IF(Table1[[#This Row],[my_ent_2]]=Table1[[#This Row],[their_ent_2]], 1, 0)</f>
        <v>0</v>
      </c>
      <c r="J244">
        <f>IF(Table1[[#This Row],[same_1]]=1 &amp; Table1[[#This Row],[same_2]]=1, 1, 0)</f>
        <v>0</v>
      </c>
      <c r="K244">
        <f>IF(ISNUMBER(SEARCH(Table1[[#This Row],[their_ent_1]],Table1[[#This Row],[my_ent_1]])), 1, 0)</f>
        <v>0</v>
      </c>
      <c r="L244">
        <f>IF(ISNUMBER(SEARCH(Table1[[#This Row],[their_ent_2]],Table1[[#This Row],[my_ent_2]])), 1, 0)</f>
        <v>0</v>
      </c>
    </row>
    <row r="245" spans="1:12" x14ac:dyDescent="0.3">
      <c r="A245" t="s">
        <v>881</v>
      </c>
      <c r="B245" t="s">
        <v>167</v>
      </c>
      <c r="C245" t="s">
        <v>882</v>
      </c>
      <c r="D245" t="s">
        <v>883</v>
      </c>
      <c r="E245" t="s">
        <v>883</v>
      </c>
      <c r="F245">
        <v>0</v>
      </c>
      <c r="G245">
        <v>243</v>
      </c>
      <c r="H245">
        <f>IF(Table1[[#This Row],[my_ent_1]]=Table1[[#This Row],[their_ent_1]], 1, 0)</f>
        <v>0</v>
      </c>
      <c r="I245">
        <f>IF(Table1[[#This Row],[my_ent_2]]=Table1[[#This Row],[their_ent_2]], 1, 0)</f>
        <v>1</v>
      </c>
      <c r="J245">
        <f>IF(Table1[[#This Row],[same_1]]=1 &amp; Table1[[#This Row],[same_2]]=1, 1, 0)</f>
        <v>0</v>
      </c>
      <c r="K245">
        <f>IF(ISNUMBER(SEARCH(Table1[[#This Row],[their_ent_1]],Table1[[#This Row],[my_ent_1]])), 1, 0)</f>
        <v>0</v>
      </c>
      <c r="L245">
        <f>IF(ISNUMBER(SEARCH(Table1[[#This Row],[their_ent_2]],Table1[[#This Row],[my_ent_2]])), 1, 0)</f>
        <v>1</v>
      </c>
    </row>
    <row r="246" spans="1:12" x14ac:dyDescent="0.3">
      <c r="A246" t="s">
        <v>884</v>
      </c>
      <c r="B246" t="s">
        <v>838</v>
      </c>
      <c r="C246" t="s">
        <v>885</v>
      </c>
      <c r="D246" t="s">
        <v>348</v>
      </c>
      <c r="E246" t="s">
        <v>886</v>
      </c>
      <c r="F246">
        <v>0</v>
      </c>
      <c r="G246">
        <v>244</v>
      </c>
      <c r="H246">
        <f>IF(Table1[[#This Row],[my_ent_1]]=Table1[[#This Row],[their_ent_1]], 1, 0)</f>
        <v>0</v>
      </c>
      <c r="I246">
        <f>IF(Table1[[#This Row],[my_ent_2]]=Table1[[#This Row],[their_ent_2]], 1, 0)</f>
        <v>0</v>
      </c>
      <c r="J246">
        <f>IF(Table1[[#This Row],[same_1]]=1 &amp; Table1[[#This Row],[same_2]]=1, 1, 0)</f>
        <v>0</v>
      </c>
      <c r="K246">
        <f>IF(ISNUMBER(SEARCH(Table1[[#This Row],[their_ent_1]],Table1[[#This Row],[my_ent_1]])), 1, 0)</f>
        <v>0</v>
      </c>
      <c r="L246">
        <f>IF(ISNUMBER(SEARCH(Table1[[#This Row],[their_ent_2]],Table1[[#This Row],[my_ent_2]])), 1, 0)</f>
        <v>0</v>
      </c>
    </row>
    <row r="247" spans="1:12" x14ac:dyDescent="0.3">
      <c r="A247" t="s">
        <v>887</v>
      </c>
      <c r="B247" t="s">
        <v>381</v>
      </c>
      <c r="C247" t="s">
        <v>176</v>
      </c>
      <c r="D247" t="s">
        <v>175</v>
      </c>
      <c r="E247" t="s">
        <v>353</v>
      </c>
      <c r="F247">
        <v>0</v>
      </c>
      <c r="G247">
        <v>245</v>
      </c>
      <c r="H247">
        <f>IF(Table1[[#This Row],[my_ent_1]]=Table1[[#This Row],[their_ent_1]], 1, 0)</f>
        <v>0</v>
      </c>
      <c r="I247">
        <f>IF(Table1[[#This Row],[my_ent_2]]=Table1[[#This Row],[their_ent_2]], 1, 0)</f>
        <v>0</v>
      </c>
      <c r="J247">
        <f>IF(Table1[[#This Row],[same_1]]=1 &amp; Table1[[#This Row],[same_2]]=1, 1, 0)</f>
        <v>0</v>
      </c>
      <c r="K247">
        <f>IF(ISNUMBER(SEARCH(Table1[[#This Row],[their_ent_1]],Table1[[#This Row],[my_ent_1]])), 1, 0)</f>
        <v>0</v>
      </c>
      <c r="L247">
        <f>IF(ISNUMBER(SEARCH(Table1[[#This Row],[their_ent_2]],Table1[[#This Row],[my_ent_2]])), 1, 0)</f>
        <v>0</v>
      </c>
    </row>
    <row r="248" spans="1:12" x14ac:dyDescent="0.3">
      <c r="A248" t="s">
        <v>888</v>
      </c>
      <c r="B248" t="s">
        <v>889</v>
      </c>
      <c r="C248" t="s">
        <v>890</v>
      </c>
      <c r="D248" t="s">
        <v>891</v>
      </c>
      <c r="E248" t="s">
        <v>892</v>
      </c>
      <c r="F248">
        <v>0</v>
      </c>
      <c r="G248">
        <v>246</v>
      </c>
      <c r="H248">
        <f>IF(Table1[[#This Row],[my_ent_1]]=Table1[[#This Row],[their_ent_1]], 1, 0)</f>
        <v>0</v>
      </c>
      <c r="I248">
        <f>IF(Table1[[#This Row],[my_ent_2]]=Table1[[#This Row],[their_ent_2]], 1, 0)</f>
        <v>0</v>
      </c>
      <c r="J248">
        <f>IF(Table1[[#This Row],[same_1]]=1 &amp; Table1[[#This Row],[same_2]]=1, 1, 0)</f>
        <v>0</v>
      </c>
      <c r="K248">
        <f>IF(ISNUMBER(SEARCH(Table1[[#This Row],[their_ent_1]],Table1[[#This Row],[my_ent_1]])), 1, 0)</f>
        <v>1</v>
      </c>
      <c r="L248">
        <f>IF(ISNUMBER(SEARCH(Table1[[#This Row],[their_ent_2]],Table1[[#This Row],[my_ent_2]])), 1, 0)</f>
        <v>0</v>
      </c>
    </row>
    <row r="249" spans="1:12" x14ac:dyDescent="0.3">
      <c r="A249" t="s">
        <v>893</v>
      </c>
      <c r="B249" t="s">
        <v>194</v>
      </c>
      <c r="C249" t="s">
        <v>894</v>
      </c>
      <c r="D249" t="s">
        <v>895</v>
      </c>
      <c r="E249" t="s">
        <v>103</v>
      </c>
      <c r="F249">
        <v>0</v>
      </c>
      <c r="G249">
        <v>247</v>
      </c>
      <c r="H249">
        <f>IF(Table1[[#This Row],[my_ent_1]]=Table1[[#This Row],[their_ent_1]], 1, 0)</f>
        <v>0</v>
      </c>
      <c r="I249">
        <f>IF(Table1[[#This Row],[my_ent_2]]=Table1[[#This Row],[their_ent_2]], 1, 0)</f>
        <v>0</v>
      </c>
      <c r="J249">
        <f>IF(Table1[[#This Row],[same_1]]=1 &amp; Table1[[#This Row],[same_2]]=1, 1, 0)</f>
        <v>0</v>
      </c>
      <c r="K249">
        <f>IF(ISNUMBER(SEARCH(Table1[[#This Row],[their_ent_1]],Table1[[#This Row],[my_ent_1]])), 1, 0)</f>
        <v>0</v>
      </c>
      <c r="L249">
        <f>IF(ISNUMBER(SEARCH(Table1[[#This Row],[their_ent_2]],Table1[[#This Row],[my_ent_2]])), 1, 0)</f>
        <v>0</v>
      </c>
    </row>
    <row r="250" spans="1:12" x14ac:dyDescent="0.3">
      <c r="A250" t="s">
        <v>896</v>
      </c>
      <c r="B250" t="s">
        <v>897</v>
      </c>
      <c r="C250" t="s">
        <v>897</v>
      </c>
      <c r="D250" t="s">
        <v>323</v>
      </c>
      <c r="E250" t="s">
        <v>354</v>
      </c>
      <c r="F250">
        <v>0</v>
      </c>
      <c r="G250">
        <v>248</v>
      </c>
      <c r="H250">
        <f>IF(Table1[[#This Row],[my_ent_1]]=Table1[[#This Row],[their_ent_1]], 1, 0)</f>
        <v>1</v>
      </c>
      <c r="I250">
        <f>IF(Table1[[#This Row],[my_ent_2]]=Table1[[#This Row],[their_ent_2]], 1, 0)</f>
        <v>0</v>
      </c>
      <c r="J250">
        <f>IF(Table1[[#This Row],[same_1]]=1 &amp; Table1[[#This Row],[same_2]]=1, 1, 0)</f>
        <v>0</v>
      </c>
      <c r="K250">
        <f>IF(ISNUMBER(SEARCH(Table1[[#This Row],[their_ent_1]],Table1[[#This Row],[my_ent_1]])), 1, 0)</f>
        <v>1</v>
      </c>
      <c r="L250">
        <f>IF(ISNUMBER(SEARCH(Table1[[#This Row],[their_ent_2]],Table1[[#This Row],[my_ent_2]])), 1, 0)</f>
        <v>0</v>
      </c>
    </row>
    <row r="251" spans="1:12" x14ac:dyDescent="0.3">
      <c r="A251" t="s">
        <v>898</v>
      </c>
      <c r="B251" t="s">
        <v>899</v>
      </c>
      <c r="C251" t="s">
        <v>900</v>
      </c>
      <c r="D251" t="s">
        <v>901</v>
      </c>
      <c r="E251" t="s">
        <v>901</v>
      </c>
      <c r="F251">
        <v>0</v>
      </c>
      <c r="G251">
        <v>249</v>
      </c>
      <c r="H251">
        <f>IF(Table1[[#This Row],[my_ent_1]]=Table1[[#This Row],[their_ent_1]], 1, 0)</f>
        <v>0</v>
      </c>
      <c r="I251">
        <f>IF(Table1[[#This Row],[my_ent_2]]=Table1[[#This Row],[their_ent_2]], 1, 0)</f>
        <v>1</v>
      </c>
      <c r="J251">
        <f>IF(Table1[[#This Row],[same_1]]=1 &amp; Table1[[#This Row],[same_2]]=1, 1, 0)</f>
        <v>0</v>
      </c>
      <c r="K251">
        <f>IF(ISNUMBER(SEARCH(Table1[[#This Row],[their_ent_1]],Table1[[#This Row],[my_ent_1]])), 1, 0)</f>
        <v>0</v>
      </c>
      <c r="L251">
        <f>IF(ISNUMBER(SEARCH(Table1[[#This Row],[their_ent_2]],Table1[[#This Row],[my_ent_2]])), 1, 0)</f>
        <v>1</v>
      </c>
    </row>
    <row r="252" spans="1:12" x14ac:dyDescent="0.3">
      <c r="A252" t="s">
        <v>902</v>
      </c>
      <c r="B252" t="s">
        <v>903</v>
      </c>
      <c r="C252" t="s">
        <v>904</v>
      </c>
      <c r="D252" t="s">
        <v>905</v>
      </c>
      <c r="E252" t="s">
        <v>905</v>
      </c>
      <c r="F252">
        <v>0</v>
      </c>
      <c r="G252">
        <v>250</v>
      </c>
      <c r="H252">
        <f>IF(Table1[[#This Row],[my_ent_1]]=Table1[[#This Row],[their_ent_1]], 1, 0)</f>
        <v>0</v>
      </c>
      <c r="I252">
        <f>IF(Table1[[#This Row],[my_ent_2]]=Table1[[#This Row],[their_ent_2]], 1, 0)</f>
        <v>1</v>
      </c>
      <c r="J252">
        <f>IF(Table1[[#This Row],[same_1]]=1 &amp; Table1[[#This Row],[same_2]]=1, 1, 0)</f>
        <v>0</v>
      </c>
      <c r="K252">
        <f>IF(ISNUMBER(SEARCH(Table1[[#This Row],[their_ent_1]],Table1[[#This Row],[my_ent_1]])), 1, 0)</f>
        <v>0</v>
      </c>
      <c r="L252">
        <f>IF(ISNUMBER(SEARCH(Table1[[#This Row],[their_ent_2]],Table1[[#This Row],[my_ent_2]])), 1, 0)</f>
        <v>1</v>
      </c>
    </row>
    <row r="253" spans="1:12" x14ac:dyDescent="0.3">
      <c r="A253" t="s">
        <v>906</v>
      </c>
      <c r="B253" t="s">
        <v>113</v>
      </c>
      <c r="C253" t="s">
        <v>907</v>
      </c>
      <c r="D253" t="s">
        <v>391</v>
      </c>
      <c r="E253" t="s">
        <v>138</v>
      </c>
      <c r="F253">
        <v>0</v>
      </c>
      <c r="G253">
        <v>251</v>
      </c>
      <c r="H253">
        <f>IF(Table1[[#This Row],[my_ent_1]]=Table1[[#This Row],[their_ent_1]], 1, 0)</f>
        <v>0</v>
      </c>
      <c r="I253">
        <f>IF(Table1[[#This Row],[my_ent_2]]=Table1[[#This Row],[their_ent_2]], 1, 0)</f>
        <v>0</v>
      </c>
      <c r="J253">
        <f>IF(Table1[[#This Row],[same_1]]=1 &amp; Table1[[#This Row],[same_2]]=1, 1, 0)</f>
        <v>0</v>
      </c>
      <c r="K253">
        <f>IF(ISNUMBER(SEARCH(Table1[[#This Row],[their_ent_1]],Table1[[#This Row],[my_ent_1]])), 1, 0)</f>
        <v>0</v>
      </c>
      <c r="L253">
        <f>IF(ISNUMBER(SEARCH(Table1[[#This Row],[their_ent_2]],Table1[[#This Row],[my_ent_2]])), 1, 0)</f>
        <v>0</v>
      </c>
    </row>
    <row r="254" spans="1:12" x14ac:dyDescent="0.3">
      <c r="A254" t="s">
        <v>908</v>
      </c>
      <c r="B254" t="s">
        <v>909</v>
      </c>
      <c r="C254" t="s">
        <v>910</v>
      </c>
      <c r="D254" t="s">
        <v>20</v>
      </c>
      <c r="E254" t="s">
        <v>289</v>
      </c>
      <c r="F254">
        <v>0</v>
      </c>
      <c r="G254">
        <v>252</v>
      </c>
      <c r="H254">
        <f>IF(Table1[[#This Row],[my_ent_1]]=Table1[[#This Row],[their_ent_1]], 1, 0)</f>
        <v>0</v>
      </c>
      <c r="I254">
        <f>IF(Table1[[#This Row],[my_ent_2]]=Table1[[#This Row],[their_ent_2]], 1, 0)</f>
        <v>0</v>
      </c>
      <c r="J254">
        <f>IF(Table1[[#This Row],[same_1]]=1 &amp; Table1[[#This Row],[same_2]]=1, 1, 0)</f>
        <v>0</v>
      </c>
      <c r="K254">
        <f>IF(ISNUMBER(SEARCH(Table1[[#This Row],[their_ent_1]],Table1[[#This Row],[my_ent_1]])), 1, 0)</f>
        <v>0</v>
      </c>
      <c r="L254">
        <f>IF(ISNUMBER(SEARCH(Table1[[#This Row],[their_ent_2]],Table1[[#This Row],[my_ent_2]])), 1, 0)</f>
        <v>0</v>
      </c>
    </row>
    <row r="255" spans="1:12" x14ac:dyDescent="0.3">
      <c r="A255" t="s">
        <v>911</v>
      </c>
      <c r="B255" t="s">
        <v>535</v>
      </c>
      <c r="C255" t="s">
        <v>796</v>
      </c>
      <c r="D255" t="s">
        <v>20</v>
      </c>
      <c r="E255" t="s">
        <v>20</v>
      </c>
      <c r="F255">
        <v>0</v>
      </c>
      <c r="G255">
        <v>253</v>
      </c>
      <c r="H255">
        <f>IF(Table1[[#This Row],[my_ent_1]]=Table1[[#This Row],[their_ent_1]], 1, 0)</f>
        <v>0</v>
      </c>
      <c r="I255">
        <f>IF(Table1[[#This Row],[my_ent_2]]=Table1[[#This Row],[their_ent_2]], 1, 0)</f>
        <v>1</v>
      </c>
      <c r="J255">
        <f>IF(Table1[[#This Row],[same_1]]=1 &amp; Table1[[#This Row],[same_2]]=1, 1, 0)</f>
        <v>0</v>
      </c>
      <c r="K255">
        <f>IF(ISNUMBER(SEARCH(Table1[[#This Row],[their_ent_1]],Table1[[#This Row],[my_ent_1]])), 1, 0)</f>
        <v>0</v>
      </c>
      <c r="L255">
        <f>IF(ISNUMBER(SEARCH(Table1[[#This Row],[their_ent_2]],Table1[[#This Row],[my_ent_2]])), 1, 0)</f>
        <v>1</v>
      </c>
    </row>
    <row r="256" spans="1:12" x14ac:dyDescent="0.3">
      <c r="A256" t="s">
        <v>912</v>
      </c>
      <c r="B256" t="s">
        <v>845</v>
      </c>
      <c r="C256" t="s">
        <v>845</v>
      </c>
      <c r="D256" t="s">
        <v>913</v>
      </c>
      <c r="E256" t="s">
        <v>914</v>
      </c>
      <c r="F256">
        <v>0</v>
      </c>
      <c r="G256">
        <v>254</v>
      </c>
      <c r="H256">
        <f>IF(Table1[[#This Row],[my_ent_1]]=Table1[[#This Row],[their_ent_1]], 1, 0)</f>
        <v>1</v>
      </c>
      <c r="I256">
        <f>IF(Table1[[#This Row],[my_ent_2]]=Table1[[#This Row],[their_ent_2]], 1, 0)</f>
        <v>0</v>
      </c>
      <c r="J256">
        <f>IF(Table1[[#This Row],[same_1]]=1 &amp; Table1[[#This Row],[same_2]]=1, 1, 0)</f>
        <v>0</v>
      </c>
      <c r="K256">
        <f>IF(ISNUMBER(SEARCH(Table1[[#This Row],[their_ent_1]],Table1[[#This Row],[my_ent_1]])), 1, 0)</f>
        <v>1</v>
      </c>
      <c r="L256">
        <f>IF(ISNUMBER(SEARCH(Table1[[#This Row],[their_ent_2]],Table1[[#This Row],[my_ent_2]])), 1, 0)</f>
        <v>1</v>
      </c>
    </row>
    <row r="257" spans="1:12" x14ac:dyDescent="0.3">
      <c r="A257" t="s">
        <v>915</v>
      </c>
      <c r="B257" t="s">
        <v>916</v>
      </c>
      <c r="C257" t="s">
        <v>917</v>
      </c>
      <c r="D257" t="s">
        <v>918</v>
      </c>
      <c r="E257" t="s">
        <v>918</v>
      </c>
      <c r="F257">
        <v>0</v>
      </c>
      <c r="G257">
        <v>255</v>
      </c>
      <c r="H257">
        <f>IF(Table1[[#This Row],[my_ent_1]]=Table1[[#This Row],[their_ent_1]], 1, 0)</f>
        <v>0</v>
      </c>
      <c r="I257">
        <f>IF(Table1[[#This Row],[my_ent_2]]=Table1[[#This Row],[their_ent_2]], 1, 0)</f>
        <v>1</v>
      </c>
      <c r="J257">
        <f>IF(Table1[[#This Row],[same_1]]=1 &amp; Table1[[#This Row],[same_2]]=1, 1, 0)</f>
        <v>0</v>
      </c>
      <c r="K257">
        <f>IF(ISNUMBER(SEARCH(Table1[[#This Row],[their_ent_1]],Table1[[#This Row],[my_ent_1]])), 1, 0)</f>
        <v>0</v>
      </c>
      <c r="L257">
        <f>IF(ISNUMBER(SEARCH(Table1[[#This Row],[their_ent_2]],Table1[[#This Row],[my_ent_2]])), 1, 0)</f>
        <v>1</v>
      </c>
    </row>
    <row r="258" spans="1:12" x14ac:dyDescent="0.3">
      <c r="A258" t="s">
        <v>919</v>
      </c>
      <c r="B258" t="s">
        <v>920</v>
      </c>
      <c r="C258" t="s">
        <v>921</v>
      </c>
      <c r="D258" t="s">
        <v>922</v>
      </c>
      <c r="E258" t="s">
        <v>923</v>
      </c>
      <c r="F258">
        <v>0</v>
      </c>
      <c r="G258">
        <v>256</v>
      </c>
      <c r="H258">
        <f>IF(Table1[[#This Row],[my_ent_1]]=Table1[[#This Row],[their_ent_1]], 1, 0)</f>
        <v>0</v>
      </c>
      <c r="I258">
        <f>IF(Table1[[#This Row],[my_ent_2]]=Table1[[#This Row],[their_ent_2]], 1, 0)</f>
        <v>0</v>
      </c>
      <c r="J258">
        <f>IF(Table1[[#This Row],[same_1]]=1 &amp; Table1[[#This Row],[same_2]]=1, 1, 0)</f>
        <v>0</v>
      </c>
      <c r="K258">
        <f>IF(ISNUMBER(SEARCH(Table1[[#This Row],[their_ent_1]],Table1[[#This Row],[my_ent_1]])), 1, 0)</f>
        <v>0</v>
      </c>
      <c r="L258">
        <f>IF(ISNUMBER(SEARCH(Table1[[#This Row],[their_ent_2]],Table1[[#This Row],[my_ent_2]])), 1, 0)</f>
        <v>0</v>
      </c>
    </row>
    <row r="259" spans="1:12" x14ac:dyDescent="0.3">
      <c r="A259" t="s">
        <v>924</v>
      </c>
      <c r="B259" t="s">
        <v>704</v>
      </c>
      <c r="C259" t="s">
        <v>704</v>
      </c>
      <c r="D259" t="s">
        <v>643</v>
      </c>
      <c r="E259" t="s">
        <v>925</v>
      </c>
      <c r="F259">
        <v>0</v>
      </c>
      <c r="G259">
        <v>257</v>
      </c>
      <c r="H259">
        <f>IF(Table1[[#This Row],[my_ent_1]]=Table1[[#This Row],[their_ent_1]], 1, 0)</f>
        <v>1</v>
      </c>
      <c r="I259">
        <f>IF(Table1[[#This Row],[my_ent_2]]=Table1[[#This Row],[their_ent_2]], 1, 0)</f>
        <v>0</v>
      </c>
      <c r="J259">
        <f>IF(Table1[[#This Row],[same_1]]=1 &amp; Table1[[#This Row],[same_2]]=1, 1, 0)</f>
        <v>0</v>
      </c>
      <c r="K259">
        <f>IF(ISNUMBER(SEARCH(Table1[[#This Row],[their_ent_1]],Table1[[#This Row],[my_ent_1]])), 1, 0)</f>
        <v>1</v>
      </c>
      <c r="L259">
        <f>IF(ISNUMBER(SEARCH(Table1[[#This Row],[their_ent_2]],Table1[[#This Row],[my_ent_2]])), 1, 0)</f>
        <v>0</v>
      </c>
    </row>
    <row r="260" spans="1:12" x14ac:dyDescent="0.3">
      <c r="A260" t="s">
        <v>926</v>
      </c>
      <c r="B260" t="s">
        <v>927</v>
      </c>
      <c r="C260" t="s">
        <v>928</v>
      </c>
      <c r="D260" t="s">
        <v>929</v>
      </c>
      <c r="E260" t="s">
        <v>929</v>
      </c>
      <c r="F260">
        <v>0</v>
      </c>
      <c r="G260">
        <v>258</v>
      </c>
      <c r="H260">
        <f>IF(Table1[[#This Row],[my_ent_1]]=Table1[[#This Row],[their_ent_1]], 1, 0)</f>
        <v>0</v>
      </c>
      <c r="I260">
        <f>IF(Table1[[#This Row],[my_ent_2]]=Table1[[#This Row],[their_ent_2]], 1, 0)</f>
        <v>1</v>
      </c>
      <c r="J260">
        <f>IF(Table1[[#This Row],[same_1]]=1 &amp; Table1[[#This Row],[same_2]]=1, 1, 0)</f>
        <v>0</v>
      </c>
      <c r="K260">
        <f>IF(ISNUMBER(SEARCH(Table1[[#This Row],[their_ent_1]],Table1[[#This Row],[my_ent_1]])), 1, 0)</f>
        <v>0</v>
      </c>
      <c r="L260">
        <f>IF(ISNUMBER(SEARCH(Table1[[#This Row],[their_ent_2]],Table1[[#This Row],[my_ent_2]])), 1, 0)</f>
        <v>1</v>
      </c>
    </row>
    <row r="261" spans="1:12" x14ac:dyDescent="0.3">
      <c r="A261" t="s">
        <v>930</v>
      </c>
      <c r="B261" t="s">
        <v>160</v>
      </c>
      <c r="C261" t="s">
        <v>160</v>
      </c>
      <c r="D261" t="s">
        <v>153</v>
      </c>
      <c r="E261" t="s">
        <v>141</v>
      </c>
      <c r="F261">
        <v>0</v>
      </c>
      <c r="G261">
        <v>259</v>
      </c>
      <c r="H261">
        <f>IF(Table1[[#This Row],[my_ent_1]]=Table1[[#This Row],[their_ent_1]], 1, 0)</f>
        <v>1</v>
      </c>
      <c r="I261">
        <f>IF(Table1[[#This Row],[my_ent_2]]=Table1[[#This Row],[their_ent_2]], 1, 0)</f>
        <v>0</v>
      </c>
      <c r="J261">
        <f>IF(Table1[[#This Row],[same_1]]=1 &amp; Table1[[#This Row],[same_2]]=1, 1, 0)</f>
        <v>0</v>
      </c>
      <c r="K261">
        <f>IF(ISNUMBER(SEARCH(Table1[[#This Row],[their_ent_1]],Table1[[#This Row],[my_ent_1]])), 1, 0)</f>
        <v>1</v>
      </c>
      <c r="L261">
        <f>IF(ISNUMBER(SEARCH(Table1[[#This Row],[their_ent_2]],Table1[[#This Row],[my_ent_2]])), 1, 0)</f>
        <v>0</v>
      </c>
    </row>
    <row r="262" spans="1:12" x14ac:dyDescent="0.3">
      <c r="A262" t="s">
        <v>931</v>
      </c>
      <c r="B262" t="s">
        <v>932</v>
      </c>
      <c r="C262" t="s">
        <v>933</v>
      </c>
      <c r="D262" t="s">
        <v>59</v>
      </c>
      <c r="E262" t="s">
        <v>934</v>
      </c>
      <c r="F262">
        <v>0</v>
      </c>
      <c r="G262">
        <v>260</v>
      </c>
      <c r="H262">
        <f>IF(Table1[[#This Row],[my_ent_1]]=Table1[[#This Row],[their_ent_1]], 1, 0)</f>
        <v>0</v>
      </c>
      <c r="I262">
        <f>IF(Table1[[#This Row],[my_ent_2]]=Table1[[#This Row],[their_ent_2]], 1, 0)</f>
        <v>0</v>
      </c>
      <c r="J262">
        <f>IF(Table1[[#This Row],[same_1]]=1 &amp; Table1[[#This Row],[same_2]]=1, 1, 0)</f>
        <v>0</v>
      </c>
      <c r="K262">
        <f>IF(ISNUMBER(SEARCH(Table1[[#This Row],[their_ent_1]],Table1[[#This Row],[my_ent_1]])), 1, 0)</f>
        <v>0</v>
      </c>
      <c r="L262">
        <f>IF(ISNUMBER(SEARCH(Table1[[#This Row],[their_ent_2]],Table1[[#This Row],[my_ent_2]])), 1, 0)</f>
        <v>0</v>
      </c>
    </row>
    <row r="263" spans="1:12" x14ac:dyDescent="0.3">
      <c r="A263" t="s">
        <v>935</v>
      </c>
      <c r="B263" t="s">
        <v>936</v>
      </c>
      <c r="C263" t="s">
        <v>937</v>
      </c>
      <c r="D263" t="s">
        <v>78</v>
      </c>
      <c r="E263" t="s">
        <v>936</v>
      </c>
      <c r="F263">
        <v>0</v>
      </c>
      <c r="G263">
        <v>261</v>
      </c>
      <c r="H263">
        <f>IF(Table1[[#This Row],[my_ent_1]]=Table1[[#This Row],[their_ent_1]], 1, 0)</f>
        <v>0</v>
      </c>
      <c r="I263">
        <f>IF(Table1[[#This Row],[my_ent_2]]=Table1[[#This Row],[their_ent_2]], 1, 0)</f>
        <v>0</v>
      </c>
      <c r="J263">
        <f>IF(Table1[[#This Row],[same_1]]=1 &amp; Table1[[#This Row],[same_2]]=1, 1, 0)</f>
        <v>0</v>
      </c>
      <c r="K263">
        <f>IF(ISNUMBER(SEARCH(Table1[[#This Row],[their_ent_1]],Table1[[#This Row],[my_ent_1]])), 1, 0)</f>
        <v>0</v>
      </c>
      <c r="L263">
        <f>IF(ISNUMBER(SEARCH(Table1[[#This Row],[their_ent_2]],Table1[[#This Row],[my_ent_2]])), 1, 0)</f>
        <v>0</v>
      </c>
    </row>
    <row r="264" spans="1:12" x14ac:dyDescent="0.3">
      <c r="A264" t="s">
        <v>938</v>
      </c>
      <c r="B264" t="s">
        <v>939</v>
      </c>
      <c r="C264" t="s">
        <v>940</v>
      </c>
      <c r="D264" t="s">
        <v>940</v>
      </c>
      <c r="E264" t="s">
        <v>941</v>
      </c>
      <c r="F264">
        <v>0</v>
      </c>
      <c r="G264">
        <v>262</v>
      </c>
      <c r="H264">
        <f>IF(Table1[[#This Row],[my_ent_1]]=Table1[[#This Row],[their_ent_1]], 1, 0)</f>
        <v>0</v>
      </c>
      <c r="I264">
        <f>IF(Table1[[#This Row],[my_ent_2]]=Table1[[#This Row],[their_ent_2]], 1, 0)</f>
        <v>0</v>
      </c>
      <c r="J264">
        <f>IF(Table1[[#This Row],[same_1]]=1 &amp; Table1[[#This Row],[same_2]]=1, 1, 0)</f>
        <v>0</v>
      </c>
      <c r="K264">
        <f>IF(ISNUMBER(SEARCH(Table1[[#This Row],[their_ent_1]],Table1[[#This Row],[my_ent_1]])), 1, 0)</f>
        <v>0</v>
      </c>
      <c r="L264">
        <f>IF(ISNUMBER(SEARCH(Table1[[#This Row],[their_ent_2]],Table1[[#This Row],[my_ent_2]])), 1, 0)</f>
        <v>0</v>
      </c>
    </row>
    <row r="265" spans="1:12" x14ac:dyDescent="0.3">
      <c r="A265" t="s">
        <v>942</v>
      </c>
      <c r="B265" t="s">
        <v>943</v>
      </c>
      <c r="C265" t="s">
        <v>943</v>
      </c>
      <c r="D265" t="s">
        <v>175</v>
      </c>
      <c r="E265" t="s">
        <v>176</v>
      </c>
      <c r="F265">
        <v>0</v>
      </c>
      <c r="G265">
        <v>263</v>
      </c>
      <c r="H265">
        <f>IF(Table1[[#This Row],[my_ent_1]]=Table1[[#This Row],[their_ent_1]], 1, 0)</f>
        <v>1</v>
      </c>
      <c r="I265">
        <f>IF(Table1[[#This Row],[my_ent_2]]=Table1[[#This Row],[their_ent_2]], 1, 0)</f>
        <v>0</v>
      </c>
      <c r="J265">
        <f>IF(Table1[[#This Row],[same_1]]=1 &amp; Table1[[#This Row],[same_2]]=1, 1, 0)</f>
        <v>0</v>
      </c>
      <c r="K265">
        <f>IF(ISNUMBER(SEARCH(Table1[[#This Row],[their_ent_1]],Table1[[#This Row],[my_ent_1]])), 1, 0)</f>
        <v>1</v>
      </c>
      <c r="L265">
        <f>IF(ISNUMBER(SEARCH(Table1[[#This Row],[their_ent_2]],Table1[[#This Row],[my_ent_2]])), 1, 0)</f>
        <v>1</v>
      </c>
    </row>
    <row r="266" spans="1:12" x14ac:dyDescent="0.3">
      <c r="A266" t="s">
        <v>944</v>
      </c>
      <c r="B266" t="s">
        <v>945</v>
      </c>
      <c r="C266" t="s">
        <v>945</v>
      </c>
      <c r="D266" t="s">
        <v>946</v>
      </c>
      <c r="E266" t="s">
        <v>947</v>
      </c>
      <c r="F266">
        <v>0</v>
      </c>
      <c r="G266">
        <v>264</v>
      </c>
      <c r="H266">
        <f>IF(Table1[[#This Row],[my_ent_1]]=Table1[[#This Row],[their_ent_1]], 1, 0)</f>
        <v>1</v>
      </c>
      <c r="I266">
        <f>IF(Table1[[#This Row],[my_ent_2]]=Table1[[#This Row],[their_ent_2]], 1, 0)</f>
        <v>0</v>
      </c>
      <c r="J266">
        <f>IF(Table1[[#This Row],[same_1]]=1 &amp; Table1[[#This Row],[same_2]]=1, 1, 0)</f>
        <v>0</v>
      </c>
      <c r="K266">
        <f>IF(ISNUMBER(SEARCH(Table1[[#This Row],[their_ent_1]],Table1[[#This Row],[my_ent_1]])), 1, 0)</f>
        <v>1</v>
      </c>
      <c r="L266">
        <f>IF(ISNUMBER(SEARCH(Table1[[#This Row],[their_ent_2]],Table1[[#This Row],[my_ent_2]])), 1, 0)</f>
        <v>1</v>
      </c>
    </row>
    <row r="267" spans="1:12" x14ac:dyDescent="0.3">
      <c r="A267" t="s">
        <v>948</v>
      </c>
      <c r="B267" t="s">
        <v>949</v>
      </c>
      <c r="C267" t="s">
        <v>950</v>
      </c>
      <c r="D267" t="s">
        <v>951</v>
      </c>
      <c r="E267" t="s">
        <v>952</v>
      </c>
      <c r="F267">
        <v>0</v>
      </c>
      <c r="G267">
        <v>265</v>
      </c>
      <c r="H267">
        <f>IF(Table1[[#This Row],[my_ent_1]]=Table1[[#This Row],[their_ent_1]], 1, 0)</f>
        <v>0</v>
      </c>
      <c r="I267">
        <f>IF(Table1[[#This Row],[my_ent_2]]=Table1[[#This Row],[their_ent_2]], 1, 0)</f>
        <v>0</v>
      </c>
      <c r="J267">
        <f>IF(Table1[[#This Row],[same_1]]=1 &amp; Table1[[#This Row],[same_2]]=1, 1, 0)</f>
        <v>0</v>
      </c>
      <c r="K267">
        <f>IF(ISNUMBER(SEARCH(Table1[[#This Row],[their_ent_1]],Table1[[#This Row],[my_ent_1]])), 1, 0)</f>
        <v>0</v>
      </c>
      <c r="L267">
        <f>IF(ISNUMBER(SEARCH(Table1[[#This Row],[their_ent_2]],Table1[[#This Row],[my_ent_2]])), 1, 0)</f>
        <v>1</v>
      </c>
    </row>
    <row r="268" spans="1:12" x14ac:dyDescent="0.3">
      <c r="A268" t="s">
        <v>953</v>
      </c>
      <c r="B268" t="s">
        <v>954</v>
      </c>
      <c r="C268" t="s">
        <v>954</v>
      </c>
      <c r="D268" t="s">
        <v>955</v>
      </c>
      <c r="E268" t="s">
        <v>956</v>
      </c>
      <c r="F268">
        <v>0</v>
      </c>
      <c r="G268">
        <v>266</v>
      </c>
      <c r="H268">
        <f>IF(Table1[[#This Row],[my_ent_1]]=Table1[[#This Row],[their_ent_1]], 1, 0)</f>
        <v>1</v>
      </c>
      <c r="I268">
        <f>IF(Table1[[#This Row],[my_ent_2]]=Table1[[#This Row],[their_ent_2]], 1, 0)</f>
        <v>0</v>
      </c>
      <c r="J268">
        <f>IF(Table1[[#This Row],[same_1]]=1 &amp; Table1[[#This Row],[same_2]]=1, 1, 0)</f>
        <v>0</v>
      </c>
      <c r="K268">
        <f>IF(ISNUMBER(SEARCH(Table1[[#This Row],[their_ent_1]],Table1[[#This Row],[my_ent_1]])), 1, 0)</f>
        <v>1</v>
      </c>
      <c r="L268">
        <f>IF(ISNUMBER(SEARCH(Table1[[#This Row],[their_ent_2]],Table1[[#This Row],[my_ent_2]])), 1, 0)</f>
        <v>0</v>
      </c>
    </row>
    <row r="269" spans="1:12" x14ac:dyDescent="0.3">
      <c r="A269" t="s">
        <v>957</v>
      </c>
      <c r="B269" t="s">
        <v>958</v>
      </c>
      <c r="C269" t="s">
        <v>958</v>
      </c>
      <c r="D269" t="s">
        <v>959</v>
      </c>
      <c r="E269" t="s">
        <v>576</v>
      </c>
      <c r="F269">
        <v>0</v>
      </c>
      <c r="G269">
        <v>267</v>
      </c>
      <c r="H269">
        <f>IF(Table1[[#This Row],[my_ent_1]]=Table1[[#This Row],[their_ent_1]], 1, 0)</f>
        <v>1</v>
      </c>
      <c r="I269">
        <f>IF(Table1[[#This Row],[my_ent_2]]=Table1[[#This Row],[their_ent_2]], 1, 0)</f>
        <v>0</v>
      </c>
      <c r="J269">
        <f>IF(Table1[[#This Row],[same_1]]=1 &amp; Table1[[#This Row],[same_2]]=1, 1, 0)</f>
        <v>0</v>
      </c>
      <c r="K269">
        <f>IF(ISNUMBER(SEARCH(Table1[[#This Row],[their_ent_1]],Table1[[#This Row],[my_ent_1]])), 1, 0)</f>
        <v>1</v>
      </c>
      <c r="L269">
        <f>IF(ISNUMBER(SEARCH(Table1[[#This Row],[their_ent_2]],Table1[[#This Row],[my_ent_2]])), 1, 0)</f>
        <v>0</v>
      </c>
    </row>
    <row r="270" spans="1:12" x14ac:dyDescent="0.3">
      <c r="A270" t="s">
        <v>960</v>
      </c>
      <c r="B270" t="s">
        <v>961</v>
      </c>
      <c r="C270" t="s">
        <v>763</v>
      </c>
      <c r="D270" t="s">
        <v>962</v>
      </c>
      <c r="E270" t="s">
        <v>963</v>
      </c>
      <c r="F270">
        <v>0</v>
      </c>
      <c r="G270">
        <v>268</v>
      </c>
      <c r="H270">
        <f>IF(Table1[[#This Row],[my_ent_1]]=Table1[[#This Row],[their_ent_1]], 1, 0)</f>
        <v>0</v>
      </c>
      <c r="I270">
        <f>IF(Table1[[#This Row],[my_ent_2]]=Table1[[#This Row],[their_ent_2]], 1, 0)</f>
        <v>0</v>
      </c>
      <c r="J270">
        <f>IF(Table1[[#This Row],[same_1]]=1 &amp; Table1[[#This Row],[same_2]]=1, 1, 0)</f>
        <v>0</v>
      </c>
      <c r="K270">
        <f>IF(ISNUMBER(SEARCH(Table1[[#This Row],[their_ent_1]],Table1[[#This Row],[my_ent_1]])), 1, 0)</f>
        <v>0</v>
      </c>
      <c r="L270">
        <f>IF(ISNUMBER(SEARCH(Table1[[#This Row],[their_ent_2]],Table1[[#This Row],[my_ent_2]])), 1, 0)</f>
        <v>0</v>
      </c>
    </row>
    <row r="271" spans="1:12" x14ac:dyDescent="0.3">
      <c r="A271" t="s">
        <v>964</v>
      </c>
      <c r="B271" t="s">
        <v>965</v>
      </c>
      <c r="C271" t="s">
        <v>965</v>
      </c>
      <c r="D271" t="s">
        <v>966</v>
      </c>
      <c r="E271" t="s">
        <v>967</v>
      </c>
      <c r="F271">
        <v>0</v>
      </c>
      <c r="G271">
        <v>269</v>
      </c>
      <c r="H271">
        <f>IF(Table1[[#This Row],[my_ent_1]]=Table1[[#This Row],[their_ent_1]], 1, 0)</f>
        <v>1</v>
      </c>
      <c r="I271">
        <f>IF(Table1[[#This Row],[my_ent_2]]=Table1[[#This Row],[their_ent_2]], 1, 0)</f>
        <v>0</v>
      </c>
      <c r="J271">
        <f>IF(Table1[[#This Row],[same_1]]=1 &amp; Table1[[#This Row],[same_2]]=1, 1, 0)</f>
        <v>0</v>
      </c>
      <c r="K271">
        <f>IF(ISNUMBER(SEARCH(Table1[[#This Row],[their_ent_1]],Table1[[#This Row],[my_ent_1]])), 1, 0)</f>
        <v>1</v>
      </c>
      <c r="L271">
        <f>IF(ISNUMBER(SEARCH(Table1[[#This Row],[their_ent_2]],Table1[[#This Row],[my_ent_2]])), 1, 0)</f>
        <v>0</v>
      </c>
    </row>
    <row r="272" spans="1:12" x14ac:dyDescent="0.3">
      <c r="A272" t="s">
        <v>968</v>
      </c>
      <c r="B272" t="s">
        <v>392</v>
      </c>
      <c r="C272" t="s">
        <v>392</v>
      </c>
      <c r="D272" t="s">
        <v>969</v>
      </c>
      <c r="E272" t="s">
        <v>970</v>
      </c>
      <c r="F272">
        <v>0</v>
      </c>
      <c r="G272">
        <v>270</v>
      </c>
      <c r="H272">
        <f>IF(Table1[[#This Row],[my_ent_1]]=Table1[[#This Row],[their_ent_1]], 1, 0)</f>
        <v>1</v>
      </c>
      <c r="I272">
        <f>IF(Table1[[#This Row],[my_ent_2]]=Table1[[#This Row],[their_ent_2]], 1, 0)</f>
        <v>0</v>
      </c>
      <c r="J272">
        <f>IF(Table1[[#This Row],[same_1]]=1 &amp; Table1[[#This Row],[same_2]]=1, 1, 0)</f>
        <v>0</v>
      </c>
      <c r="K272">
        <f>IF(ISNUMBER(SEARCH(Table1[[#This Row],[their_ent_1]],Table1[[#This Row],[my_ent_1]])), 1, 0)</f>
        <v>1</v>
      </c>
      <c r="L272">
        <f>IF(ISNUMBER(SEARCH(Table1[[#This Row],[their_ent_2]],Table1[[#This Row],[my_ent_2]])), 1, 0)</f>
        <v>0</v>
      </c>
    </row>
    <row r="273" spans="1:12" x14ac:dyDescent="0.3">
      <c r="A273" t="s">
        <v>971</v>
      </c>
      <c r="B273" t="s">
        <v>972</v>
      </c>
      <c r="C273" t="s">
        <v>973</v>
      </c>
      <c r="D273" t="s">
        <v>127</v>
      </c>
      <c r="E273" t="s">
        <v>78</v>
      </c>
      <c r="F273">
        <v>0</v>
      </c>
      <c r="G273">
        <v>271</v>
      </c>
      <c r="H273">
        <f>IF(Table1[[#This Row],[my_ent_1]]=Table1[[#This Row],[their_ent_1]], 1, 0)</f>
        <v>0</v>
      </c>
      <c r="I273">
        <f>IF(Table1[[#This Row],[my_ent_2]]=Table1[[#This Row],[their_ent_2]], 1, 0)</f>
        <v>0</v>
      </c>
      <c r="J273">
        <f>IF(Table1[[#This Row],[same_1]]=1 &amp; Table1[[#This Row],[same_2]]=1, 1, 0)</f>
        <v>0</v>
      </c>
      <c r="K273">
        <f>IF(ISNUMBER(SEARCH(Table1[[#This Row],[their_ent_1]],Table1[[#This Row],[my_ent_1]])), 1, 0)</f>
        <v>0</v>
      </c>
      <c r="L273">
        <f>IF(ISNUMBER(SEARCH(Table1[[#This Row],[their_ent_2]],Table1[[#This Row],[my_ent_2]])), 1, 0)</f>
        <v>0</v>
      </c>
    </row>
    <row r="274" spans="1:12" x14ac:dyDescent="0.3">
      <c r="A274" t="s">
        <v>974</v>
      </c>
      <c r="B274" t="s">
        <v>194</v>
      </c>
      <c r="C274" t="s">
        <v>128</v>
      </c>
      <c r="D274" t="s">
        <v>485</v>
      </c>
      <c r="E274" t="s">
        <v>894</v>
      </c>
      <c r="F274">
        <v>0</v>
      </c>
      <c r="G274">
        <v>272</v>
      </c>
      <c r="H274">
        <f>IF(Table1[[#This Row],[my_ent_1]]=Table1[[#This Row],[their_ent_1]], 1, 0)</f>
        <v>0</v>
      </c>
      <c r="I274">
        <f>IF(Table1[[#This Row],[my_ent_2]]=Table1[[#This Row],[their_ent_2]], 1, 0)</f>
        <v>0</v>
      </c>
      <c r="J274">
        <f>IF(Table1[[#This Row],[same_1]]=1 &amp; Table1[[#This Row],[same_2]]=1, 1, 0)</f>
        <v>0</v>
      </c>
      <c r="K274">
        <f>IF(ISNUMBER(SEARCH(Table1[[#This Row],[their_ent_1]],Table1[[#This Row],[my_ent_1]])), 1, 0)</f>
        <v>1</v>
      </c>
      <c r="L274">
        <f>IF(ISNUMBER(SEARCH(Table1[[#This Row],[their_ent_2]],Table1[[#This Row],[my_ent_2]])), 1, 0)</f>
        <v>0</v>
      </c>
    </row>
    <row r="275" spans="1:12" x14ac:dyDescent="0.3">
      <c r="A275" t="s">
        <v>975</v>
      </c>
      <c r="B275" t="s">
        <v>976</v>
      </c>
      <c r="C275" t="s">
        <v>977</v>
      </c>
      <c r="D275" t="s">
        <v>977</v>
      </c>
      <c r="E275" t="s">
        <v>978</v>
      </c>
      <c r="F275">
        <v>0</v>
      </c>
      <c r="G275">
        <v>273</v>
      </c>
      <c r="H275">
        <f>IF(Table1[[#This Row],[my_ent_1]]=Table1[[#This Row],[their_ent_1]], 1, 0)</f>
        <v>0</v>
      </c>
      <c r="I275">
        <f>IF(Table1[[#This Row],[my_ent_2]]=Table1[[#This Row],[their_ent_2]], 1, 0)</f>
        <v>0</v>
      </c>
      <c r="J275">
        <f>IF(Table1[[#This Row],[same_1]]=1 &amp; Table1[[#This Row],[same_2]]=1, 1, 0)</f>
        <v>0</v>
      </c>
      <c r="K275">
        <f>IF(ISNUMBER(SEARCH(Table1[[#This Row],[their_ent_1]],Table1[[#This Row],[my_ent_1]])), 1, 0)</f>
        <v>0</v>
      </c>
      <c r="L275">
        <f>IF(ISNUMBER(SEARCH(Table1[[#This Row],[their_ent_2]],Table1[[#This Row],[my_ent_2]])), 1, 0)</f>
        <v>0</v>
      </c>
    </row>
    <row r="276" spans="1:12" x14ac:dyDescent="0.3">
      <c r="A276" t="s">
        <v>979</v>
      </c>
      <c r="B276" t="s">
        <v>980</v>
      </c>
      <c r="C276" t="s">
        <v>980</v>
      </c>
      <c r="D276" t="s">
        <v>202</v>
      </c>
      <c r="E276" t="s">
        <v>353</v>
      </c>
      <c r="F276">
        <v>0</v>
      </c>
      <c r="G276">
        <v>274</v>
      </c>
      <c r="H276">
        <f>IF(Table1[[#This Row],[my_ent_1]]=Table1[[#This Row],[their_ent_1]], 1, 0)</f>
        <v>1</v>
      </c>
      <c r="I276">
        <f>IF(Table1[[#This Row],[my_ent_2]]=Table1[[#This Row],[their_ent_2]], 1, 0)</f>
        <v>0</v>
      </c>
      <c r="J276">
        <f>IF(Table1[[#This Row],[same_1]]=1 &amp; Table1[[#This Row],[same_2]]=1, 1, 0)</f>
        <v>0</v>
      </c>
      <c r="K276">
        <f>IF(ISNUMBER(SEARCH(Table1[[#This Row],[their_ent_1]],Table1[[#This Row],[my_ent_1]])), 1, 0)</f>
        <v>1</v>
      </c>
      <c r="L276">
        <f>IF(ISNUMBER(SEARCH(Table1[[#This Row],[their_ent_2]],Table1[[#This Row],[my_ent_2]])), 1, 0)</f>
        <v>1</v>
      </c>
    </row>
    <row r="277" spans="1:12" x14ac:dyDescent="0.3">
      <c r="A277" t="s">
        <v>981</v>
      </c>
      <c r="B277" t="s">
        <v>982</v>
      </c>
      <c r="C277" t="s">
        <v>44</v>
      </c>
      <c r="D277" t="s">
        <v>983</v>
      </c>
      <c r="E277" t="s">
        <v>984</v>
      </c>
      <c r="F277">
        <v>0</v>
      </c>
      <c r="G277">
        <v>275</v>
      </c>
      <c r="H277">
        <f>IF(Table1[[#This Row],[my_ent_1]]=Table1[[#This Row],[their_ent_1]], 1, 0)</f>
        <v>0</v>
      </c>
      <c r="I277">
        <f>IF(Table1[[#This Row],[my_ent_2]]=Table1[[#This Row],[their_ent_2]], 1, 0)</f>
        <v>0</v>
      </c>
      <c r="J277">
        <f>IF(Table1[[#This Row],[same_1]]=1 &amp; Table1[[#This Row],[same_2]]=1, 1, 0)</f>
        <v>0</v>
      </c>
      <c r="K277">
        <f>IF(ISNUMBER(SEARCH(Table1[[#This Row],[their_ent_1]],Table1[[#This Row],[my_ent_1]])), 1, 0)</f>
        <v>0</v>
      </c>
      <c r="L277">
        <f>IF(ISNUMBER(SEARCH(Table1[[#This Row],[their_ent_2]],Table1[[#This Row],[my_ent_2]])), 1, 0)</f>
        <v>0</v>
      </c>
    </row>
    <row r="278" spans="1:12" x14ac:dyDescent="0.3">
      <c r="A278" t="s">
        <v>985</v>
      </c>
      <c r="B278" t="s">
        <v>20</v>
      </c>
      <c r="C278" t="s">
        <v>20</v>
      </c>
      <c r="D278" t="s">
        <v>986</v>
      </c>
      <c r="E278" t="s">
        <v>987</v>
      </c>
      <c r="F278">
        <v>0</v>
      </c>
      <c r="G278">
        <v>276</v>
      </c>
      <c r="H278">
        <f>IF(Table1[[#This Row],[my_ent_1]]=Table1[[#This Row],[their_ent_1]], 1, 0)</f>
        <v>1</v>
      </c>
      <c r="I278">
        <f>IF(Table1[[#This Row],[my_ent_2]]=Table1[[#This Row],[their_ent_2]], 1, 0)</f>
        <v>0</v>
      </c>
      <c r="J278">
        <f>IF(Table1[[#This Row],[same_1]]=1 &amp; Table1[[#This Row],[same_2]]=1, 1, 0)</f>
        <v>0</v>
      </c>
      <c r="K278">
        <f>IF(ISNUMBER(SEARCH(Table1[[#This Row],[their_ent_1]],Table1[[#This Row],[my_ent_1]])), 1, 0)</f>
        <v>1</v>
      </c>
      <c r="L278">
        <f>IF(ISNUMBER(SEARCH(Table1[[#This Row],[their_ent_2]],Table1[[#This Row],[my_ent_2]])), 1, 0)</f>
        <v>0</v>
      </c>
    </row>
    <row r="279" spans="1:12" x14ac:dyDescent="0.3">
      <c r="A279" t="s">
        <v>988</v>
      </c>
      <c r="B279" t="s">
        <v>78</v>
      </c>
      <c r="C279" t="s">
        <v>78</v>
      </c>
      <c r="D279" t="s">
        <v>989</v>
      </c>
      <c r="E279" t="s">
        <v>990</v>
      </c>
      <c r="F279">
        <v>0</v>
      </c>
      <c r="G279">
        <v>277</v>
      </c>
      <c r="H279">
        <f>IF(Table1[[#This Row],[my_ent_1]]=Table1[[#This Row],[their_ent_1]], 1, 0)</f>
        <v>1</v>
      </c>
      <c r="I279">
        <f>IF(Table1[[#This Row],[my_ent_2]]=Table1[[#This Row],[their_ent_2]], 1, 0)</f>
        <v>0</v>
      </c>
      <c r="J279">
        <f>IF(Table1[[#This Row],[same_1]]=1 &amp; Table1[[#This Row],[same_2]]=1, 1, 0)</f>
        <v>0</v>
      </c>
      <c r="K279">
        <f>IF(ISNUMBER(SEARCH(Table1[[#This Row],[their_ent_1]],Table1[[#This Row],[my_ent_1]])), 1, 0)</f>
        <v>1</v>
      </c>
      <c r="L279">
        <f>IF(ISNUMBER(SEARCH(Table1[[#This Row],[their_ent_2]],Table1[[#This Row],[my_ent_2]])), 1, 0)</f>
        <v>0</v>
      </c>
    </row>
    <row r="280" spans="1:12" x14ac:dyDescent="0.3">
      <c r="A280" t="s">
        <v>991</v>
      </c>
      <c r="B280" t="s">
        <v>992</v>
      </c>
      <c r="C280" t="s">
        <v>707</v>
      </c>
      <c r="D280" t="s">
        <v>993</v>
      </c>
      <c r="E280" t="s">
        <v>993</v>
      </c>
      <c r="F280">
        <v>0</v>
      </c>
      <c r="G280">
        <v>278</v>
      </c>
      <c r="H280">
        <f>IF(Table1[[#This Row],[my_ent_1]]=Table1[[#This Row],[their_ent_1]], 1, 0)</f>
        <v>0</v>
      </c>
      <c r="I280">
        <f>IF(Table1[[#This Row],[my_ent_2]]=Table1[[#This Row],[their_ent_2]], 1, 0)</f>
        <v>1</v>
      </c>
      <c r="J280">
        <f>IF(Table1[[#This Row],[same_1]]=1 &amp; Table1[[#This Row],[same_2]]=1, 1, 0)</f>
        <v>0</v>
      </c>
      <c r="K280">
        <f>IF(ISNUMBER(SEARCH(Table1[[#This Row],[their_ent_1]],Table1[[#This Row],[my_ent_1]])), 1, 0)</f>
        <v>0</v>
      </c>
      <c r="L280">
        <f>IF(ISNUMBER(SEARCH(Table1[[#This Row],[their_ent_2]],Table1[[#This Row],[my_ent_2]])), 1, 0)</f>
        <v>1</v>
      </c>
    </row>
    <row r="281" spans="1:12" x14ac:dyDescent="0.3">
      <c r="A281" t="s">
        <v>994</v>
      </c>
      <c r="B281" t="s">
        <v>995</v>
      </c>
      <c r="C281" t="s">
        <v>996</v>
      </c>
      <c r="D281" t="s">
        <v>996</v>
      </c>
      <c r="E281" t="s">
        <v>997</v>
      </c>
      <c r="F281">
        <v>0</v>
      </c>
      <c r="G281">
        <v>279</v>
      </c>
      <c r="H281">
        <f>IF(Table1[[#This Row],[my_ent_1]]=Table1[[#This Row],[their_ent_1]], 1, 0)</f>
        <v>0</v>
      </c>
      <c r="I281">
        <f>IF(Table1[[#This Row],[my_ent_2]]=Table1[[#This Row],[their_ent_2]], 1, 0)</f>
        <v>0</v>
      </c>
      <c r="J281">
        <f>IF(Table1[[#This Row],[same_1]]=1 &amp; Table1[[#This Row],[same_2]]=1, 1, 0)</f>
        <v>0</v>
      </c>
      <c r="K281">
        <f>IF(ISNUMBER(SEARCH(Table1[[#This Row],[their_ent_1]],Table1[[#This Row],[my_ent_1]])), 1, 0)</f>
        <v>0</v>
      </c>
      <c r="L281">
        <f>IF(ISNUMBER(SEARCH(Table1[[#This Row],[their_ent_2]],Table1[[#This Row],[my_ent_2]])), 1, 0)</f>
        <v>0</v>
      </c>
    </row>
    <row r="282" spans="1:12" x14ac:dyDescent="0.3">
      <c r="A282" t="s">
        <v>998</v>
      </c>
      <c r="B282" t="s">
        <v>999</v>
      </c>
      <c r="C282" t="s">
        <v>831</v>
      </c>
      <c r="D282" t="s">
        <v>1000</v>
      </c>
      <c r="E282" t="s">
        <v>1001</v>
      </c>
      <c r="F282">
        <v>0</v>
      </c>
      <c r="G282">
        <v>280</v>
      </c>
      <c r="H282">
        <f>IF(Table1[[#This Row],[my_ent_1]]=Table1[[#This Row],[their_ent_1]], 1, 0)</f>
        <v>0</v>
      </c>
      <c r="I282">
        <f>IF(Table1[[#This Row],[my_ent_2]]=Table1[[#This Row],[their_ent_2]], 1, 0)</f>
        <v>0</v>
      </c>
      <c r="J282">
        <f>IF(Table1[[#This Row],[same_1]]=1 &amp; Table1[[#This Row],[same_2]]=1, 1, 0)</f>
        <v>0</v>
      </c>
      <c r="K282">
        <f>IF(ISNUMBER(SEARCH(Table1[[#This Row],[their_ent_1]],Table1[[#This Row],[my_ent_1]])), 1, 0)</f>
        <v>0</v>
      </c>
      <c r="L282">
        <f>IF(ISNUMBER(SEARCH(Table1[[#This Row],[their_ent_2]],Table1[[#This Row],[my_ent_2]])), 1, 0)</f>
        <v>0</v>
      </c>
    </row>
    <row r="283" spans="1:12" x14ac:dyDescent="0.3">
      <c r="A283" t="s">
        <v>1002</v>
      </c>
      <c r="B283" t="s">
        <v>1003</v>
      </c>
      <c r="C283" t="s">
        <v>1004</v>
      </c>
      <c r="D283" t="s">
        <v>1004</v>
      </c>
      <c r="E283" t="s">
        <v>1005</v>
      </c>
      <c r="F283">
        <v>0</v>
      </c>
      <c r="G283">
        <v>281</v>
      </c>
      <c r="H283">
        <f>IF(Table1[[#This Row],[my_ent_1]]=Table1[[#This Row],[their_ent_1]], 1, 0)</f>
        <v>0</v>
      </c>
      <c r="I283">
        <f>IF(Table1[[#This Row],[my_ent_2]]=Table1[[#This Row],[their_ent_2]], 1, 0)</f>
        <v>0</v>
      </c>
      <c r="J283">
        <f>IF(Table1[[#This Row],[same_1]]=1 &amp; Table1[[#This Row],[same_2]]=1, 1, 0)</f>
        <v>0</v>
      </c>
      <c r="K283">
        <f>IF(ISNUMBER(SEARCH(Table1[[#This Row],[their_ent_1]],Table1[[#This Row],[my_ent_1]])), 1, 0)</f>
        <v>0</v>
      </c>
      <c r="L283">
        <f>IF(ISNUMBER(SEARCH(Table1[[#This Row],[their_ent_2]],Table1[[#This Row],[my_ent_2]])), 1, 0)</f>
        <v>0</v>
      </c>
    </row>
    <row r="284" spans="1:12" x14ac:dyDescent="0.3">
      <c r="A284" t="s">
        <v>1006</v>
      </c>
      <c r="B284" t="s">
        <v>1007</v>
      </c>
      <c r="C284" t="s">
        <v>1008</v>
      </c>
      <c r="D284" t="s">
        <v>1009</v>
      </c>
      <c r="E284" t="s">
        <v>1009</v>
      </c>
      <c r="F284">
        <v>0</v>
      </c>
      <c r="G284">
        <v>282</v>
      </c>
      <c r="H284">
        <f>IF(Table1[[#This Row],[my_ent_1]]=Table1[[#This Row],[their_ent_1]], 1, 0)</f>
        <v>0</v>
      </c>
      <c r="I284">
        <f>IF(Table1[[#This Row],[my_ent_2]]=Table1[[#This Row],[their_ent_2]], 1, 0)</f>
        <v>1</v>
      </c>
      <c r="J284">
        <f>IF(Table1[[#This Row],[same_1]]=1 &amp; Table1[[#This Row],[same_2]]=1, 1, 0)</f>
        <v>0</v>
      </c>
      <c r="K284">
        <f>IF(ISNUMBER(SEARCH(Table1[[#This Row],[their_ent_1]],Table1[[#This Row],[my_ent_1]])), 1, 0)</f>
        <v>0</v>
      </c>
      <c r="L284">
        <f>IF(ISNUMBER(SEARCH(Table1[[#This Row],[their_ent_2]],Table1[[#This Row],[my_ent_2]])), 1, 0)</f>
        <v>1</v>
      </c>
    </row>
    <row r="285" spans="1:12" x14ac:dyDescent="0.3">
      <c r="A285" t="s">
        <v>1010</v>
      </c>
      <c r="B285" t="s">
        <v>20</v>
      </c>
      <c r="C285" t="s">
        <v>1011</v>
      </c>
      <c r="D285" t="s">
        <v>825</v>
      </c>
      <c r="E285" t="s">
        <v>485</v>
      </c>
      <c r="F285">
        <v>0</v>
      </c>
      <c r="G285">
        <v>283</v>
      </c>
      <c r="H285">
        <f>IF(Table1[[#This Row],[my_ent_1]]=Table1[[#This Row],[their_ent_1]], 1, 0)</f>
        <v>0</v>
      </c>
      <c r="I285">
        <f>IF(Table1[[#This Row],[my_ent_2]]=Table1[[#This Row],[their_ent_2]], 1, 0)</f>
        <v>0</v>
      </c>
      <c r="J285">
        <f>IF(Table1[[#This Row],[same_1]]=1 &amp; Table1[[#This Row],[same_2]]=1, 1, 0)</f>
        <v>0</v>
      </c>
      <c r="K285">
        <f>IF(ISNUMBER(SEARCH(Table1[[#This Row],[their_ent_1]],Table1[[#This Row],[my_ent_1]])), 1, 0)</f>
        <v>0</v>
      </c>
      <c r="L285">
        <f>IF(ISNUMBER(SEARCH(Table1[[#This Row],[their_ent_2]],Table1[[#This Row],[my_ent_2]])), 1, 0)</f>
        <v>0</v>
      </c>
    </row>
    <row r="286" spans="1:12" x14ac:dyDescent="0.3">
      <c r="A286" t="s">
        <v>382</v>
      </c>
      <c r="B286" t="s">
        <v>383</v>
      </c>
      <c r="C286" t="s">
        <v>383</v>
      </c>
      <c r="D286" t="s">
        <v>384</v>
      </c>
      <c r="E286" t="s">
        <v>385</v>
      </c>
      <c r="F286">
        <v>0</v>
      </c>
      <c r="G286">
        <v>284</v>
      </c>
      <c r="H286">
        <f>IF(Table1[[#This Row],[my_ent_1]]=Table1[[#This Row],[their_ent_1]], 1, 0)</f>
        <v>1</v>
      </c>
      <c r="I286">
        <f>IF(Table1[[#This Row],[my_ent_2]]=Table1[[#This Row],[their_ent_2]], 1, 0)</f>
        <v>0</v>
      </c>
      <c r="J286">
        <f>IF(Table1[[#This Row],[same_1]]=1 &amp; Table1[[#This Row],[same_2]]=1, 1, 0)</f>
        <v>0</v>
      </c>
      <c r="K286">
        <f>IF(ISNUMBER(SEARCH(Table1[[#This Row],[their_ent_1]],Table1[[#This Row],[my_ent_1]])), 1, 0)</f>
        <v>1</v>
      </c>
      <c r="L286">
        <f>IF(ISNUMBER(SEARCH(Table1[[#This Row],[their_ent_2]],Table1[[#This Row],[my_ent_2]])), 1, 0)</f>
        <v>0</v>
      </c>
    </row>
    <row r="287" spans="1:12" x14ac:dyDescent="0.3">
      <c r="A287" t="s">
        <v>1012</v>
      </c>
      <c r="B287" t="s">
        <v>1013</v>
      </c>
      <c r="C287" t="s">
        <v>1014</v>
      </c>
      <c r="D287" t="s">
        <v>1015</v>
      </c>
      <c r="E287" t="s">
        <v>1016</v>
      </c>
      <c r="F287">
        <v>0</v>
      </c>
      <c r="G287">
        <v>285</v>
      </c>
      <c r="H287">
        <f>IF(Table1[[#This Row],[my_ent_1]]=Table1[[#This Row],[their_ent_1]], 1, 0)</f>
        <v>0</v>
      </c>
      <c r="I287">
        <f>IF(Table1[[#This Row],[my_ent_2]]=Table1[[#This Row],[their_ent_2]], 1, 0)</f>
        <v>0</v>
      </c>
      <c r="J287">
        <f>IF(Table1[[#This Row],[same_1]]=1 &amp; Table1[[#This Row],[same_2]]=1, 1, 0)</f>
        <v>0</v>
      </c>
      <c r="K287">
        <f>IF(ISNUMBER(SEARCH(Table1[[#This Row],[their_ent_1]],Table1[[#This Row],[my_ent_1]])), 1, 0)</f>
        <v>1</v>
      </c>
      <c r="L287">
        <f>IF(ISNUMBER(SEARCH(Table1[[#This Row],[their_ent_2]],Table1[[#This Row],[my_ent_2]])), 1, 0)</f>
        <v>0</v>
      </c>
    </row>
    <row r="288" spans="1:12" x14ac:dyDescent="0.3">
      <c r="A288" t="s">
        <v>1017</v>
      </c>
      <c r="B288" t="s">
        <v>1018</v>
      </c>
      <c r="C288" t="s">
        <v>1019</v>
      </c>
      <c r="D288" t="s">
        <v>945</v>
      </c>
      <c r="E288" t="s">
        <v>945</v>
      </c>
      <c r="F288">
        <v>0</v>
      </c>
      <c r="G288">
        <v>286</v>
      </c>
      <c r="H288">
        <f>IF(Table1[[#This Row],[my_ent_1]]=Table1[[#This Row],[their_ent_1]], 1, 0)</f>
        <v>0</v>
      </c>
      <c r="I288">
        <f>IF(Table1[[#This Row],[my_ent_2]]=Table1[[#This Row],[their_ent_2]], 1, 0)</f>
        <v>1</v>
      </c>
      <c r="J288">
        <f>IF(Table1[[#This Row],[same_1]]=1 &amp; Table1[[#This Row],[same_2]]=1, 1, 0)</f>
        <v>0</v>
      </c>
      <c r="K288">
        <f>IF(ISNUMBER(SEARCH(Table1[[#This Row],[their_ent_1]],Table1[[#This Row],[my_ent_1]])), 1, 0)</f>
        <v>0</v>
      </c>
      <c r="L288">
        <f>IF(ISNUMBER(SEARCH(Table1[[#This Row],[their_ent_2]],Table1[[#This Row],[my_ent_2]])), 1, 0)</f>
        <v>1</v>
      </c>
    </row>
    <row r="289" spans="1:12" x14ac:dyDescent="0.3">
      <c r="A289" t="s">
        <v>1020</v>
      </c>
      <c r="B289" t="s">
        <v>1021</v>
      </c>
      <c r="C289" t="s">
        <v>1022</v>
      </c>
      <c r="D289" t="s">
        <v>157</v>
      </c>
      <c r="E289" t="s">
        <v>1023</v>
      </c>
      <c r="F289">
        <v>0</v>
      </c>
      <c r="G289">
        <v>287</v>
      </c>
      <c r="H289">
        <f>IF(Table1[[#This Row],[my_ent_1]]=Table1[[#This Row],[their_ent_1]], 1, 0)</f>
        <v>0</v>
      </c>
      <c r="I289">
        <f>IF(Table1[[#This Row],[my_ent_2]]=Table1[[#This Row],[their_ent_2]], 1, 0)</f>
        <v>0</v>
      </c>
      <c r="J289">
        <f>IF(Table1[[#This Row],[same_1]]=1 &amp; Table1[[#This Row],[same_2]]=1, 1, 0)</f>
        <v>0</v>
      </c>
      <c r="K289">
        <f>IF(ISNUMBER(SEARCH(Table1[[#This Row],[their_ent_1]],Table1[[#This Row],[my_ent_1]])), 1, 0)</f>
        <v>0</v>
      </c>
      <c r="L289">
        <f>IF(ISNUMBER(SEARCH(Table1[[#This Row],[their_ent_2]],Table1[[#This Row],[my_ent_2]])), 1, 0)</f>
        <v>0</v>
      </c>
    </row>
    <row r="290" spans="1:12" x14ac:dyDescent="0.3">
      <c r="A290" t="s">
        <v>1024</v>
      </c>
      <c r="B290" t="s">
        <v>20</v>
      </c>
      <c r="C290" t="s">
        <v>1025</v>
      </c>
      <c r="D290" t="s">
        <v>205</v>
      </c>
      <c r="E290" t="s">
        <v>205</v>
      </c>
      <c r="F290">
        <v>0</v>
      </c>
      <c r="G290">
        <v>288</v>
      </c>
      <c r="H290">
        <f>IF(Table1[[#This Row],[my_ent_1]]=Table1[[#This Row],[their_ent_1]], 1, 0)</f>
        <v>0</v>
      </c>
      <c r="I290">
        <f>IF(Table1[[#This Row],[my_ent_2]]=Table1[[#This Row],[their_ent_2]], 1, 0)</f>
        <v>1</v>
      </c>
      <c r="J290">
        <f>IF(Table1[[#This Row],[same_1]]=1 &amp; Table1[[#This Row],[same_2]]=1, 1, 0)</f>
        <v>0</v>
      </c>
      <c r="K290">
        <f>IF(ISNUMBER(SEARCH(Table1[[#This Row],[their_ent_1]],Table1[[#This Row],[my_ent_1]])), 1, 0)</f>
        <v>0</v>
      </c>
      <c r="L290">
        <f>IF(ISNUMBER(SEARCH(Table1[[#This Row],[their_ent_2]],Table1[[#This Row],[my_ent_2]])), 1, 0)</f>
        <v>1</v>
      </c>
    </row>
    <row r="291" spans="1:12" x14ac:dyDescent="0.3">
      <c r="A291" t="s">
        <v>1026</v>
      </c>
      <c r="B291" t="s">
        <v>1027</v>
      </c>
      <c r="C291" t="s">
        <v>1027</v>
      </c>
      <c r="D291" t="s">
        <v>1028</v>
      </c>
      <c r="E291" t="s">
        <v>533</v>
      </c>
      <c r="F291">
        <v>0</v>
      </c>
      <c r="G291">
        <v>289</v>
      </c>
      <c r="H291">
        <f>IF(Table1[[#This Row],[my_ent_1]]=Table1[[#This Row],[their_ent_1]], 1, 0)</f>
        <v>1</v>
      </c>
      <c r="I291">
        <f>IF(Table1[[#This Row],[my_ent_2]]=Table1[[#This Row],[their_ent_2]], 1, 0)</f>
        <v>0</v>
      </c>
      <c r="J291">
        <f>IF(Table1[[#This Row],[same_1]]=1 &amp; Table1[[#This Row],[same_2]]=1, 1, 0)</f>
        <v>0</v>
      </c>
      <c r="K291">
        <f>IF(ISNUMBER(SEARCH(Table1[[#This Row],[their_ent_1]],Table1[[#This Row],[my_ent_1]])), 1, 0)</f>
        <v>1</v>
      </c>
      <c r="L291">
        <f>IF(ISNUMBER(SEARCH(Table1[[#This Row],[their_ent_2]],Table1[[#This Row],[my_ent_2]])), 1, 0)</f>
        <v>0</v>
      </c>
    </row>
    <row r="292" spans="1:12" x14ac:dyDescent="0.3">
      <c r="A292" t="s">
        <v>1029</v>
      </c>
      <c r="B292" t="s">
        <v>1030</v>
      </c>
      <c r="C292" t="s">
        <v>1031</v>
      </c>
      <c r="D292" t="s">
        <v>1031</v>
      </c>
      <c r="E292" t="s">
        <v>1032</v>
      </c>
      <c r="F292">
        <v>0</v>
      </c>
      <c r="G292">
        <v>290</v>
      </c>
      <c r="H292">
        <f>IF(Table1[[#This Row],[my_ent_1]]=Table1[[#This Row],[their_ent_1]], 1, 0)</f>
        <v>0</v>
      </c>
      <c r="I292">
        <f>IF(Table1[[#This Row],[my_ent_2]]=Table1[[#This Row],[their_ent_2]], 1, 0)</f>
        <v>0</v>
      </c>
      <c r="J292">
        <f>IF(Table1[[#This Row],[same_1]]=1 &amp; Table1[[#This Row],[same_2]]=1, 1, 0)</f>
        <v>0</v>
      </c>
      <c r="K292">
        <f>IF(ISNUMBER(SEARCH(Table1[[#This Row],[their_ent_1]],Table1[[#This Row],[my_ent_1]])), 1, 0)</f>
        <v>0</v>
      </c>
      <c r="L292">
        <f>IF(ISNUMBER(SEARCH(Table1[[#This Row],[their_ent_2]],Table1[[#This Row],[my_ent_2]])), 1, 0)</f>
        <v>0</v>
      </c>
    </row>
    <row r="293" spans="1:12" x14ac:dyDescent="0.3">
      <c r="A293" t="s">
        <v>1033</v>
      </c>
      <c r="B293" t="s">
        <v>1034</v>
      </c>
      <c r="C293" t="s">
        <v>1035</v>
      </c>
      <c r="D293" t="s">
        <v>1036</v>
      </c>
      <c r="E293" t="s">
        <v>1037</v>
      </c>
      <c r="F293">
        <v>0</v>
      </c>
      <c r="G293">
        <v>291</v>
      </c>
      <c r="H293">
        <f>IF(Table1[[#This Row],[my_ent_1]]=Table1[[#This Row],[their_ent_1]], 1, 0)</f>
        <v>0</v>
      </c>
      <c r="I293">
        <f>IF(Table1[[#This Row],[my_ent_2]]=Table1[[#This Row],[their_ent_2]], 1, 0)</f>
        <v>0</v>
      </c>
      <c r="J293">
        <f>IF(Table1[[#This Row],[same_1]]=1 &amp; Table1[[#This Row],[same_2]]=1, 1, 0)</f>
        <v>0</v>
      </c>
      <c r="K293">
        <f>IF(ISNUMBER(SEARCH(Table1[[#This Row],[their_ent_1]],Table1[[#This Row],[my_ent_1]])), 1, 0)</f>
        <v>0</v>
      </c>
      <c r="L293">
        <f>IF(ISNUMBER(SEARCH(Table1[[#This Row],[their_ent_2]],Table1[[#This Row],[my_ent_2]])), 1, 0)</f>
        <v>0</v>
      </c>
    </row>
    <row r="294" spans="1:12" x14ac:dyDescent="0.3">
      <c r="A294" t="s">
        <v>1038</v>
      </c>
      <c r="B294" t="s">
        <v>228</v>
      </c>
      <c r="C294" t="s">
        <v>229</v>
      </c>
      <c r="D294" t="s">
        <v>20</v>
      </c>
      <c r="E294" t="s">
        <v>1039</v>
      </c>
      <c r="F294">
        <v>0</v>
      </c>
      <c r="G294">
        <v>292</v>
      </c>
      <c r="H294">
        <f>IF(Table1[[#This Row],[my_ent_1]]=Table1[[#This Row],[their_ent_1]], 1, 0)</f>
        <v>0</v>
      </c>
      <c r="I294">
        <f>IF(Table1[[#This Row],[my_ent_2]]=Table1[[#This Row],[their_ent_2]], 1, 0)</f>
        <v>0</v>
      </c>
      <c r="J294">
        <f>IF(Table1[[#This Row],[same_1]]=1 &amp; Table1[[#This Row],[same_2]]=1, 1, 0)</f>
        <v>0</v>
      </c>
      <c r="K294">
        <f>IF(ISNUMBER(SEARCH(Table1[[#This Row],[their_ent_1]],Table1[[#This Row],[my_ent_1]])), 1, 0)</f>
        <v>1</v>
      </c>
      <c r="L294">
        <f>IF(ISNUMBER(SEARCH(Table1[[#This Row],[their_ent_2]],Table1[[#This Row],[my_ent_2]])), 1, 0)</f>
        <v>0</v>
      </c>
    </row>
    <row r="295" spans="1:12" x14ac:dyDescent="0.3">
      <c r="A295" t="s">
        <v>1040</v>
      </c>
      <c r="B295" t="s">
        <v>238</v>
      </c>
      <c r="C295" t="s">
        <v>238</v>
      </c>
      <c r="D295" t="s">
        <v>1041</v>
      </c>
      <c r="E295" t="s">
        <v>1042</v>
      </c>
      <c r="F295">
        <v>0</v>
      </c>
      <c r="G295">
        <v>293</v>
      </c>
      <c r="H295">
        <f>IF(Table1[[#This Row],[my_ent_1]]=Table1[[#This Row],[their_ent_1]], 1, 0)</f>
        <v>1</v>
      </c>
      <c r="I295">
        <f>IF(Table1[[#This Row],[my_ent_2]]=Table1[[#This Row],[their_ent_2]], 1, 0)</f>
        <v>0</v>
      </c>
      <c r="J295">
        <f>IF(Table1[[#This Row],[same_1]]=1 &amp; Table1[[#This Row],[same_2]]=1, 1, 0)</f>
        <v>0</v>
      </c>
      <c r="K295">
        <f>IF(ISNUMBER(SEARCH(Table1[[#This Row],[their_ent_1]],Table1[[#This Row],[my_ent_1]])), 1, 0)</f>
        <v>1</v>
      </c>
      <c r="L295">
        <f>IF(ISNUMBER(SEARCH(Table1[[#This Row],[their_ent_2]],Table1[[#This Row],[my_ent_2]])), 1, 0)</f>
        <v>1</v>
      </c>
    </row>
    <row r="296" spans="1:12" x14ac:dyDescent="0.3">
      <c r="A296" t="s">
        <v>1043</v>
      </c>
      <c r="B296" t="s">
        <v>1044</v>
      </c>
      <c r="C296" t="s">
        <v>1045</v>
      </c>
      <c r="D296" t="s">
        <v>78</v>
      </c>
      <c r="E296" t="s">
        <v>1044</v>
      </c>
      <c r="F296">
        <v>0</v>
      </c>
      <c r="G296">
        <v>294</v>
      </c>
      <c r="H296">
        <f>IF(Table1[[#This Row],[my_ent_1]]=Table1[[#This Row],[their_ent_1]], 1, 0)</f>
        <v>0</v>
      </c>
      <c r="I296">
        <f>IF(Table1[[#This Row],[my_ent_2]]=Table1[[#This Row],[their_ent_2]], 1, 0)</f>
        <v>0</v>
      </c>
      <c r="J296">
        <f>IF(Table1[[#This Row],[same_1]]=1 &amp; Table1[[#This Row],[same_2]]=1, 1, 0)</f>
        <v>0</v>
      </c>
      <c r="K296">
        <f>IF(ISNUMBER(SEARCH(Table1[[#This Row],[their_ent_1]],Table1[[#This Row],[my_ent_1]])), 1, 0)</f>
        <v>0</v>
      </c>
      <c r="L296">
        <f>IF(ISNUMBER(SEARCH(Table1[[#This Row],[their_ent_2]],Table1[[#This Row],[my_ent_2]])), 1, 0)</f>
        <v>0</v>
      </c>
    </row>
    <row r="297" spans="1:12" x14ac:dyDescent="0.3">
      <c r="A297" t="s">
        <v>1046</v>
      </c>
      <c r="B297" t="s">
        <v>1047</v>
      </c>
      <c r="C297" t="s">
        <v>1048</v>
      </c>
      <c r="D297" t="s">
        <v>59</v>
      </c>
      <c r="E297" t="s">
        <v>1049</v>
      </c>
      <c r="F297">
        <v>0</v>
      </c>
      <c r="G297">
        <v>295</v>
      </c>
      <c r="H297">
        <f>IF(Table1[[#This Row],[my_ent_1]]=Table1[[#This Row],[their_ent_1]], 1, 0)</f>
        <v>0</v>
      </c>
      <c r="I297">
        <f>IF(Table1[[#This Row],[my_ent_2]]=Table1[[#This Row],[their_ent_2]], 1, 0)</f>
        <v>0</v>
      </c>
      <c r="J297">
        <f>IF(Table1[[#This Row],[same_1]]=1 &amp; Table1[[#This Row],[same_2]]=1, 1, 0)</f>
        <v>0</v>
      </c>
      <c r="K297">
        <f>IF(ISNUMBER(SEARCH(Table1[[#This Row],[their_ent_1]],Table1[[#This Row],[my_ent_1]])), 1, 0)</f>
        <v>0</v>
      </c>
      <c r="L297">
        <f>IF(ISNUMBER(SEARCH(Table1[[#This Row],[their_ent_2]],Table1[[#This Row],[my_ent_2]])), 1, 0)</f>
        <v>0</v>
      </c>
    </row>
    <row r="298" spans="1:12" x14ac:dyDescent="0.3">
      <c r="A298" t="s">
        <v>1050</v>
      </c>
      <c r="B298" t="s">
        <v>1051</v>
      </c>
      <c r="C298" t="s">
        <v>168</v>
      </c>
      <c r="D298" t="s">
        <v>1052</v>
      </c>
      <c r="E298" t="s">
        <v>710</v>
      </c>
      <c r="F298">
        <v>0</v>
      </c>
      <c r="G298">
        <v>296</v>
      </c>
      <c r="H298">
        <f>IF(Table1[[#This Row],[my_ent_1]]=Table1[[#This Row],[their_ent_1]], 1, 0)</f>
        <v>0</v>
      </c>
      <c r="I298">
        <f>IF(Table1[[#This Row],[my_ent_2]]=Table1[[#This Row],[their_ent_2]], 1, 0)</f>
        <v>0</v>
      </c>
      <c r="J298">
        <f>IF(Table1[[#This Row],[same_1]]=1 &amp; Table1[[#This Row],[same_2]]=1, 1, 0)</f>
        <v>0</v>
      </c>
      <c r="K298">
        <f>IF(ISNUMBER(SEARCH(Table1[[#This Row],[their_ent_1]],Table1[[#This Row],[my_ent_1]])), 1, 0)</f>
        <v>0</v>
      </c>
      <c r="L298">
        <f>IF(ISNUMBER(SEARCH(Table1[[#This Row],[their_ent_2]],Table1[[#This Row],[my_ent_2]])), 1, 0)</f>
        <v>0</v>
      </c>
    </row>
    <row r="299" spans="1:12" x14ac:dyDescent="0.3">
      <c r="A299" t="s">
        <v>1053</v>
      </c>
      <c r="B299" t="s">
        <v>353</v>
      </c>
      <c r="C299" t="s">
        <v>353</v>
      </c>
      <c r="D299" t="s">
        <v>78</v>
      </c>
      <c r="E299" t="s">
        <v>176</v>
      </c>
      <c r="F299">
        <v>0</v>
      </c>
      <c r="G299">
        <v>297</v>
      </c>
      <c r="H299">
        <f>IF(Table1[[#This Row],[my_ent_1]]=Table1[[#This Row],[their_ent_1]], 1, 0)</f>
        <v>1</v>
      </c>
      <c r="I299">
        <f>IF(Table1[[#This Row],[my_ent_2]]=Table1[[#This Row],[their_ent_2]], 1, 0)</f>
        <v>0</v>
      </c>
      <c r="J299">
        <f>IF(Table1[[#This Row],[same_1]]=1 &amp; Table1[[#This Row],[same_2]]=1, 1, 0)</f>
        <v>0</v>
      </c>
      <c r="K299">
        <f>IF(ISNUMBER(SEARCH(Table1[[#This Row],[their_ent_1]],Table1[[#This Row],[my_ent_1]])), 1, 0)</f>
        <v>1</v>
      </c>
      <c r="L299">
        <f>IF(ISNUMBER(SEARCH(Table1[[#This Row],[their_ent_2]],Table1[[#This Row],[my_ent_2]])), 1, 0)</f>
        <v>0</v>
      </c>
    </row>
    <row r="300" spans="1:12" x14ac:dyDescent="0.3">
      <c r="A300" t="s">
        <v>1054</v>
      </c>
      <c r="B300" t="s">
        <v>1055</v>
      </c>
      <c r="C300" t="s">
        <v>740</v>
      </c>
      <c r="D300" t="s">
        <v>1056</v>
      </c>
      <c r="E300" t="s">
        <v>1056</v>
      </c>
      <c r="F300">
        <v>0</v>
      </c>
      <c r="G300">
        <v>298</v>
      </c>
      <c r="H300">
        <f>IF(Table1[[#This Row],[my_ent_1]]=Table1[[#This Row],[their_ent_1]], 1, 0)</f>
        <v>0</v>
      </c>
      <c r="I300">
        <f>IF(Table1[[#This Row],[my_ent_2]]=Table1[[#This Row],[their_ent_2]], 1, 0)</f>
        <v>1</v>
      </c>
      <c r="J300">
        <f>IF(Table1[[#This Row],[same_1]]=1 &amp; Table1[[#This Row],[same_2]]=1, 1, 0)</f>
        <v>0</v>
      </c>
      <c r="K300">
        <f>IF(ISNUMBER(SEARCH(Table1[[#This Row],[their_ent_1]],Table1[[#This Row],[my_ent_1]])), 1, 0)</f>
        <v>0</v>
      </c>
      <c r="L300">
        <f>IF(ISNUMBER(SEARCH(Table1[[#This Row],[their_ent_2]],Table1[[#This Row],[my_ent_2]])), 1, 0)</f>
        <v>1</v>
      </c>
    </row>
    <row r="301" spans="1:12" x14ac:dyDescent="0.3">
      <c r="A301" t="s">
        <v>1057</v>
      </c>
      <c r="B301" t="s">
        <v>1058</v>
      </c>
      <c r="C301" t="s">
        <v>1059</v>
      </c>
      <c r="D301" t="s">
        <v>1060</v>
      </c>
      <c r="E301" t="s">
        <v>1061</v>
      </c>
      <c r="F301">
        <v>0</v>
      </c>
      <c r="G301">
        <v>299</v>
      </c>
      <c r="H301">
        <f>IF(Table1[[#This Row],[my_ent_1]]=Table1[[#This Row],[their_ent_1]], 1, 0)</f>
        <v>0</v>
      </c>
      <c r="I301">
        <f>IF(Table1[[#This Row],[my_ent_2]]=Table1[[#This Row],[their_ent_2]], 1, 0)</f>
        <v>0</v>
      </c>
      <c r="J301">
        <f>IF(Table1[[#This Row],[same_1]]=1 &amp; Table1[[#This Row],[same_2]]=1, 1, 0)</f>
        <v>0</v>
      </c>
      <c r="K301">
        <f>IF(ISNUMBER(SEARCH(Table1[[#This Row],[their_ent_1]],Table1[[#This Row],[my_ent_1]])), 1, 0)</f>
        <v>0</v>
      </c>
      <c r="L301">
        <f>IF(ISNUMBER(SEARCH(Table1[[#This Row],[their_ent_2]],Table1[[#This Row],[my_ent_2]])), 1, 0)</f>
        <v>0</v>
      </c>
    </row>
    <row r="302" spans="1:12" x14ac:dyDescent="0.3">
      <c r="A302" t="s">
        <v>1062</v>
      </c>
      <c r="B302" t="s">
        <v>1063</v>
      </c>
      <c r="C302" t="s">
        <v>1063</v>
      </c>
      <c r="D302" t="s">
        <v>1064</v>
      </c>
      <c r="E302" t="s">
        <v>1065</v>
      </c>
      <c r="F302">
        <v>0</v>
      </c>
      <c r="G302">
        <v>300</v>
      </c>
      <c r="H302">
        <f>IF(Table1[[#This Row],[my_ent_1]]=Table1[[#This Row],[their_ent_1]], 1, 0)</f>
        <v>1</v>
      </c>
      <c r="I302">
        <f>IF(Table1[[#This Row],[my_ent_2]]=Table1[[#This Row],[their_ent_2]], 1, 0)</f>
        <v>0</v>
      </c>
      <c r="J302">
        <f>IF(Table1[[#This Row],[same_1]]=1 &amp; Table1[[#This Row],[same_2]]=1, 1, 0)</f>
        <v>0</v>
      </c>
      <c r="K302">
        <f>IF(ISNUMBER(SEARCH(Table1[[#This Row],[their_ent_1]],Table1[[#This Row],[my_ent_1]])), 1, 0)</f>
        <v>1</v>
      </c>
      <c r="L302">
        <f>IF(ISNUMBER(SEARCH(Table1[[#This Row],[their_ent_2]],Table1[[#This Row],[my_ent_2]])), 1, 0)</f>
        <v>0</v>
      </c>
    </row>
    <row r="303" spans="1:12" x14ac:dyDescent="0.3">
      <c r="A303" t="s">
        <v>1066</v>
      </c>
      <c r="B303" t="s">
        <v>1067</v>
      </c>
      <c r="C303" t="s">
        <v>140</v>
      </c>
      <c r="D303" t="s">
        <v>175</v>
      </c>
      <c r="E303" t="s">
        <v>1068</v>
      </c>
      <c r="F303">
        <v>0</v>
      </c>
      <c r="G303">
        <v>301</v>
      </c>
      <c r="H303">
        <f>IF(Table1[[#This Row],[my_ent_1]]=Table1[[#This Row],[their_ent_1]], 1, 0)</f>
        <v>0</v>
      </c>
      <c r="I303">
        <f>IF(Table1[[#This Row],[my_ent_2]]=Table1[[#This Row],[their_ent_2]], 1, 0)</f>
        <v>0</v>
      </c>
      <c r="J303">
        <f>IF(Table1[[#This Row],[same_1]]=1 &amp; Table1[[#This Row],[same_2]]=1, 1, 0)</f>
        <v>0</v>
      </c>
      <c r="K303">
        <f>IF(ISNUMBER(SEARCH(Table1[[#This Row],[their_ent_1]],Table1[[#This Row],[my_ent_1]])), 1, 0)</f>
        <v>1</v>
      </c>
      <c r="L303">
        <f>IF(ISNUMBER(SEARCH(Table1[[#This Row],[their_ent_2]],Table1[[#This Row],[my_ent_2]])), 1, 0)</f>
        <v>0</v>
      </c>
    </row>
    <row r="304" spans="1:12" x14ac:dyDescent="0.3">
      <c r="A304" t="s">
        <v>1069</v>
      </c>
      <c r="B304" t="s">
        <v>1070</v>
      </c>
      <c r="C304" t="s">
        <v>1071</v>
      </c>
      <c r="D304" t="s">
        <v>51</v>
      </c>
      <c r="E304" t="s">
        <v>831</v>
      </c>
      <c r="F304">
        <v>0</v>
      </c>
      <c r="G304">
        <v>302</v>
      </c>
      <c r="H304">
        <f>IF(Table1[[#This Row],[my_ent_1]]=Table1[[#This Row],[their_ent_1]], 1, 0)</f>
        <v>0</v>
      </c>
      <c r="I304">
        <f>IF(Table1[[#This Row],[my_ent_2]]=Table1[[#This Row],[their_ent_2]], 1, 0)</f>
        <v>0</v>
      </c>
      <c r="J304">
        <f>IF(Table1[[#This Row],[same_1]]=1 &amp; Table1[[#This Row],[same_2]]=1, 1, 0)</f>
        <v>0</v>
      </c>
      <c r="K304">
        <f>IF(ISNUMBER(SEARCH(Table1[[#This Row],[their_ent_1]],Table1[[#This Row],[my_ent_1]])), 1, 0)</f>
        <v>0</v>
      </c>
      <c r="L304">
        <f>IF(ISNUMBER(SEARCH(Table1[[#This Row],[their_ent_2]],Table1[[#This Row],[my_ent_2]])), 1, 0)</f>
        <v>0</v>
      </c>
    </row>
    <row r="305" spans="1:12" x14ac:dyDescent="0.3">
      <c r="A305" t="s">
        <v>1072</v>
      </c>
      <c r="B305" t="s">
        <v>1073</v>
      </c>
      <c r="C305" t="s">
        <v>1074</v>
      </c>
      <c r="D305" t="s">
        <v>1075</v>
      </c>
      <c r="E305" t="s">
        <v>1076</v>
      </c>
      <c r="F305">
        <v>0</v>
      </c>
      <c r="G305">
        <v>303</v>
      </c>
      <c r="H305">
        <f>IF(Table1[[#This Row],[my_ent_1]]=Table1[[#This Row],[their_ent_1]], 1, 0)</f>
        <v>0</v>
      </c>
      <c r="I305">
        <f>IF(Table1[[#This Row],[my_ent_2]]=Table1[[#This Row],[their_ent_2]], 1, 0)</f>
        <v>0</v>
      </c>
      <c r="J305">
        <f>IF(Table1[[#This Row],[same_1]]=1 &amp; Table1[[#This Row],[same_2]]=1, 1, 0)</f>
        <v>0</v>
      </c>
      <c r="K305">
        <f>IF(ISNUMBER(SEARCH(Table1[[#This Row],[their_ent_1]],Table1[[#This Row],[my_ent_1]])), 1, 0)</f>
        <v>0</v>
      </c>
      <c r="L305">
        <f>IF(ISNUMBER(SEARCH(Table1[[#This Row],[their_ent_2]],Table1[[#This Row],[my_ent_2]])), 1, 0)</f>
        <v>0</v>
      </c>
    </row>
    <row r="306" spans="1:12" x14ac:dyDescent="0.3">
      <c r="A306" t="s">
        <v>1077</v>
      </c>
      <c r="B306" t="s">
        <v>1078</v>
      </c>
      <c r="C306" t="s">
        <v>94</v>
      </c>
      <c r="D306" t="s">
        <v>20</v>
      </c>
      <c r="E306" t="s">
        <v>20</v>
      </c>
      <c r="F306">
        <v>0</v>
      </c>
      <c r="G306">
        <v>304</v>
      </c>
      <c r="H306">
        <f>IF(Table1[[#This Row],[my_ent_1]]=Table1[[#This Row],[their_ent_1]], 1, 0)</f>
        <v>0</v>
      </c>
      <c r="I306">
        <f>IF(Table1[[#This Row],[my_ent_2]]=Table1[[#This Row],[their_ent_2]], 1, 0)</f>
        <v>1</v>
      </c>
      <c r="J306">
        <f>IF(Table1[[#This Row],[same_1]]=1 &amp; Table1[[#This Row],[same_2]]=1, 1, 0)</f>
        <v>0</v>
      </c>
      <c r="K306">
        <f>IF(ISNUMBER(SEARCH(Table1[[#This Row],[their_ent_1]],Table1[[#This Row],[my_ent_1]])), 1, 0)</f>
        <v>0</v>
      </c>
      <c r="L306">
        <f>IF(ISNUMBER(SEARCH(Table1[[#This Row],[their_ent_2]],Table1[[#This Row],[my_ent_2]])), 1, 0)</f>
        <v>1</v>
      </c>
    </row>
    <row r="307" spans="1:12" x14ac:dyDescent="0.3">
      <c r="A307" t="s">
        <v>1079</v>
      </c>
      <c r="B307" t="s">
        <v>1080</v>
      </c>
      <c r="C307" t="s">
        <v>1080</v>
      </c>
      <c r="D307" t="s">
        <v>1081</v>
      </c>
      <c r="E307" t="s">
        <v>1082</v>
      </c>
      <c r="F307">
        <v>0</v>
      </c>
      <c r="G307">
        <v>305</v>
      </c>
      <c r="H307">
        <f>IF(Table1[[#This Row],[my_ent_1]]=Table1[[#This Row],[their_ent_1]], 1, 0)</f>
        <v>1</v>
      </c>
      <c r="I307">
        <f>IF(Table1[[#This Row],[my_ent_2]]=Table1[[#This Row],[their_ent_2]], 1, 0)</f>
        <v>0</v>
      </c>
      <c r="J307">
        <f>IF(Table1[[#This Row],[same_1]]=1 &amp; Table1[[#This Row],[same_2]]=1, 1, 0)</f>
        <v>0</v>
      </c>
      <c r="K307">
        <f>IF(ISNUMBER(SEARCH(Table1[[#This Row],[their_ent_1]],Table1[[#This Row],[my_ent_1]])), 1, 0)</f>
        <v>1</v>
      </c>
      <c r="L307">
        <f>IF(ISNUMBER(SEARCH(Table1[[#This Row],[their_ent_2]],Table1[[#This Row],[my_ent_2]])), 1, 0)</f>
        <v>1</v>
      </c>
    </row>
    <row r="308" spans="1:12" x14ac:dyDescent="0.3">
      <c r="A308" t="s">
        <v>1083</v>
      </c>
      <c r="B308" t="s">
        <v>376</v>
      </c>
      <c r="C308" t="s">
        <v>1084</v>
      </c>
      <c r="D308" t="s">
        <v>1085</v>
      </c>
      <c r="E308" t="s">
        <v>1085</v>
      </c>
      <c r="F308">
        <v>0</v>
      </c>
      <c r="G308">
        <v>306</v>
      </c>
      <c r="H308">
        <f>IF(Table1[[#This Row],[my_ent_1]]=Table1[[#This Row],[their_ent_1]], 1, 0)</f>
        <v>0</v>
      </c>
      <c r="I308">
        <f>IF(Table1[[#This Row],[my_ent_2]]=Table1[[#This Row],[their_ent_2]], 1, 0)</f>
        <v>1</v>
      </c>
      <c r="J308">
        <f>IF(Table1[[#This Row],[same_1]]=1 &amp; Table1[[#This Row],[same_2]]=1, 1, 0)</f>
        <v>0</v>
      </c>
      <c r="K308">
        <f>IF(ISNUMBER(SEARCH(Table1[[#This Row],[their_ent_1]],Table1[[#This Row],[my_ent_1]])), 1, 0)</f>
        <v>0</v>
      </c>
      <c r="L308">
        <f>IF(ISNUMBER(SEARCH(Table1[[#This Row],[their_ent_2]],Table1[[#This Row],[my_ent_2]])), 1, 0)</f>
        <v>1</v>
      </c>
    </row>
    <row r="309" spans="1:12" x14ac:dyDescent="0.3">
      <c r="A309" t="s">
        <v>1086</v>
      </c>
      <c r="B309" t="s">
        <v>1087</v>
      </c>
      <c r="C309" t="s">
        <v>1088</v>
      </c>
      <c r="D309" t="s">
        <v>1088</v>
      </c>
      <c r="E309" t="s">
        <v>1089</v>
      </c>
      <c r="F309">
        <v>0</v>
      </c>
      <c r="G309">
        <v>307</v>
      </c>
      <c r="H309">
        <f>IF(Table1[[#This Row],[my_ent_1]]=Table1[[#This Row],[their_ent_1]], 1, 0)</f>
        <v>0</v>
      </c>
      <c r="I309">
        <f>IF(Table1[[#This Row],[my_ent_2]]=Table1[[#This Row],[their_ent_2]], 1, 0)</f>
        <v>0</v>
      </c>
      <c r="J309">
        <f>IF(Table1[[#This Row],[same_1]]=1 &amp; Table1[[#This Row],[same_2]]=1, 1, 0)</f>
        <v>0</v>
      </c>
      <c r="K309">
        <f>IF(ISNUMBER(SEARCH(Table1[[#This Row],[their_ent_1]],Table1[[#This Row],[my_ent_1]])), 1, 0)</f>
        <v>0</v>
      </c>
      <c r="L309">
        <f>IF(ISNUMBER(SEARCH(Table1[[#This Row],[their_ent_2]],Table1[[#This Row],[my_ent_2]])), 1, 0)</f>
        <v>0</v>
      </c>
    </row>
    <row r="310" spans="1:12" x14ac:dyDescent="0.3">
      <c r="A310" t="s">
        <v>1090</v>
      </c>
      <c r="B310" t="s">
        <v>1091</v>
      </c>
      <c r="C310" t="s">
        <v>1092</v>
      </c>
      <c r="D310" t="s">
        <v>1092</v>
      </c>
      <c r="E310" t="s">
        <v>1093</v>
      </c>
      <c r="F310">
        <v>0</v>
      </c>
      <c r="G310">
        <v>308</v>
      </c>
      <c r="H310">
        <f>IF(Table1[[#This Row],[my_ent_1]]=Table1[[#This Row],[their_ent_1]], 1, 0)</f>
        <v>0</v>
      </c>
      <c r="I310">
        <f>IF(Table1[[#This Row],[my_ent_2]]=Table1[[#This Row],[their_ent_2]], 1, 0)</f>
        <v>0</v>
      </c>
      <c r="J310">
        <f>IF(Table1[[#This Row],[same_1]]=1 &amp; Table1[[#This Row],[same_2]]=1, 1, 0)</f>
        <v>0</v>
      </c>
      <c r="K310">
        <f>IF(ISNUMBER(SEARCH(Table1[[#This Row],[their_ent_1]],Table1[[#This Row],[my_ent_1]])), 1, 0)</f>
        <v>0</v>
      </c>
      <c r="L310">
        <f>IF(ISNUMBER(SEARCH(Table1[[#This Row],[their_ent_2]],Table1[[#This Row],[my_ent_2]])), 1, 0)</f>
        <v>0</v>
      </c>
    </row>
    <row r="311" spans="1:12" x14ac:dyDescent="0.3">
      <c r="A311" t="s">
        <v>1094</v>
      </c>
      <c r="B311" t="s">
        <v>20</v>
      </c>
      <c r="C311" t="s">
        <v>20</v>
      </c>
      <c r="D311" t="s">
        <v>1095</v>
      </c>
      <c r="E311" t="s">
        <v>1096</v>
      </c>
      <c r="F311">
        <v>0</v>
      </c>
      <c r="G311">
        <v>309</v>
      </c>
      <c r="H311">
        <f>IF(Table1[[#This Row],[my_ent_1]]=Table1[[#This Row],[their_ent_1]], 1, 0)</f>
        <v>1</v>
      </c>
      <c r="I311">
        <f>IF(Table1[[#This Row],[my_ent_2]]=Table1[[#This Row],[their_ent_2]], 1, 0)</f>
        <v>0</v>
      </c>
      <c r="J311">
        <f>IF(Table1[[#This Row],[same_1]]=1 &amp; Table1[[#This Row],[same_2]]=1, 1, 0)</f>
        <v>0</v>
      </c>
      <c r="K311">
        <f>IF(ISNUMBER(SEARCH(Table1[[#This Row],[their_ent_1]],Table1[[#This Row],[my_ent_1]])), 1, 0)</f>
        <v>1</v>
      </c>
      <c r="L311">
        <f>IF(ISNUMBER(SEARCH(Table1[[#This Row],[their_ent_2]],Table1[[#This Row],[my_ent_2]])), 1, 0)</f>
        <v>0</v>
      </c>
    </row>
    <row r="312" spans="1:12" x14ac:dyDescent="0.3">
      <c r="A312" t="s">
        <v>1097</v>
      </c>
      <c r="B312" t="s">
        <v>1098</v>
      </c>
      <c r="C312" t="s">
        <v>907</v>
      </c>
      <c r="D312" t="s">
        <v>1099</v>
      </c>
      <c r="E312" t="s">
        <v>1099</v>
      </c>
      <c r="F312">
        <v>0</v>
      </c>
      <c r="G312">
        <v>310</v>
      </c>
      <c r="H312">
        <f>IF(Table1[[#This Row],[my_ent_1]]=Table1[[#This Row],[their_ent_1]], 1, 0)</f>
        <v>0</v>
      </c>
      <c r="I312">
        <f>IF(Table1[[#This Row],[my_ent_2]]=Table1[[#This Row],[their_ent_2]], 1, 0)</f>
        <v>1</v>
      </c>
      <c r="J312">
        <f>IF(Table1[[#This Row],[same_1]]=1 &amp; Table1[[#This Row],[same_2]]=1, 1, 0)</f>
        <v>0</v>
      </c>
      <c r="K312">
        <f>IF(ISNUMBER(SEARCH(Table1[[#This Row],[their_ent_1]],Table1[[#This Row],[my_ent_1]])), 1, 0)</f>
        <v>0</v>
      </c>
      <c r="L312">
        <f>IF(ISNUMBER(SEARCH(Table1[[#This Row],[their_ent_2]],Table1[[#This Row],[my_ent_2]])), 1, 0)</f>
        <v>1</v>
      </c>
    </row>
    <row r="313" spans="1:12" x14ac:dyDescent="0.3">
      <c r="A313" t="s">
        <v>1100</v>
      </c>
      <c r="B313" t="s">
        <v>1101</v>
      </c>
      <c r="C313" t="s">
        <v>1101</v>
      </c>
      <c r="D313" t="s">
        <v>1102</v>
      </c>
      <c r="E313" t="s">
        <v>1103</v>
      </c>
      <c r="F313">
        <v>0</v>
      </c>
      <c r="G313">
        <v>311</v>
      </c>
      <c r="H313">
        <f>IF(Table1[[#This Row],[my_ent_1]]=Table1[[#This Row],[their_ent_1]], 1, 0)</f>
        <v>1</v>
      </c>
      <c r="I313">
        <f>IF(Table1[[#This Row],[my_ent_2]]=Table1[[#This Row],[their_ent_2]], 1, 0)</f>
        <v>0</v>
      </c>
      <c r="J313">
        <f>IF(Table1[[#This Row],[same_1]]=1 &amp; Table1[[#This Row],[same_2]]=1, 1, 0)</f>
        <v>0</v>
      </c>
      <c r="K313">
        <f>IF(ISNUMBER(SEARCH(Table1[[#This Row],[their_ent_1]],Table1[[#This Row],[my_ent_1]])), 1, 0)</f>
        <v>1</v>
      </c>
      <c r="L313">
        <f>IF(ISNUMBER(SEARCH(Table1[[#This Row],[their_ent_2]],Table1[[#This Row],[my_ent_2]])), 1, 0)</f>
        <v>1</v>
      </c>
    </row>
    <row r="314" spans="1:12" x14ac:dyDescent="0.3">
      <c r="A314" t="s">
        <v>1104</v>
      </c>
      <c r="B314" t="s">
        <v>1105</v>
      </c>
      <c r="C314" t="s">
        <v>1106</v>
      </c>
      <c r="D314" t="s">
        <v>1107</v>
      </c>
      <c r="E314" t="s">
        <v>1105</v>
      </c>
      <c r="F314">
        <v>0</v>
      </c>
      <c r="G314">
        <v>312</v>
      </c>
      <c r="H314">
        <f>IF(Table1[[#This Row],[my_ent_1]]=Table1[[#This Row],[their_ent_1]], 1, 0)</f>
        <v>0</v>
      </c>
      <c r="I314">
        <f>IF(Table1[[#This Row],[my_ent_2]]=Table1[[#This Row],[their_ent_2]], 1, 0)</f>
        <v>0</v>
      </c>
      <c r="J314">
        <f>IF(Table1[[#This Row],[same_1]]=1 &amp; Table1[[#This Row],[same_2]]=1, 1, 0)</f>
        <v>0</v>
      </c>
      <c r="K314">
        <f>IF(ISNUMBER(SEARCH(Table1[[#This Row],[their_ent_1]],Table1[[#This Row],[my_ent_1]])), 1, 0)</f>
        <v>0</v>
      </c>
      <c r="L314">
        <f>IF(ISNUMBER(SEARCH(Table1[[#This Row],[their_ent_2]],Table1[[#This Row],[my_ent_2]])), 1, 0)</f>
        <v>0</v>
      </c>
    </row>
    <row r="315" spans="1:12" x14ac:dyDescent="0.3">
      <c r="A315" t="s">
        <v>1108</v>
      </c>
      <c r="B315" t="s">
        <v>1109</v>
      </c>
      <c r="C315" t="s">
        <v>1109</v>
      </c>
      <c r="D315" t="s">
        <v>1110</v>
      </c>
      <c r="E315" t="s">
        <v>1111</v>
      </c>
      <c r="F315">
        <v>0</v>
      </c>
      <c r="G315">
        <v>313</v>
      </c>
      <c r="H315">
        <f>IF(Table1[[#This Row],[my_ent_1]]=Table1[[#This Row],[their_ent_1]], 1, 0)</f>
        <v>1</v>
      </c>
      <c r="I315">
        <f>IF(Table1[[#This Row],[my_ent_2]]=Table1[[#This Row],[their_ent_2]], 1, 0)</f>
        <v>0</v>
      </c>
      <c r="J315">
        <f>IF(Table1[[#This Row],[same_1]]=1 &amp; Table1[[#This Row],[same_2]]=1, 1, 0)</f>
        <v>0</v>
      </c>
      <c r="K315">
        <f>IF(ISNUMBER(SEARCH(Table1[[#This Row],[their_ent_1]],Table1[[#This Row],[my_ent_1]])), 1, 0)</f>
        <v>1</v>
      </c>
      <c r="L315">
        <f>IF(ISNUMBER(SEARCH(Table1[[#This Row],[their_ent_2]],Table1[[#This Row],[my_ent_2]])), 1, 0)</f>
        <v>0</v>
      </c>
    </row>
    <row r="316" spans="1:12" x14ac:dyDescent="0.3">
      <c r="A316" t="s">
        <v>1112</v>
      </c>
      <c r="B316" t="s">
        <v>1113</v>
      </c>
      <c r="C316" t="s">
        <v>324</v>
      </c>
      <c r="D316" t="s">
        <v>78</v>
      </c>
      <c r="E316" t="s">
        <v>1114</v>
      </c>
      <c r="F316">
        <v>0</v>
      </c>
      <c r="G316">
        <v>314</v>
      </c>
      <c r="H316">
        <f>IF(Table1[[#This Row],[my_ent_1]]=Table1[[#This Row],[their_ent_1]], 1, 0)</f>
        <v>0</v>
      </c>
      <c r="I316">
        <f>IF(Table1[[#This Row],[my_ent_2]]=Table1[[#This Row],[their_ent_2]], 1, 0)</f>
        <v>0</v>
      </c>
      <c r="J316">
        <f>IF(Table1[[#This Row],[same_1]]=1 &amp; Table1[[#This Row],[same_2]]=1, 1, 0)</f>
        <v>0</v>
      </c>
      <c r="K316">
        <f>IF(ISNUMBER(SEARCH(Table1[[#This Row],[their_ent_1]],Table1[[#This Row],[my_ent_1]])), 1, 0)</f>
        <v>0</v>
      </c>
      <c r="L316">
        <f>IF(ISNUMBER(SEARCH(Table1[[#This Row],[their_ent_2]],Table1[[#This Row],[my_ent_2]])), 1, 0)</f>
        <v>0</v>
      </c>
    </row>
    <row r="317" spans="1:12" x14ac:dyDescent="0.3">
      <c r="A317" t="s">
        <v>1115</v>
      </c>
      <c r="B317" t="s">
        <v>1116</v>
      </c>
      <c r="C317" t="s">
        <v>1117</v>
      </c>
      <c r="D317" t="s">
        <v>1118</v>
      </c>
      <c r="E317" t="s">
        <v>1119</v>
      </c>
      <c r="F317">
        <v>0</v>
      </c>
      <c r="G317">
        <v>315</v>
      </c>
      <c r="H317">
        <f>IF(Table1[[#This Row],[my_ent_1]]=Table1[[#This Row],[their_ent_1]], 1, 0)</f>
        <v>0</v>
      </c>
      <c r="I317">
        <f>IF(Table1[[#This Row],[my_ent_2]]=Table1[[#This Row],[their_ent_2]], 1, 0)</f>
        <v>0</v>
      </c>
      <c r="J317">
        <f>IF(Table1[[#This Row],[same_1]]=1 &amp; Table1[[#This Row],[same_2]]=1, 1, 0)</f>
        <v>0</v>
      </c>
      <c r="K317">
        <f>IF(ISNUMBER(SEARCH(Table1[[#This Row],[their_ent_1]],Table1[[#This Row],[my_ent_1]])), 1, 0)</f>
        <v>0</v>
      </c>
      <c r="L317">
        <f>IF(ISNUMBER(SEARCH(Table1[[#This Row],[their_ent_2]],Table1[[#This Row],[my_ent_2]])), 1, 0)</f>
        <v>0</v>
      </c>
    </row>
    <row r="318" spans="1:12" x14ac:dyDescent="0.3">
      <c r="A318" t="s">
        <v>1120</v>
      </c>
      <c r="B318" t="s">
        <v>642</v>
      </c>
      <c r="C318" t="s">
        <v>498</v>
      </c>
      <c r="D318" t="s">
        <v>783</v>
      </c>
      <c r="E318" t="s">
        <v>642</v>
      </c>
      <c r="F318">
        <v>0</v>
      </c>
      <c r="G318">
        <v>316</v>
      </c>
      <c r="H318">
        <f>IF(Table1[[#This Row],[my_ent_1]]=Table1[[#This Row],[their_ent_1]], 1, 0)</f>
        <v>0</v>
      </c>
      <c r="I318">
        <f>IF(Table1[[#This Row],[my_ent_2]]=Table1[[#This Row],[their_ent_2]], 1, 0)</f>
        <v>0</v>
      </c>
      <c r="J318">
        <f>IF(Table1[[#This Row],[same_1]]=1 &amp; Table1[[#This Row],[same_2]]=1, 1, 0)</f>
        <v>0</v>
      </c>
      <c r="K318">
        <f>IF(ISNUMBER(SEARCH(Table1[[#This Row],[their_ent_1]],Table1[[#This Row],[my_ent_1]])), 1, 0)</f>
        <v>0</v>
      </c>
      <c r="L318">
        <f>IF(ISNUMBER(SEARCH(Table1[[#This Row],[their_ent_2]],Table1[[#This Row],[my_ent_2]])), 1, 0)</f>
        <v>0</v>
      </c>
    </row>
    <row r="319" spans="1:12" x14ac:dyDescent="0.3">
      <c r="A319" t="s">
        <v>1121</v>
      </c>
      <c r="B319" t="s">
        <v>966</v>
      </c>
      <c r="C319" t="s">
        <v>966</v>
      </c>
      <c r="D319" t="s">
        <v>1122</v>
      </c>
      <c r="E319" t="s">
        <v>1123</v>
      </c>
      <c r="F319">
        <v>0</v>
      </c>
      <c r="G319">
        <v>317</v>
      </c>
      <c r="H319">
        <f>IF(Table1[[#This Row],[my_ent_1]]=Table1[[#This Row],[their_ent_1]], 1, 0)</f>
        <v>1</v>
      </c>
      <c r="I319">
        <f>IF(Table1[[#This Row],[my_ent_2]]=Table1[[#This Row],[their_ent_2]], 1, 0)</f>
        <v>0</v>
      </c>
      <c r="J319">
        <f>IF(Table1[[#This Row],[same_1]]=1 &amp; Table1[[#This Row],[same_2]]=1, 1, 0)</f>
        <v>0</v>
      </c>
      <c r="K319">
        <f>IF(ISNUMBER(SEARCH(Table1[[#This Row],[their_ent_1]],Table1[[#This Row],[my_ent_1]])), 1, 0)</f>
        <v>1</v>
      </c>
      <c r="L319">
        <f>IF(ISNUMBER(SEARCH(Table1[[#This Row],[their_ent_2]],Table1[[#This Row],[my_ent_2]])), 1, 0)</f>
        <v>1</v>
      </c>
    </row>
    <row r="320" spans="1:12" x14ac:dyDescent="0.3">
      <c r="A320" t="s">
        <v>1124</v>
      </c>
      <c r="B320" t="s">
        <v>1125</v>
      </c>
      <c r="C320" t="s">
        <v>1126</v>
      </c>
      <c r="D320" t="s">
        <v>825</v>
      </c>
      <c r="E320" t="s">
        <v>1127</v>
      </c>
      <c r="F320">
        <v>0</v>
      </c>
      <c r="G320">
        <v>318</v>
      </c>
      <c r="H320">
        <f>IF(Table1[[#This Row],[my_ent_1]]=Table1[[#This Row],[their_ent_1]], 1, 0)</f>
        <v>0</v>
      </c>
      <c r="I320">
        <f>IF(Table1[[#This Row],[my_ent_2]]=Table1[[#This Row],[their_ent_2]], 1, 0)</f>
        <v>0</v>
      </c>
      <c r="J320">
        <f>IF(Table1[[#This Row],[same_1]]=1 &amp; Table1[[#This Row],[same_2]]=1, 1, 0)</f>
        <v>0</v>
      </c>
      <c r="K320">
        <f>IF(ISNUMBER(SEARCH(Table1[[#This Row],[their_ent_1]],Table1[[#This Row],[my_ent_1]])), 1, 0)</f>
        <v>0</v>
      </c>
      <c r="L320">
        <f>IF(ISNUMBER(SEARCH(Table1[[#This Row],[their_ent_2]],Table1[[#This Row],[my_ent_2]])), 1, 0)</f>
        <v>0</v>
      </c>
    </row>
    <row r="321" spans="1:12" x14ac:dyDescent="0.3">
      <c r="A321" t="s">
        <v>1128</v>
      </c>
      <c r="B321" t="s">
        <v>1005</v>
      </c>
      <c r="C321" t="s">
        <v>1005</v>
      </c>
      <c r="D321" t="s">
        <v>1129</v>
      </c>
      <c r="E321" t="s">
        <v>1130</v>
      </c>
      <c r="F321">
        <v>0</v>
      </c>
      <c r="G321">
        <v>319</v>
      </c>
      <c r="H321">
        <f>IF(Table1[[#This Row],[my_ent_1]]=Table1[[#This Row],[their_ent_1]], 1, 0)</f>
        <v>1</v>
      </c>
      <c r="I321">
        <f>IF(Table1[[#This Row],[my_ent_2]]=Table1[[#This Row],[their_ent_2]], 1, 0)</f>
        <v>0</v>
      </c>
      <c r="J321">
        <f>IF(Table1[[#This Row],[same_1]]=1 &amp; Table1[[#This Row],[same_2]]=1, 1, 0)</f>
        <v>0</v>
      </c>
      <c r="K321">
        <f>IF(ISNUMBER(SEARCH(Table1[[#This Row],[their_ent_1]],Table1[[#This Row],[my_ent_1]])), 1, 0)</f>
        <v>1</v>
      </c>
      <c r="L321">
        <f>IF(ISNUMBER(SEARCH(Table1[[#This Row],[their_ent_2]],Table1[[#This Row],[my_ent_2]])), 1, 0)</f>
        <v>0</v>
      </c>
    </row>
    <row r="322" spans="1:12" x14ac:dyDescent="0.3">
      <c r="A322" t="s">
        <v>1131</v>
      </c>
      <c r="B322" t="s">
        <v>1009</v>
      </c>
      <c r="C322" t="s">
        <v>1132</v>
      </c>
      <c r="D322" t="s">
        <v>728</v>
      </c>
      <c r="E322" t="s">
        <v>728</v>
      </c>
      <c r="F322">
        <v>0</v>
      </c>
      <c r="G322">
        <v>320</v>
      </c>
      <c r="H322">
        <f>IF(Table1[[#This Row],[my_ent_1]]=Table1[[#This Row],[their_ent_1]], 1, 0)</f>
        <v>0</v>
      </c>
      <c r="I322">
        <f>IF(Table1[[#This Row],[my_ent_2]]=Table1[[#This Row],[their_ent_2]], 1, 0)</f>
        <v>1</v>
      </c>
      <c r="J322">
        <f>IF(Table1[[#This Row],[same_1]]=1 &amp; Table1[[#This Row],[same_2]]=1, 1, 0)</f>
        <v>0</v>
      </c>
      <c r="K322">
        <f>IF(ISNUMBER(SEARCH(Table1[[#This Row],[their_ent_1]],Table1[[#This Row],[my_ent_1]])), 1, 0)</f>
        <v>0</v>
      </c>
      <c r="L322">
        <f>IF(ISNUMBER(SEARCH(Table1[[#This Row],[their_ent_2]],Table1[[#This Row],[my_ent_2]])), 1, 0)</f>
        <v>1</v>
      </c>
    </row>
    <row r="323" spans="1:12" x14ac:dyDescent="0.3">
      <c r="A323" t="s">
        <v>1133</v>
      </c>
      <c r="B323" t="s">
        <v>1134</v>
      </c>
      <c r="C323" t="s">
        <v>1088</v>
      </c>
      <c r="D323" t="s">
        <v>1135</v>
      </c>
      <c r="E323" t="s">
        <v>1136</v>
      </c>
      <c r="F323">
        <v>0</v>
      </c>
      <c r="G323">
        <v>321</v>
      </c>
      <c r="H323">
        <f>IF(Table1[[#This Row],[my_ent_1]]=Table1[[#This Row],[their_ent_1]], 1, 0)</f>
        <v>0</v>
      </c>
      <c r="I323">
        <f>IF(Table1[[#This Row],[my_ent_2]]=Table1[[#This Row],[their_ent_2]], 1, 0)</f>
        <v>0</v>
      </c>
      <c r="J323">
        <f>IF(Table1[[#This Row],[same_1]]=1 &amp; Table1[[#This Row],[same_2]]=1, 1, 0)</f>
        <v>0</v>
      </c>
      <c r="K323">
        <f>IF(ISNUMBER(SEARCH(Table1[[#This Row],[their_ent_1]],Table1[[#This Row],[my_ent_1]])), 1, 0)</f>
        <v>0</v>
      </c>
      <c r="L323">
        <f>IF(ISNUMBER(SEARCH(Table1[[#This Row],[their_ent_2]],Table1[[#This Row],[my_ent_2]])), 1, 0)</f>
        <v>0</v>
      </c>
    </row>
    <row r="324" spans="1:12" x14ac:dyDescent="0.3">
      <c r="A324" t="s">
        <v>1137</v>
      </c>
      <c r="B324" t="s">
        <v>1138</v>
      </c>
      <c r="C324" t="s">
        <v>1138</v>
      </c>
      <c r="D324" t="s">
        <v>1139</v>
      </c>
      <c r="E324" t="s">
        <v>1140</v>
      </c>
      <c r="F324">
        <v>0</v>
      </c>
      <c r="G324">
        <v>322</v>
      </c>
      <c r="H324">
        <f>IF(Table1[[#This Row],[my_ent_1]]=Table1[[#This Row],[their_ent_1]], 1, 0)</f>
        <v>1</v>
      </c>
      <c r="I324">
        <f>IF(Table1[[#This Row],[my_ent_2]]=Table1[[#This Row],[their_ent_2]], 1, 0)</f>
        <v>0</v>
      </c>
      <c r="J324">
        <f>IF(Table1[[#This Row],[same_1]]=1 &amp; Table1[[#This Row],[same_2]]=1, 1, 0)</f>
        <v>0</v>
      </c>
      <c r="K324">
        <f>IF(ISNUMBER(SEARCH(Table1[[#This Row],[their_ent_1]],Table1[[#This Row],[my_ent_1]])), 1, 0)</f>
        <v>1</v>
      </c>
      <c r="L324">
        <f>IF(ISNUMBER(SEARCH(Table1[[#This Row],[their_ent_2]],Table1[[#This Row],[my_ent_2]])), 1, 0)</f>
        <v>0</v>
      </c>
    </row>
    <row r="325" spans="1:12" x14ac:dyDescent="0.3">
      <c r="A325" t="s">
        <v>1141</v>
      </c>
      <c r="B325" t="s">
        <v>1142</v>
      </c>
      <c r="C325" t="s">
        <v>1143</v>
      </c>
      <c r="D325" t="s">
        <v>30</v>
      </c>
      <c r="E325" t="s">
        <v>1144</v>
      </c>
      <c r="F325">
        <v>0</v>
      </c>
      <c r="G325">
        <v>323</v>
      </c>
      <c r="H325">
        <f>IF(Table1[[#This Row],[my_ent_1]]=Table1[[#This Row],[their_ent_1]], 1, 0)</f>
        <v>0</v>
      </c>
      <c r="I325">
        <f>IF(Table1[[#This Row],[my_ent_2]]=Table1[[#This Row],[their_ent_2]], 1, 0)</f>
        <v>0</v>
      </c>
      <c r="J325">
        <f>IF(Table1[[#This Row],[same_1]]=1 &amp; Table1[[#This Row],[same_2]]=1, 1, 0)</f>
        <v>0</v>
      </c>
      <c r="K325">
        <f>IF(ISNUMBER(SEARCH(Table1[[#This Row],[their_ent_1]],Table1[[#This Row],[my_ent_1]])), 1, 0)</f>
        <v>0</v>
      </c>
      <c r="L325">
        <f>IF(ISNUMBER(SEARCH(Table1[[#This Row],[their_ent_2]],Table1[[#This Row],[my_ent_2]])), 1, 0)</f>
        <v>0</v>
      </c>
    </row>
    <row r="326" spans="1:12" x14ac:dyDescent="0.3">
      <c r="A326" t="s">
        <v>1145</v>
      </c>
      <c r="B326" t="s">
        <v>1146</v>
      </c>
      <c r="C326" t="s">
        <v>1146</v>
      </c>
      <c r="D326" t="s">
        <v>1147</v>
      </c>
      <c r="E326" t="s">
        <v>160</v>
      </c>
      <c r="F326">
        <v>0</v>
      </c>
      <c r="G326">
        <v>324</v>
      </c>
      <c r="H326">
        <f>IF(Table1[[#This Row],[my_ent_1]]=Table1[[#This Row],[their_ent_1]], 1, 0)</f>
        <v>1</v>
      </c>
      <c r="I326">
        <f>IF(Table1[[#This Row],[my_ent_2]]=Table1[[#This Row],[their_ent_2]], 1, 0)</f>
        <v>0</v>
      </c>
      <c r="J326">
        <f>IF(Table1[[#This Row],[same_1]]=1 &amp; Table1[[#This Row],[same_2]]=1, 1, 0)</f>
        <v>0</v>
      </c>
      <c r="K326">
        <f>IF(ISNUMBER(SEARCH(Table1[[#This Row],[their_ent_1]],Table1[[#This Row],[my_ent_1]])), 1, 0)</f>
        <v>1</v>
      </c>
      <c r="L326">
        <f>IF(ISNUMBER(SEARCH(Table1[[#This Row],[their_ent_2]],Table1[[#This Row],[my_ent_2]])), 1, 0)</f>
        <v>0</v>
      </c>
    </row>
    <row r="327" spans="1:12" x14ac:dyDescent="0.3">
      <c r="A327" t="s">
        <v>1148</v>
      </c>
      <c r="B327" t="s">
        <v>1149</v>
      </c>
      <c r="C327" t="s">
        <v>1149</v>
      </c>
      <c r="D327" t="s">
        <v>247</v>
      </c>
      <c r="E327" t="s">
        <v>289</v>
      </c>
      <c r="F327">
        <v>0</v>
      </c>
      <c r="G327">
        <v>325</v>
      </c>
      <c r="H327">
        <f>IF(Table1[[#This Row],[my_ent_1]]=Table1[[#This Row],[their_ent_1]], 1, 0)</f>
        <v>1</v>
      </c>
      <c r="I327">
        <f>IF(Table1[[#This Row],[my_ent_2]]=Table1[[#This Row],[their_ent_2]], 1, 0)</f>
        <v>0</v>
      </c>
      <c r="J327">
        <f>IF(Table1[[#This Row],[same_1]]=1 &amp; Table1[[#This Row],[same_2]]=1, 1, 0)</f>
        <v>0</v>
      </c>
      <c r="K327">
        <f>IF(ISNUMBER(SEARCH(Table1[[#This Row],[their_ent_1]],Table1[[#This Row],[my_ent_1]])), 1, 0)</f>
        <v>1</v>
      </c>
      <c r="L327">
        <f>IF(ISNUMBER(SEARCH(Table1[[#This Row],[their_ent_2]],Table1[[#This Row],[my_ent_2]])), 1, 0)</f>
        <v>0</v>
      </c>
    </row>
    <row r="328" spans="1:12" x14ac:dyDescent="0.3">
      <c r="A328" t="s">
        <v>1150</v>
      </c>
      <c r="B328" t="s">
        <v>1151</v>
      </c>
      <c r="C328" t="s">
        <v>128</v>
      </c>
      <c r="D328" t="s">
        <v>1152</v>
      </c>
      <c r="E328" t="s">
        <v>1152</v>
      </c>
      <c r="F328">
        <v>0</v>
      </c>
      <c r="G328">
        <v>326</v>
      </c>
      <c r="H328">
        <f>IF(Table1[[#This Row],[my_ent_1]]=Table1[[#This Row],[their_ent_1]], 1, 0)</f>
        <v>0</v>
      </c>
      <c r="I328">
        <f>IF(Table1[[#This Row],[my_ent_2]]=Table1[[#This Row],[their_ent_2]], 1, 0)</f>
        <v>1</v>
      </c>
      <c r="J328">
        <f>IF(Table1[[#This Row],[same_1]]=1 &amp; Table1[[#This Row],[same_2]]=1, 1, 0)</f>
        <v>0</v>
      </c>
      <c r="K328">
        <f>IF(ISNUMBER(SEARCH(Table1[[#This Row],[their_ent_1]],Table1[[#This Row],[my_ent_1]])), 1, 0)</f>
        <v>1</v>
      </c>
      <c r="L328">
        <f>IF(ISNUMBER(SEARCH(Table1[[#This Row],[their_ent_2]],Table1[[#This Row],[my_ent_2]])), 1, 0)</f>
        <v>1</v>
      </c>
    </row>
    <row r="329" spans="1:12" x14ac:dyDescent="0.3">
      <c r="A329" t="s">
        <v>1153</v>
      </c>
      <c r="B329" t="s">
        <v>1154</v>
      </c>
      <c r="C329" t="s">
        <v>1155</v>
      </c>
      <c r="D329" t="s">
        <v>1125</v>
      </c>
      <c r="E329" t="s">
        <v>353</v>
      </c>
      <c r="F329">
        <v>0</v>
      </c>
      <c r="G329">
        <v>327</v>
      </c>
      <c r="H329">
        <f>IF(Table1[[#This Row],[my_ent_1]]=Table1[[#This Row],[their_ent_1]], 1, 0)</f>
        <v>0</v>
      </c>
      <c r="I329">
        <f>IF(Table1[[#This Row],[my_ent_2]]=Table1[[#This Row],[their_ent_2]], 1, 0)</f>
        <v>0</v>
      </c>
      <c r="J329">
        <f>IF(Table1[[#This Row],[same_1]]=1 &amp; Table1[[#This Row],[same_2]]=1, 1, 0)</f>
        <v>0</v>
      </c>
      <c r="K329">
        <f>IF(ISNUMBER(SEARCH(Table1[[#This Row],[their_ent_1]],Table1[[#This Row],[my_ent_1]])), 1, 0)</f>
        <v>0</v>
      </c>
      <c r="L329">
        <f>IF(ISNUMBER(SEARCH(Table1[[#This Row],[their_ent_2]],Table1[[#This Row],[my_ent_2]])), 1, 0)</f>
        <v>0</v>
      </c>
    </row>
    <row r="330" spans="1:12" x14ac:dyDescent="0.3">
      <c r="A330" t="s">
        <v>1156</v>
      </c>
      <c r="B330" t="s">
        <v>1157</v>
      </c>
      <c r="C330" t="s">
        <v>1157</v>
      </c>
      <c r="D330" t="s">
        <v>1158</v>
      </c>
      <c r="E330" t="s">
        <v>1159</v>
      </c>
      <c r="F330">
        <v>0</v>
      </c>
      <c r="G330">
        <v>328</v>
      </c>
      <c r="H330">
        <f>IF(Table1[[#This Row],[my_ent_1]]=Table1[[#This Row],[their_ent_1]], 1, 0)</f>
        <v>1</v>
      </c>
      <c r="I330">
        <f>IF(Table1[[#This Row],[my_ent_2]]=Table1[[#This Row],[their_ent_2]], 1, 0)</f>
        <v>0</v>
      </c>
      <c r="J330">
        <f>IF(Table1[[#This Row],[same_1]]=1 &amp; Table1[[#This Row],[same_2]]=1, 1, 0)</f>
        <v>0</v>
      </c>
      <c r="K330">
        <f>IF(ISNUMBER(SEARCH(Table1[[#This Row],[their_ent_1]],Table1[[#This Row],[my_ent_1]])), 1, 0)</f>
        <v>1</v>
      </c>
      <c r="L330">
        <f>IF(ISNUMBER(SEARCH(Table1[[#This Row],[their_ent_2]],Table1[[#This Row],[my_ent_2]])), 1, 0)</f>
        <v>0</v>
      </c>
    </row>
    <row r="331" spans="1:12" x14ac:dyDescent="0.3">
      <c r="A331" t="s">
        <v>1160</v>
      </c>
      <c r="B331" t="s">
        <v>20</v>
      </c>
      <c r="C331" t="s">
        <v>20</v>
      </c>
      <c r="D331" t="s">
        <v>59</v>
      </c>
      <c r="E331" t="s">
        <v>1161</v>
      </c>
      <c r="F331">
        <v>0</v>
      </c>
      <c r="G331">
        <v>329</v>
      </c>
      <c r="H331">
        <f>IF(Table1[[#This Row],[my_ent_1]]=Table1[[#This Row],[their_ent_1]], 1, 0)</f>
        <v>1</v>
      </c>
      <c r="I331">
        <f>IF(Table1[[#This Row],[my_ent_2]]=Table1[[#This Row],[their_ent_2]], 1, 0)</f>
        <v>0</v>
      </c>
      <c r="J331">
        <f>IF(Table1[[#This Row],[same_1]]=1 &amp; Table1[[#This Row],[same_2]]=1, 1, 0)</f>
        <v>0</v>
      </c>
      <c r="K331">
        <f>IF(ISNUMBER(SEARCH(Table1[[#This Row],[their_ent_1]],Table1[[#This Row],[my_ent_1]])), 1, 0)</f>
        <v>1</v>
      </c>
      <c r="L331">
        <f>IF(ISNUMBER(SEARCH(Table1[[#This Row],[their_ent_2]],Table1[[#This Row],[my_ent_2]])), 1, 0)</f>
        <v>0</v>
      </c>
    </row>
    <row r="332" spans="1:12" x14ac:dyDescent="0.3">
      <c r="A332" t="s">
        <v>1162</v>
      </c>
      <c r="B332" t="s">
        <v>1163</v>
      </c>
      <c r="C332" t="s">
        <v>203</v>
      </c>
      <c r="D332" t="s">
        <v>381</v>
      </c>
      <c r="E332" t="s">
        <v>381</v>
      </c>
      <c r="F332">
        <v>0</v>
      </c>
      <c r="G332">
        <v>330</v>
      </c>
      <c r="H332">
        <f>IF(Table1[[#This Row],[my_ent_1]]=Table1[[#This Row],[their_ent_1]], 1, 0)</f>
        <v>0</v>
      </c>
      <c r="I332">
        <f>IF(Table1[[#This Row],[my_ent_2]]=Table1[[#This Row],[their_ent_2]], 1, 0)</f>
        <v>1</v>
      </c>
      <c r="J332">
        <f>IF(Table1[[#This Row],[same_1]]=1 &amp; Table1[[#This Row],[same_2]]=1, 1, 0)</f>
        <v>0</v>
      </c>
      <c r="K332">
        <f>IF(ISNUMBER(SEARCH(Table1[[#This Row],[their_ent_1]],Table1[[#This Row],[my_ent_1]])), 1, 0)</f>
        <v>0</v>
      </c>
      <c r="L332">
        <f>IF(ISNUMBER(SEARCH(Table1[[#This Row],[their_ent_2]],Table1[[#This Row],[my_ent_2]])), 1, 0)</f>
        <v>1</v>
      </c>
    </row>
    <row r="333" spans="1:12" x14ac:dyDescent="0.3">
      <c r="A333" t="s">
        <v>1164</v>
      </c>
      <c r="B333" t="s">
        <v>615</v>
      </c>
      <c r="C333" t="s">
        <v>615</v>
      </c>
      <c r="D333" t="s">
        <v>20</v>
      </c>
      <c r="E333" t="s">
        <v>103</v>
      </c>
      <c r="F333">
        <v>0</v>
      </c>
      <c r="G333">
        <v>331</v>
      </c>
      <c r="H333">
        <f>IF(Table1[[#This Row],[my_ent_1]]=Table1[[#This Row],[their_ent_1]], 1, 0)</f>
        <v>1</v>
      </c>
      <c r="I333">
        <f>IF(Table1[[#This Row],[my_ent_2]]=Table1[[#This Row],[their_ent_2]], 1, 0)</f>
        <v>0</v>
      </c>
      <c r="J333">
        <f>IF(Table1[[#This Row],[same_1]]=1 &amp; Table1[[#This Row],[same_2]]=1, 1, 0)</f>
        <v>0</v>
      </c>
      <c r="K333">
        <f>IF(ISNUMBER(SEARCH(Table1[[#This Row],[their_ent_1]],Table1[[#This Row],[my_ent_1]])), 1, 0)</f>
        <v>1</v>
      </c>
      <c r="L333">
        <f>IF(ISNUMBER(SEARCH(Table1[[#This Row],[their_ent_2]],Table1[[#This Row],[my_ent_2]])), 1, 0)</f>
        <v>0</v>
      </c>
    </row>
    <row r="334" spans="1:12" x14ac:dyDescent="0.3">
      <c r="A334" t="s">
        <v>1165</v>
      </c>
      <c r="B334" t="s">
        <v>1166</v>
      </c>
      <c r="C334" t="s">
        <v>1166</v>
      </c>
      <c r="D334" t="s">
        <v>1167</v>
      </c>
      <c r="E334" t="s">
        <v>1168</v>
      </c>
      <c r="F334">
        <v>0</v>
      </c>
      <c r="G334">
        <v>332</v>
      </c>
      <c r="H334">
        <f>IF(Table1[[#This Row],[my_ent_1]]=Table1[[#This Row],[their_ent_1]], 1, 0)</f>
        <v>1</v>
      </c>
      <c r="I334">
        <f>IF(Table1[[#This Row],[my_ent_2]]=Table1[[#This Row],[their_ent_2]], 1, 0)</f>
        <v>0</v>
      </c>
      <c r="J334">
        <f>IF(Table1[[#This Row],[same_1]]=1 &amp; Table1[[#This Row],[same_2]]=1, 1, 0)</f>
        <v>0</v>
      </c>
      <c r="K334">
        <f>IF(ISNUMBER(SEARCH(Table1[[#This Row],[their_ent_1]],Table1[[#This Row],[my_ent_1]])), 1, 0)</f>
        <v>1</v>
      </c>
      <c r="L334">
        <f>IF(ISNUMBER(SEARCH(Table1[[#This Row],[their_ent_2]],Table1[[#This Row],[my_ent_2]])), 1, 0)</f>
        <v>0</v>
      </c>
    </row>
    <row r="335" spans="1:12" x14ac:dyDescent="0.3">
      <c r="A335" t="s">
        <v>1169</v>
      </c>
      <c r="B335" t="s">
        <v>1170</v>
      </c>
      <c r="C335" t="s">
        <v>1171</v>
      </c>
      <c r="D335" t="s">
        <v>59</v>
      </c>
      <c r="E335" t="s">
        <v>1170</v>
      </c>
      <c r="F335">
        <v>0</v>
      </c>
      <c r="G335">
        <v>333</v>
      </c>
      <c r="H335">
        <f>IF(Table1[[#This Row],[my_ent_1]]=Table1[[#This Row],[their_ent_1]], 1, 0)</f>
        <v>0</v>
      </c>
      <c r="I335">
        <f>IF(Table1[[#This Row],[my_ent_2]]=Table1[[#This Row],[their_ent_2]], 1, 0)</f>
        <v>0</v>
      </c>
      <c r="J335">
        <f>IF(Table1[[#This Row],[same_1]]=1 &amp; Table1[[#This Row],[same_2]]=1, 1, 0)</f>
        <v>0</v>
      </c>
      <c r="K335">
        <f>IF(ISNUMBER(SEARCH(Table1[[#This Row],[their_ent_1]],Table1[[#This Row],[my_ent_1]])), 1, 0)</f>
        <v>0</v>
      </c>
      <c r="L335">
        <f>IF(ISNUMBER(SEARCH(Table1[[#This Row],[their_ent_2]],Table1[[#This Row],[my_ent_2]])), 1, 0)</f>
        <v>0</v>
      </c>
    </row>
    <row r="336" spans="1:12" x14ac:dyDescent="0.3">
      <c r="A336" t="s">
        <v>1172</v>
      </c>
      <c r="B336" t="s">
        <v>127</v>
      </c>
      <c r="C336" t="s">
        <v>127</v>
      </c>
      <c r="D336" t="s">
        <v>124</v>
      </c>
      <c r="E336" t="s">
        <v>30</v>
      </c>
      <c r="F336">
        <v>0</v>
      </c>
      <c r="G336">
        <v>334</v>
      </c>
      <c r="H336">
        <f>IF(Table1[[#This Row],[my_ent_1]]=Table1[[#This Row],[their_ent_1]], 1, 0)</f>
        <v>1</v>
      </c>
      <c r="I336">
        <f>IF(Table1[[#This Row],[my_ent_2]]=Table1[[#This Row],[their_ent_2]], 1, 0)</f>
        <v>0</v>
      </c>
      <c r="J336">
        <f>IF(Table1[[#This Row],[same_1]]=1 &amp; Table1[[#This Row],[same_2]]=1, 1, 0)</f>
        <v>0</v>
      </c>
      <c r="K336">
        <f>IF(ISNUMBER(SEARCH(Table1[[#This Row],[their_ent_1]],Table1[[#This Row],[my_ent_1]])), 1, 0)</f>
        <v>1</v>
      </c>
      <c r="L336">
        <f>IF(ISNUMBER(SEARCH(Table1[[#This Row],[their_ent_2]],Table1[[#This Row],[my_ent_2]])), 1, 0)</f>
        <v>1</v>
      </c>
    </row>
    <row r="337" spans="1:12" x14ac:dyDescent="0.3">
      <c r="A337" t="s">
        <v>1173</v>
      </c>
      <c r="B337" t="s">
        <v>1174</v>
      </c>
      <c r="C337" t="s">
        <v>1175</v>
      </c>
      <c r="D337" t="s">
        <v>202</v>
      </c>
      <c r="E337" t="s">
        <v>1176</v>
      </c>
      <c r="F337">
        <v>0</v>
      </c>
      <c r="G337">
        <v>335</v>
      </c>
      <c r="H337">
        <f>IF(Table1[[#This Row],[my_ent_1]]=Table1[[#This Row],[their_ent_1]], 1, 0)</f>
        <v>0</v>
      </c>
      <c r="I337">
        <f>IF(Table1[[#This Row],[my_ent_2]]=Table1[[#This Row],[their_ent_2]], 1, 0)</f>
        <v>0</v>
      </c>
      <c r="J337">
        <f>IF(Table1[[#This Row],[same_1]]=1 &amp; Table1[[#This Row],[same_2]]=1, 1, 0)</f>
        <v>0</v>
      </c>
      <c r="K337">
        <f>IF(ISNUMBER(SEARCH(Table1[[#This Row],[their_ent_1]],Table1[[#This Row],[my_ent_1]])), 1, 0)</f>
        <v>0</v>
      </c>
      <c r="L337">
        <f>IF(ISNUMBER(SEARCH(Table1[[#This Row],[their_ent_2]],Table1[[#This Row],[my_ent_2]])), 1, 0)</f>
        <v>0</v>
      </c>
    </row>
    <row r="338" spans="1:12" x14ac:dyDescent="0.3">
      <c r="A338" t="s">
        <v>1177</v>
      </c>
      <c r="B338" t="s">
        <v>1178</v>
      </c>
      <c r="C338" t="s">
        <v>353</v>
      </c>
      <c r="D338" t="s">
        <v>202</v>
      </c>
      <c r="E338" t="s">
        <v>1179</v>
      </c>
      <c r="F338">
        <v>0</v>
      </c>
      <c r="G338">
        <v>336</v>
      </c>
      <c r="H338">
        <f>IF(Table1[[#This Row],[my_ent_1]]=Table1[[#This Row],[their_ent_1]], 1, 0)</f>
        <v>0</v>
      </c>
      <c r="I338">
        <f>IF(Table1[[#This Row],[my_ent_2]]=Table1[[#This Row],[their_ent_2]], 1, 0)</f>
        <v>0</v>
      </c>
      <c r="J338">
        <f>IF(Table1[[#This Row],[same_1]]=1 &amp; Table1[[#This Row],[same_2]]=1, 1, 0)</f>
        <v>0</v>
      </c>
      <c r="K338">
        <f>IF(ISNUMBER(SEARCH(Table1[[#This Row],[their_ent_1]],Table1[[#This Row],[my_ent_1]])), 1, 0)</f>
        <v>0</v>
      </c>
      <c r="L338">
        <f>IF(ISNUMBER(SEARCH(Table1[[#This Row],[their_ent_2]],Table1[[#This Row],[my_ent_2]])), 1, 0)</f>
        <v>0</v>
      </c>
    </row>
    <row r="339" spans="1:12" x14ac:dyDescent="0.3">
      <c r="A339" t="s">
        <v>1180</v>
      </c>
      <c r="B339" t="s">
        <v>410</v>
      </c>
      <c r="C339" t="s">
        <v>410</v>
      </c>
      <c r="D339" t="s">
        <v>206</v>
      </c>
      <c r="E339" t="s">
        <v>31</v>
      </c>
      <c r="F339">
        <v>0</v>
      </c>
      <c r="G339">
        <v>337</v>
      </c>
      <c r="H339">
        <f>IF(Table1[[#This Row],[my_ent_1]]=Table1[[#This Row],[their_ent_1]], 1, 0)</f>
        <v>1</v>
      </c>
      <c r="I339">
        <f>IF(Table1[[#This Row],[my_ent_2]]=Table1[[#This Row],[their_ent_2]], 1, 0)</f>
        <v>0</v>
      </c>
      <c r="J339">
        <f>IF(Table1[[#This Row],[same_1]]=1 &amp; Table1[[#This Row],[same_2]]=1, 1, 0)</f>
        <v>0</v>
      </c>
      <c r="K339">
        <f>IF(ISNUMBER(SEARCH(Table1[[#This Row],[their_ent_1]],Table1[[#This Row],[my_ent_1]])), 1, 0)</f>
        <v>1</v>
      </c>
      <c r="L339">
        <f>IF(ISNUMBER(SEARCH(Table1[[#This Row],[their_ent_2]],Table1[[#This Row],[my_ent_2]])), 1, 0)</f>
        <v>1</v>
      </c>
    </row>
    <row r="340" spans="1:12" x14ac:dyDescent="0.3">
      <c r="A340" t="s">
        <v>1181</v>
      </c>
      <c r="B340" t="s">
        <v>28</v>
      </c>
      <c r="C340" t="s">
        <v>20</v>
      </c>
      <c r="D340" t="s">
        <v>353</v>
      </c>
      <c r="E340" t="s">
        <v>203</v>
      </c>
      <c r="F340">
        <v>0</v>
      </c>
      <c r="G340">
        <v>338</v>
      </c>
      <c r="H340">
        <f>IF(Table1[[#This Row],[my_ent_1]]=Table1[[#This Row],[their_ent_1]], 1, 0)</f>
        <v>0</v>
      </c>
      <c r="I340">
        <f>IF(Table1[[#This Row],[my_ent_2]]=Table1[[#This Row],[their_ent_2]], 1, 0)</f>
        <v>0</v>
      </c>
      <c r="J340">
        <f>IF(Table1[[#This Row],[same_1]]=1 &amp; Table1[[#This Row],[same_2]]=1, 1, 0)</f>
        <v>0</v>
      </c>
      <c r="K340">
        <f>IF(ISNUMBER(SEARCH(Table1[[#This Row],[their_ent_1]],Table1[[#This Row],[my_ent_1]])), 1, 0)</f>
        <v>1</v>
      </c>
      <c r="L340">
        <f>IF(ISNUMBER(SEARCH(Table1[[#This Row],[their_ent_2]],Table1[[#This Row],[my_ent_2]])), 1, 0)</f>
        <v>0</v>
      </c>
    </row>
    <row r="341" spans="1:12" x14ac:dyDescent="0.3">
      <c r="A341" t="s">
        <v>1182</v>
      </c>
      <c r="B341" t="s">
        <v>26</v>
      </c>
      <c r="C341" t="s">
        <v>26</v>
      </c>
      <c r="D341" t="s">
        <v>323</v>
      </c>
      <c r="E341" t="s">
        <v>324</v>
      </c>
      <c r="F341">
        <v>0</v>
      </c>
      <c r="G341">
        <v>339</v>
      </c>
      <c r="H341">
        <f>IF(Table1[[#This Row],[my_ent_1]]=Table1[[#This Row],[their_ent_1]], 1, 0)</f>
        <v>1</v>
      </c>
      <c r="I341">
        <f>IF(Table1[[#This Row],[my_ent_2]]=Table1[[#This Row],[their_ent_2]], 1, 0)</f>
        <v>0</v>
      </c>
      <c r="J341">
        <f>IF(Table1[[#This Row],[same_1]]=1 &amp; Table1[[#This Row],[same_2]]=1, 1, 0)</f>
        <v>0</v>
      </c>
      <c r="K341">
        <f>IF(ISNUMBER(SEARCH(Table1[[#This Row],[their_ent_1]],Table1[[#This Row],[my_ent_1]])), 1, 0)</f>
        <v>1</v>
      </c>
      <c r="L341">
        <f>IF(ISNUMBER(SEARCH(Table1[[#This Row],[their_ent_2]],Table1[[#This Row],[my_ent_2]])), 1, 0)</f>
        <v>1</v>
      </c>
    </row>
    <row r="342" spans="1:12" x14ac:dyDescent="0.3">
      <c r="A342" t="s">
        <v>1183</v>
      </c>
      <c r="B342" t="s">
        <v>863</v>
      </c>
      <c r="C342" t="s">
        <v>599</v>
      </c>
      <c r="D342" t="s">
        <v>127</v>
      </c>
      <c r="E342" t="s">
        <v>864</v>
      </c>
      <c r="F342">
        <v>0</v>
      </c>
      <c r="G342">
        <v>340</v>
      </c>
      <c r="H342">
        <f>IF(Table1[[#This Row],[my_ent_1]]=Table1[[#This Row],[their_ent_1]], 1, 0)</f>
        <v>0</v>
      </c>
      <c r="I342">
        <f>IF(Table1[[#This Row],[my_ent_2]]=Table1[[#This Row],[their_ent_2]], 1, 0)</f>
        <v>0</v>
      </c>
      <c r="J342">
        <f>IF(Table1[[#This Row],[same_1]]=1 &amp; Table1[[#This Row],[same_2]]=1, 1, 0)</f>
        <v>0</v>
      </c>
      <c r="K342">
        <f>IF(ISNUMBER(SEARCH(Table1[[#This Row],[their_ent_1]],Table1[[#This Row],[my_ent_1]])), 1, 0)</f>
        <v>0</v>
      </c>
      <c r="L342">
        <f>IF(ISNUMBER(SEARCH(Table1[[#This Row],[their_ent_2]],Table1[[#This Row],[my_ent_2]])), 1, 0)</f>
        <v>0</v>
      </c>
    </row>
    <row r="343" spans="1:12" x14ac:dyDescent="0.3">
      <c r="A343" t="s">
        <v>1184</v>
      </c>
      <c r="B343" t="s">
        <v>140</v>
      </c>
      <c r="C343" t="s">
        <v>725</v>
      </c>
      <c r="D343" t="s">
        <v>127</v>
      </c>
      <c r="E343" t="s">
        <v>127</v>
      </c>
      <c r="F343">
        <v>0</v>
      </c>
      <c r="G343">
        <v>341</v>
      </c>
      <c r="H343">
        <f>IF(Table1[[#This Row],[my_ent_1]]=Table1[[#This Row],[their_ent_1]], 1, 0)</f>
        <v>0</v>
      </c>
      <c r="I343">
        <f>IF(Table1[[#This Row],[my_ent_2]]=Table1[[#This Row],[their_ent_2]], 1, 0)</f>
        <v>1</v>
      </c>
      <c r="J343">
        <f>IF(Table1[[#This Row],[same_1]]=1 &amp; Table1[[#This Row],[same_2]]=1, 1, 0)</f>
        <v>0</v>
      </c>
      <c r="K343">
        <f>IF(ISNUMBER(SEARCH(Table1[[#This Row],[their_ent_1]],Table1[[#This Row],[my_ent_1]])), 1, 0)</f>
        <v>0</v>
      </c>
      <c r="L343">
        <f>IF(ISNUMBER(SEARCH(Table1[[#This Row],[their_ent_2]],Table1[[#This Row],[my_ent_2]])), 1, 0)</f>
        <v>1</v>
      </c>
    </row>
    <row r="344" spans="1:12" x14ac:dyDescent="0.3">
      <c r="A344" t="s">
        <v>1185</v>
      </c>
      <c r="B344" t="s">
        <v>1186</v>
      </c>
      <c r="C344" t="s">
        <v>1187</v>
      </c>
      <c r="D344" t="s">
        <v>205</v>
      </c>
      <c r="E344" t="s">
        <v>205</v>
      </c>
      <c r="F344">
        <v>0</v>
      </c>
      <c r="G344">
        <v>342</v>
      </c>
      <c r="H344">
        <f>IF(Table1[[#This Row],[my_ent_1]]=Table1[[#This Row],[their_ent_1]], 1, 0)</f>
        <v>0</v>
      </c>
      <c r="I344">
        <f>IF(Table1[[#This Row],[my_ent_2]]=Table1[[#This Row],[their_ent_2]], 1, 0)</f>
        <v>1</v>
      </c>
      <c r="J344">
        <f>IF(Table1[[#This Row],[same_1]]=1 &amp; Table1[[#This Row],[same_2]]=1, 1, 0)</f>
        <v>0</v>
      </c>
      <c r="K344">
        <f>IF(ISNUMBER(SEARCH(Table1[[#This Row],[their_ent_1]],Table1[[#This Row],[my_ent_1]])), 1, 0)</f>
        <v>1</v>
      </c>
      <c r="L344">
        <f>IF(ISNUMBER(SEARCH(Table1[[#This Row],[their_ent_2]],Table1[[#This Row],[my_ent_2]])), 1, 0)</f>
        <v>1</v>
      </c>
    </row>
    <row r="345" spans="1:12" x14ac:dyDescent="0.3">
      <c r="A345" t="s">
        <v>1188</v>
      </c>
      <c r="B345" t="s">
        <v>1189</v>
      </c>
      <c r="C345" t="s">
        <v>1189</v>
      </c>
      <c r="D345" t="s">
        <v>1190</v>
      </c>
      <c r="E345" t="s">
        <v>31</v>
      </c>
      <c r="F345">
        <v>0</v>
      </c>
      <c r="G345">
        <v>343</v>
      </c>
      <c r="H345">
        <f>IF(Table1[[#This Row],[my_ent_1]]=Table1[[#This Row],[their_ent_1]], 1, 0)</f>
        <v>1</v>
      </c>
      <c r="I345">
        <f>IF(Table1[[#This Row],[my_ent_2]]=Table1[[#This Row],[their_ent_2]], 1, 0)</f>
        <v>0</v>
      </c>
      <c r="J345">
        <f>IF(Table1[[#This Row],[same_1]]=1 &amp; Table1[[#This Row],[same_2]]=1, 1, 0)</f>
        <v>0</v>
      </c>
      <c r="K345">
        <f>IF(ISNUMBER(SEARCH(Table1[[#This Row],[their_ent_1]],Table1[[#This Row],[my_ent_1]])), 1, 0)</f>
        <v>1</v>
      </c>
      <c r="L345">
        <f>IF(ISNUMBER(SEARCH(Table1[[#This Row],[their_ent_2]],Table1[[#This Row],[my_ent_2]])), 1, 0)</f>
        <v>0</v>
      </c>
    </row>
    <row r="346" spans="1:12" x14ac:dyDescent="0.3">
      <c r="A346" t="s">
        <v>1191</v>
      </c>
      <c r="B346" t="s">
        <v>1192</v>
      </c>
      <c r="C346" t="s">
        <v>410</v>
      </c>
      <c r="D346" t="s">
        <v>1193</v>
      </c>
      <c r="E346" t="s">
        <v>1194</v>
      </c>
      <c r="F346">
        <v>0</v>
      </c>
      <c r="G346">
        <v>344</v>
      </c>
      <c r="H346">
        <f>IF(Table1[[#This Row],[my_ent_1]]=Table1[[#This Row],[their_ent_1]], 1, 0)</f>
        <v>0</v>
      </c>
      <c r="I346">
        <f>IF(Table1[[#This Row],[my_ent_2]]=Table1[[#This Row],[their_ent_2]], 1, 0)</f>
        <v>0</v>
      </c>
      <c r="J346">
        <f>IF(Table1[[#This Row],[same_1]]=1 &amp; Table1[[#This Row],[same_2]]=1, 1, 0)</f>
        <v>0</v>
      </c>
      <c r="K346">
        <f>IF(ISNUMBER(SEARCH(Table1[[#This Row],[their_ent_1]],Table1[[#This Row],[my_ent_1]])), 1, 0)</f>
        <v>0</v>
      </c>
      <c r="L346">
        <f>IF(ISNUMBER(SEARCH(Table1[[#This Row],[their_ent_2]],Table1[[#This Row],[my_ent_2]])), 1, 0)</f>
        <v>0</v>
      </c>
    </row>
    <row r="347" spans="1:12" x14ac:dyDescent="0.3">
      <c r="A347" t="s">
        <v>1195</v>
      </c>
      <c r="B347" t="s">
        <v>1039</v>
      </c>
      <c r="C347" t="s">
        <v>1196</v>
      </c>
      <c r="D347" t="s">
        <v>59</v>
      </c>
      <c r="E347" t="s">
        <v>1039</v>
      </c>
      <c r="F347">
        <v>0</v>
      </c>
      <c r="G347">
        <v>345</v>
      </c>
      <c r="H347">
        <f>IF(Table1[[#This Row],[my_ent_1]]=Table1[[#This Row],[their_ent_1]], 1, 0)</f>
        <v>0</v>
      </c>
      <c r="I347">
        <f>IF(Table1[[#This Row],[my_ent_2]]=Table1[[#This Row],[their_ent_2]], 1, 0)</f>
        <v>0</v>
      </c>
      <c r="J347">
        <f>IF(Table1[[#This Row],[same_1]]=1 &amp; Table1[[#This Row],[same_2]]=1, 1, 0)</f>
        <v>0</v>
      </c>
      <c r="K347">
        <f>IF(ISNUMBER(SEARCH(Table1[[#This Row],[their_ent_1]],Table1[[#This Row],[my_ent_1]])), 1, 0)</f>
        <v>0</v>
      </c>
      <c r="L347">
        <f>IF(ISNUMBER(SEARCH(Table1[[#This Row],[their_ent_2]],Table1[[#This Row],[my_ent_2]])), 1, 0)</f>
        <v>0</v>
      </c>
    </row>
    <row r="348" spans="1:12" x14ac:dyDescent="0.3">
      <c r="A348" t="s">
        <v>1197</v>
      </c>
      <c r="B348" t="s">
        <v>498</v>
      </c>
      <c r="C348" t="s">
        <v>44</v>
      </c>
      <c r="D348" t="s">
        <v>1198</v>
      </c>
      <c r="E348" t="s">
        <v>498</v>
      </c>
      <c r="F348">
        <v>0</v>
      </c>
      <c r="G348">
        <v>346</v>
      </c>
      <c r="H348">
        <f>IF(Table1[[#This Row],[my_ent_1]]=Table1[[#This Row],[their_ent_1]], 1, 0)</f>
        <v>0</v>
      </c>
      <c r="I348">
        <f>IF(Table1[[#This Row],[my_ent_2]]=Table1[[#This Row],[their_ent_2]], 1, 0)</f>
        <v>0</v>
      </c>
      <c r="J348">
        <f>IF(Table1[[#This Row],[same_1]]=1 &amp; Table1[[#This Row],[same_2]]=1, 1, 0)</f>
        <v>0</v>
      </c>
      <c r="K348">
        <f>IF(ISNUMBER(SEARCH(Table1[[#This Row],[their_ent_1]],Table1[[#This Row],[my_ent_1]])), 1, 0)</f>
        <v>0</v>
      </c>
      <c r="L348">
        <f>IF(ISNUMBER(SEARCH(Table1[[#This Row],[their_ent_2]],Table1[[#This Row],[my_ent_2]])), 1, 0)</f>
        <v>0</v>
      </c>
    </row>
    <row r="349" spans="1:12" x14ac:dyDescent="0.3">
      <c r="A349" t="s">
        <v>1199</v>
      </c>
      <c r="B349" t="s">
        <v>1200</v>
      </c>
      <c r="C349" t="s">
        <v>1200</v>
      </c>
      <c r="D349" t="s">
        <v>1201</v>
      </c>
      <c r="E349" t="s">
        <v>1202</v>
      </c>
      <c r="F349">
        <v>0</v>
      </c>
      <c r="G349">
        <v>347</v>
      </c>
      <c r="H349">
        <f>IF(Table1[[#This Row],[my_ent_1]]=Table1[[#This Row],[their_ent_1]], 1, 0)</f>
        <v>1</v>
      </c>
      <c r="I349">
        <f>IF(Table1[[#This Row],[my_ent_2]]=Table1[[#This Row],[their_ent_2]], 1, 0)</f>
        <v>0</v>
      </c>
      <c r="J349">
        <f>IF(Table1[[#This Row],[same_1]]=1 &amp; Table1[[#This Row],[same_2]]=1, 1, 0)</f>
        <v>0</v>
      </c>
      <c r="K349">
        <f>IF(ISNUMBER(SEARCH(Table1[[#This Row],[their_ent_1]],Table1[[#This Row],[my_ent_1]])), 1, 0)</f>
        <v>1</v>
      </c>
      <c r="L349">
        <f>IF(ISNUMBER(SEARCH(Table1[[#This Row],[their_ent_2]],Table1[[#This Row],[my_ent_2]])), 1, 0)</f>
        <v>0</v>
      </c>
    </row>
    <row r="350" spans="1:12" x14ac:dyDescent="0.3">
      <c r="A350" t="s">
        <v>1203</v>
      </c>
      <c r="B350" t="s">
        <v>1204</v>
      </c>
      <c r="C350" t="s">
        <v>847</v>
      </c>
      <c r="D350" t="s">
        <v>1205</v>
      </c>
      <c r="E350" t="s">
        <v>1205</v>
      </c>
      <c r="F350">
        <v>0</v>
      </c>
      <c r="G350">
        <v>348</v>
      </c>
      <c r="H350">
        <f>IF(Table1[[#This Row],[my_ent_1]]=Table1[[#This Row],[their_ent_1]], 1, 0)</f>
        <v>0</v>
      </c>
      <c r="I350">
        <f>IF(Table1[[#This Row],[my_ent_2]]=Table1[[#This Row],[their_ent_2]], 1, 0)</f>
        <v>1</v>
      </c>
      <c r="J350">
        <f>IF(Table1[[#This Row],[same_1]]=1 &amp; Table1[[#This Row],[same_2]]=1, 1, 0)</f>
        <v>0</v>
      </c>
      <c r="K350">
        <f>IF(ISNUMBER(SEARCH(Table1[[#This Row],[their_ent_1]],Table1[[#This Row],[my_ent_1]])), 1, 0)</f>
        <v>1</v>
      </c>
      <c r="L350">
        <f>IF(ISNUMBER(SEARCH(Table1[[#This Row],[their_ent_2]],Table1[[#This Row],[my_ent_2]])), 1, 0)</f>
        <v>1</v>
      </c>
    </row>
    <row r="351" spans="1:12" x14ac:dyDescent="0.3">
      <c r="A351" t="s">
        <v>1206</v>
      </c>
      <c r="B351" t="s">
        <v>175</v>
      </c>
      <c r="C351" t="s">
        <v>1207</v>
      </c>
      <c r="D351" t="s">
        <v>1208</v>
      </c>
      <c r="E351" t="s">
        <v>1209</v>
      </c>
      <c r="F351">
        <v>0</v>
      </c>
      <c r="G351">
        <v>349</v>
      </c>
      <c r="H351">
        <f>IF(Table1[[#This Row],[my_ent_1]]=Table1[[#This Row],[their_ent_1]], 1, 0)</f>
        <v>0</v>
      </c>
      <c r="I351">
        <f>IF(Table1[[#This Row],[my_ent_2]]=Table1[[#This Row],[their_ent_2]], 1, 0)</f>
        <v>0</v>
      </c>
      <c r="J351">
        <f>IF(Table1[[#This Row],[same_1]]=1 &amp; Table1[[#This Row],[same_2]]=1, 1, 0)</f>
        <v>0</v>
      </c>
      <c r="K351">
        <f>IF(ISNUMBER(SEARCH(Table1[[#This Row],[their_ent_1]],Table1[[#This Row],[my_ent_1]])), 1, 0)</f>
        <v>0</v>
      </c>
      <c r="L351">
        <f>IF(ISNUMBER(SEARCH(Table1[[#This Row],[their_ent_2]],Table1[[#This Row],[my_ent_2]])), 1, 0)</f>
        <v>0</v>
      </c>
    </row>
    <row r="352" spans="1:12" x14ac:dyDescent="0.3">
      <c r="A352" t="s">
        <v>1210</v>
      </c>
      <c r="B352" t="s">
        <v>171</v>
      </c>
      <c r="C352" t="s">
        <v>171</v>
      </c>
      <c r="D352" t="s">
        <v>175</v>
      </c>
      <c r="E352" t="s">
        <v>176</v>
      </c>
      <c r="F352">
        <v>0</v>
      </c>
      <c r="G352">
        <v>350</v>
      </c>
      <c r="H352">
        <f>IF(Table1[[#This Row],[my_ent_1]]=Table1[[#This Row],[their_ent_1]], 1, 0)</f>
        <v>1</v>
      </c>
      <c r="I352">
        <f>IF(Table1[[#This Row],[my_ent_2]]=Table1[[#This Row],[their_ent_2]], 1, 0)</f>
        <v>0</v>
      </c>
      <c r="J352">
        <f>IF(Table1[[#This Row],[same_1]]=1 &amp; Table1[[#This Row],[same_2]]=1, 1, 0)</f>
        <v>0</v>
      </c>
      <c r="K352">
        <f>IF(ISNUMBER(SEARCH(Table1[[#This Row],[their_ent_1]],Table1[[#This Row],[my_ent_1]])), 1, 0)</f>
        <v>1</v>
      </c>
      <c r="L352">
        <f>IF(ISNUMBER(SEARCH(Table1[[#This Row],[their_ent_2]],Table1[[#This Row],[my_ent_2]])), 1, 0)</f>
        <v>1</v>
      </c>
    </row>
    <row r="353" spans="1:12" x14ac:dyDescent="0.3">
      <c r="A353" t="s">
        <v>1211</v>
      </c>
      <c r="B353" t="s">
        <v>1212</v>
      </c>
      <c r="C353" t="s">
        <v>1213</v>
      </c>
      <c r="D353" t="s">
        <v>1214</v>
      </c>
      <c r="E353" t="s">
        <v>1215</v>
      </c>
      <c r="F353">
        <v>0</v>
      </c>
      <c r="G353">
        <v>351</v>
      </c>
      <c r="H353">
        <f>IF(Table1[[#This Row],[my_ent_1]]=Table1[[#This Row],[their_ent_1]], 1, 0)</f>
        <v>0</v>
      </c>
      <c r="I353">
        <f>IF(Table1[[#This Row],[my_ent_2]]=Table1[[#This Row],[their_ent_2]], 1, 0)</f>
        <v>0</v>
      </c>
      <c r="J353">
        <f>IF(Table1[[#This Row],[same_1]]=1 &amp; Table1[[#This Row],[same_2]]=1, 1, 0)</f>
        <v>0</v>
      </c>
      <c r="K353">
        <f>IF(ISNUMBER(SEARCH(Table1[[#This Row],[their_ent_1]],Table1[[#This Row],[my_ent_1]])), 1, 0)</f>
        <v>0</v>
      </c>
      <c r="L353">
        <f>IF(ISNUMBER(SEARCH(Table1[[#This Row],[their_ent_2]],Table1[[#This Row],[my_ent_2]])), 1, 0)</f>
        <v>0</v>
      </c>
    </row>
    <row r="354" spans="1:12" x14ac:dyDescent="0.3">
      <c r="A354" t="s">
        <v>1216</v>
      </c>
      <c r="B354" t="s">
        <v>1217</v>
      </c>
      <c r="C354" t="s">
        <v>1218</v>
      </c>
      <c r="D354" t="s">
        <v>552</v>
      </c>
      <c r="E354" t="s">
        <v>552</v>
      </c>
      <c r="F354">
        <v>0</v>
      </c>
      <c r="G354">
        <v>352</v>
      </c>
      <c r="H354">
        <f>IF(Table1[[#This Row],[my_ent_1]]=Table1[[#This Row],[their_ent_1]], 1, 0)</f>
        <v>0</v>
      </c>
      <c r="I354">
        <f>IF(Table1[[#This Row],[my_ent_2]]=Table1[[#This Row],[their_ent_2]], 1, 0)</f>
        <v>1</v>
      </c>
      <c r="J354">
        <f>IF(Table1[[#This Row],[same_1]]=1 &amp; Table1[[#This Row],[same_2]]=1, 1, 0)</f>
        <v>0</v>
      </c>
      <c r="K354">
        <f>IF(ISNUMBER(SEARCH(Table1[[#This Row],[their_ent_1]],Table1[[#This Row],[my_ent_1]])), 1, 0)</f>
        <v>1</v>
      </c>
      <c r="L354">
        <f>IF(ISNUMBER(SEARCH(Table1[[#This Row],[their_ent_2]],Table1[[#This Row],[my_ent_2]])), 1, 0)</f>
        <v>1</v>
      </c>
    </row>
    <row r="355" spans="1:12" x14ac:dyDescent="0.3">
      <c r="A355" t="s">
        <v>1219</v>
      </c>
      <c r="B355" t="s">
        <v>1220</v>
      </c>
      <c r="C355" t="s">
        <v>1220</v>
      </c>
      <c r="D355" t="s">
        <v>20</v>
      </c>
      <c r="E355" t="s">
        <v>381</v>
      </c>
      <c r="F355">
        <v>0</v>
      </c>
      <c r="G355">
        <v>353</v>
      </c>
      <c r="H355">
        <f>IF(Table1[[#This Row],[my_ent_1]]=Table1[[#This Row],[their_ent_1]], 1, 0)</f>
        <v>1</v>
      </c>
      <c r="I355">
        <f>IF(Table1[[#This Row],[my_ent_2]]=Table1[[#This Row],[their_ent_2]], 1, 0)</f>
        <v>0</v>
      </c>
      <c r="J355">
        <f>IF(Table1[[#This Row],[same_1]]=1 &amp; Table1[[#This Row],[same_2]]=1, 1, 0)</f>
        <v>0</v>
      </c>
      <c r="K355">
        <f>IF(ISNUMBER(SEARCH(Table1[[#This Row],[their_ent_1]],Table1[[#This Row],[my_ent_1]])), 1, 0)</f>
        <v>1</v>
      </c>
      <c r="L355">
        <f>IF(ISNUMBER(SEARCH(Table1[[#This Row],[their_ent_2]],Table1[[#This Row],[my_ent_2]])), 1, 0)</f>
        <v>0</v>
      </c>
    </row>
    <row r="356" spans="1:12" x14ac:dyDescent="0.3">
      <c r="A356" t="s">
        <v>1221</v>
      </c>
      <c r="B356" t="s">
        <v>44</v>
      </c>
      <c r="C356" t="s">
        <v>1222</v>
      </c>
      <c r="D356" t="s">
        <v>900</v>
      </c>
      <c r="E356" t="s">
        <v>241</v>
      </c>
      <c r="F356">
        <v>0</v>
      </c>
      <c r="G356">
        <v>354</v>
      </c>
      <c r="H356">
        <f>IF(Table1[[#This Row],[my_ent_1]]=Table1[[#This Row],[their_ent_1]], 1, 0)</f>
        <v>0</v>
      </c>
      <c r="I356">
        <f>IF(Table1[[#This Row],[my_ent_2]]=Table1[[#This Row],[their_ent_2]], 1, 0)</f>
        <v>0</v>
      </c>
      <c r="J356">
        <f>IF(Table1[[#This Row],[same_1]]=1 &amp; Table1[[#This Row],[same_2]]=1, 1, 0)</f>
        <v>0</v>
      </c>
      <c r="K356">
        <f>IF(ISNUMBER(SEARCH(Table1[[#This Row],[their_ent_1]],Table1[[#This Row],[my_ent_1]])), 1, 0)</f>
        <v>0</v>
      </c>
      <c r="L356">
        <f>IF(ISNUMBER(SEARCH(Table1[[#This Row],[their_ent_2]],Table1[[#This Row],[my_ent_2]])), 1, 0)</f>
        <v>0</v>
      </c>
    </row>
    <row r="357" spans="1:12" x14ac:dyDescent="0.3">
      <c r="A357" t="s">
        <v>1223</v>
      </c>
      <c r="B357" t="s">
        <v>1224</v>
      </c>
      <c r="C357" t="s">
        <v>1225</v>
      </c>
      <c r="D357" t="s">
        <v>20</v>
      </c>
      <c r="E357" t="s">
        <v>20</v>
      </c>
      <c r="F357">
        <v>0</v>
      </c>
      <c r="G357">
        <v>355</v>
      </c>
      <c r="H357">
        <f>IF(Table1[[#This Row],[my_ent_1]]=Table1[[#This Row],[their_ent_1]], 1, 0)</f>
        <v>0</v>
      </c>
      <c r="I357">
        <f>IF(Table1[[#This Row],[my_ent_2]]=Table1[[#This Row],[their_ent_2]], 1, 0)</f>
        <v>1</v>
      </c>
      <c r="J357">
        <f>IF(Table1[[#This Row],[same_1]]=1 &amp; Table1[[#This Row],[same_2]]=1, 1, 0)</f>
        <v>0</v>
      </c>
      <c r="K357">
        <f>IF(ISNUMBER(SEARCH(Table1[[#This Row],[their_ent_1]],Table1[[#This Row],[my_ent_1]])), 1, 0)</f>
        <v>0</v>
      </c>
      <c r="L357">
        <f>IF(ISNUMBER(SEARCH(Table1[[#This Row],[their_ent_2]],Table1[[#This Row],[my_ent_2]])), 1, 0)</f>
        <v>1</v>
      </c>
    </row>
    <row r="358" spans="1:12" x14ac:dyDescent="0.3">
      <c r="A358" t="s">
        <v>1226</v>
      </c>
      <c r="B358" t="s">
        <v>1227</v>
      </c>
      <c r="C358" t="s">
        <v>1227</v>
      </c>
      <c r="D358" t="s">
        <v>1228</v>
      </c>
      <c r="E358" t="s">
        <v>1229</v>
      </c>
      <c r="F358">
        <v>0</v>
      </c>
      <c r="G358">
        <v>356</v>
      </c>
      <c r="H358">
        <f>IF(Table1[[#This Row],[my_ent_1]]=Table1[[#This Row],[their_ent_1]], 1, 0)</f>
        <v>1</v>
      </c>
      <c r="I358">
        <f>IF(Table1[[#This Row],[my_ent_2]]=Table1[[#This Row],[their_ent_2]], 1, 0)</f>
        <v>0</v>
      </c>
      <c r="J358">
        <f>IF(Table1[[#This Row],[same_1]]=1 &amp; Table1[[#This Row],[same_2]]=1, 1, 0)</f>
        <v>0</v>
      </c>
      <c r="K358">
        <f>IF(ISNUMBER(SEARCH(Table1[[#This Row],[their_ent_1]],Table1[[#This Row],[my_ent_1]])), 1, 0)</f>
        <v>1</v>
      </c>
      <c r="L358">
        <f>IF(ISNUMBER(SEARCH(Table1[[#This Row],[their_ent_2]],Table1[[#This Row],[my_ent_2]])), 1, 0)</f>
        <v>0</v>
      </c>
    </row>
    <row r="359" spans="1:12" x14ac:dyDescent="0.3">
      <c r="A359" t="s">
        <v>1230</v>
      </c>
      <c r="B359" t="s">
        <v>124</v>
      </c>
      <c r="C359" t="s">
        <v>465</v>
      </c>
      <c r="D359" t="s">
        <v>1007</v>
      </c>
      <c r="E359" t="s">
        <v>1007</v>
      </c>
      <c r="F359">
        <v>0</v>
      </c>
      <c r="G359">
        <v>357</v>
      </c>
      <c r="H359">
        <f>IF(Table1[[#This Row],[my_ent_1]]=Table1[[#This Row],[their_ent_1]], 1, 0)</f>
        <v>0</v>
      </c>
      <c r="I359">
        <f>IF(Table1[[#This Row],[my_ent_2]]=Table1[[#This Row],[their_ent_2]], 1, 0)</f>
        <v>1</v>
      </c>
      <c r="J359">
        <f>IF(Table1[[#This Row],[same_1]]=1 &amp; Table1[[#This Row],[same_2]]=1, 1, 0)</f>
        <v>0</v>
      </c>
      <c r="K359">
        <f>IF(ISNUMBER(SEARCH(Table1[[#This Row],[their_ent_1]],Table1[[#This Row],[my_ent_1]])), 1, 0)</f>
        <v>0</v>
      </c>
      <c r="L359">
        <f>IF(ISNUMBER(SEARCH(Table1[[#This Row],[their_ent_2]],Table1[[#This Row],[my_ent_2]])), 1, 0)</f>
        <v>1</v>
      </c>
    </row>
    <row r="360" spans="1:12" x14ac:dyDescent="0.3">
      <c r="A360" t="s">
        <v>1231</v>
      </c>
      <c r="B360" t="s">
        <v>1232</v>
      </c>
      <c r="C360" t="s">
        <v>1233</v>
      </c>
      <c r="D360" t="s">
        <v>1234</v>
      </c>
      <c r="E360" t="s">
        <v>1234</v>
      </c>
      <c r="F360">
        <v>0</v>
      </c>
      <c r="G360">
        <v>358</v>
      </c>
      <c r="H360">
        <f>IF(Table1[[#This Row],[my_ent_1]]=Table1[[#This Row],[their_ent_1]], 1, 0)</f>
        <v>0</v>
      </c>
      <c r="I360">
        <f>IF(Table1[[#This Row],[my_ent_2]]=Table1[[#This Row],[their_ent_2]], 1, 0)</f>
        <v>1</v>
      </c>
      <c r="J360">
        <f>IF(Table1[[#This Row],[same_1]]=1 &amp; Table1[[#This Row],[same_2]]=1, 1, 0)</f>
        <v>0</v>
      </c>
      <c r="K360">
        <f>IF(ISNUMBER(SEARCH(Table1[[#This Row],[their_ent_1]],Table1[[#This Row],[my_ent_1]])), 1, 0)</f>
        <v>1</v>
      </c>
      <c r="L360">
        <f>IF(ISNUMBER(SEARCH(Table1[[#This Row],[their_ent_2]],Table1[[#This Row],[my_ent_2]])), 1, 0)</f>
        <v>1</v>
      </c>
    </row>
    <row r="361" spans="1:12" x14ac:dyDescent="0.3">
      <c r="A361" t="s">
        <v>1235</v>
      </c>
      <c r="B361" t="s">
        <v>1236</v>
      </c>
      <c r="C361" t="s">
        <v>1237</v>
      </c>
      <c r="D361" t="s">
        <v>842</v>
      </c>
      <c r="E361" t="s">
        <v>1238</v>
      </c>
      <c r="F361">
        <v>0</v>
      </c>
      <c r="G361">
        <v>359</v>
      </c>
      <c r="H361">
        <f>IF(Table1[[#This Row],[my_ent_1]]=Table1[[#This Row],[their_ent_1]], 1, 0)</f>
        <v>0</v>
      </c>
      <c r="I361">
        <f>IF(Table1[[#This Row],[my_ent_2]]=Table1[[#This Row],[their_ent_2]], 1, 0)</f>
        <v>0</v>
      </c>
      <c r="J361">
        <f>IF(Table1[[#This Row],[same_1]]=1 &amp; Table1[[#This Row],[same_2]]=1, 1, 0)</f>
        <v>0</v>
      </c>
      <c r="K361">
        <f>IF(ISNUMBER(SEARCH(Table1[[#This Row],[their_ent_1]],Table1[[#This Row],[my_ent_1]])), 1, 0)</f>
        <v>0</v>
      </c>
      <c r="L361">
        <f>IF(ISNUMBER(SEARCH(Table1[[#This Row],[their_ent_2]],Table1[[#This Row],[my_ent_2]])), 1, 0)</f>
        <v>0</v>
      </c>
    </row>
    <row r="362" spans="1:12" x14ac:dyDescent="0.3">
      <c r="A362" t="s">
        <v>1239</v>
      </c>
      <c r="B362" t="s">
        <v>1240</v>
      </c>
      <c r="C362" t="s">
        <v>577</v>
      </c>
      <c r="D362" t="s">
        <v>1241</v>
      </c>
      <c r="E362" t="s">
        <v>1242</v>
      </c>
      <c r="F362">
        <v>0</v>
      </c>
      <c r="G362">
        <v>360</v>
      </c>
      <c r="H362">
        <f>IF(Table1[[#This Row],[my_ent_1]]=Table1[[#This Row],[their_ent_1]], 1, 0)</f>
        <v>0</v>
      </c>
      <c r="I362">
        <f>IF(Table1[[#This Row],[my_ent_2]]=Table1[[#This Row],[their_ent_2]], 1, 0)</f>
        <v>0</v>
      </c>
      <c r="J362">
        <f>IF(Table1[[#This Row],[same_1]]=1 &amp; Table1[[#This Row],[same_2]]=1, 1, 0)</f>
        <v>0</v>
      </c>
      <c r="K362">
        <f>IF(ISNUMBER(SEARCH(Table1[[#This Row],[their_ent_1]],Table1[[#This Row],[my_ent_1]])), 1, 0)</f>
        <v>0</v>
      </c>
      <c r="L362">
        <f>IF(ISNUMBER(SEARCH(Table1[[#This Row],[their_ent_2]],Table1[[#This Row],[my_ent_2]])), 1, 0)</f>
        <v>0</v>
      </c>
    </row>
    <row r="363" spans="1:12" x14ac:dyDescent="0.3">
      <c r="A363" t="s">
        <v>1243</v>
      </c>
      <c r="B363" t="s">
        <v>175</v>
      </c>
      <c r="C363" t="s">
        <v>1244</v>
      </c>
      <c r="D363" t="s">
        <v>202</v>
      </c>
      <c r="E363" t="s">
        <v>176</v>
      </c>
      <c r="F363">
        <v>0</v>
      </c>
      <c r="G363">
        <v>361</v>
      </c>
      <c r="H363">
        <f>IF(Table1[[#This Row],[my_ent_1]]=Table1[[#This Row],[their_ent_1]], 1, 0)</f>
        <v>0</v>
      </c>
      <c r="I363">
        <f>IF(Table1[[#This Row],[my_ent_2]]=Table1[[#This Row],[their_ent_2]], 1, 0)</f>
        <v>0</v>
      </c>
      <c r="J363">
        <f>IF(Table1[[#This Row],[same_1]]=1 &amp; Table1[[#This Row],[same_2]]=1, 1, 0)</f>
        <v>0</v>
      </c>
      <c r="K363">
        <f>IF(ISNUMBER(SEARCH(Table1[[#This Row],[their_ent_1]],Table1[[#This Row],[my_ent_1]])), 1, 0)</f>
        <v>0</v>
      </c>
      <c r="L363">
        <f>IF(ISNUMBER(SEARCH(Table1[[#This Row],[their_ent_2]],Table1[[#This Row],[my_ent_2]])), 1, 0)</f>
        <v>0</v>
      </c>
    </row>
    <row r="364" spans="1:12" x14ac:dyDescent="0.3">
      <c r="A364" t="s">
        <v>1245</v>
      </c>
      <c r="B364" t="s">
        <v>175</v>
      </c>
      <c r="C364" t="s">
        <v>932</v>
      </c>
      <c r="D364" t="s">
        <v>932</v>
      </c>
      <c r="E364" t="s">
        <v>1246</v>
      </c>
      <c r="F364">
        <v>0</v>
      </c>
      <c r="G364">
        <v>362</v>
      </c>
      <c r="H364">
        <f>IF(Table1[[#This Row],[my_ent_1]]=Table1[[#This Row],[their_ent_1]], 1, 0)</f>
        <v>0</v>
      </c>
      <c r="I364">
        <f>IF(Table1[[#This Row],[my_ent_2]]=Table1[[#This Row],[their_ent_2]], 1, 0)</f>
        <v>0</v>
      </c>
      <c r="J364">
        <f>IF(Table1[[#This Row],[same_1]]=1 &amp; Table1[[#This Row],[same_2]]=1, 1, 0)</f>
        <v>0</v>
      </c>
      <c r="K364">
        <f>IF(ISNUMBER(SEARCH(Table1[[#This Row],[their_ent_1]],Table1[[#This Row],[my_ent_1]])), 1, 0)</f>
        <v>0</v>
      </c>
      <c r="L364">
        <f>IF(ISNUMBER(SEARCH(Table1[[#This Row],[their_ent_2]],Table1[[#This Row],[my_ent_2]])), 1, 0)</f>
        <v>0</v>
      </c>
    </row>
    <row r="365" spans="1:12" x14ac:dyDescent="0.3">
      <c r="A365" t="s">
        <v>1247</v>
      </c>
      <c r="B365" t="s">
        <v>1248</v>
      </c>
      <c r="C365" t="s">
        <v>1249</v>
      </c>
      <c r="D365" t="s">
        <v>1250</v>
      </c>
      <c r="E365" t="s">
        <v>1248</v>
      </c>
      <c r="F365">
        <v>0</v>
      </c>
      <c r="G365">
        <v>363</v>
      </c>
      <c r="H365">
        <f>IF(Table1[[#This Row],[my_ent_1]]=Table1[[#This Row],[their_ent_1]], 1, 0)</f>
        <v>0</v>
      </c>
      <c r="I365">
        <f>IF(Table1[[#This Row],[my_ent_2]]=Table1[[#This Row],[their_ent_2]], 1, 0)</f>
        <v>0</v>
      </c>
      <c r="J365">
        <f>IF(Table1[[#This Row],[same_1]]=1 &amp; Table1[[#This Row],[same_2]]=1, 1, 0)</f>
        <v>0</v>
      </c>
      <c r="K365">
        <f>IF(ISNUMBER(SEARCH(Table1[[#This Row],[their_ent_1]],Table1[[#This Row],[my_ent_1]])), 1, 0)</f>
        <v>0</v>
      </c>
      <c r="L365">
        <f>IF(ISNUMBER(SEARCH(Table1[[#This Row],[their_ent_2]],Table1[[#This Row],[my_ent_2]])), 1, 0)</f>
        <v>0</v>
      </c>
    </row>
    <row r="366" spans="1:12" x14ac:dyDescent="0.3">
      <c r="A366" t="s">
        <v>1251</v>
      </c>
      <c r="B366" t="s">
        <v>1252</v>
      </c>
      <c r="C366" t="s">
        <v>1252</v>
      </c>
      <c r="D366" t="s">
        <v>78</v>
      </c>
      <c r="E366" t="s">
        <v>353</v>
      </c>
      <c r="F366">
        <v>0</v>
      </c>
      <c r="G366">
        <v>364</v>
      </c>
      <c r="H366">
        <f>IF(Table1[[#This Row],[my_ent_1]]=Table1[[#This Row],[their_ent_1]], 1, 0)</f>
        <v>1</v>
      </c>
      <c r="I366">
        <f>IF(Table1[[#This Row],[my_ent_2]]=Table1[[#This Row],[their_ent_2]], 1, 0)</f>
        <v>0</v>
      </c>
      <c r="J366">
        <f>IF(Table1[[#This Row],[same_1]]=1 &amp; Table1[[#This Row],[same_2]]=1, 1, 0)</f>
        <v>0</v>
      </c>
      <c r="K366">
        <f>IF(ISNUMBER(SEARCH(Table1[[#This Row],[their_ent_1]],Table1[[#This Row],[my_ent_1]])), 1, 0)</f>
        <v>1</v>
      </c>
      <c r="L366">
        <f>IF(ISNUMBER(SEARCH(Table1[[#This Row],[their_ent_2]],Table1[[#This Row],[my_ent_2]])), 1, 0)</f>
        <v>0</v>
      </c>
    </row>
    <row r="367" spans="1:12" x14ac:dyDescent="0.3">
      <c r="A367" t="s">
        <v>1253</v>
      </c>
      <c r="B367" t="s">
        <v>1254</v>
      </c>
      <c r="C367" t="s">
        <v>1255</v>
      </c>
      <c r="D367" t="s">
        <v>20</v>
      </c>
      <c r="E367" t="s">
        <v>31</v>
      </c>
      <c r="F367">
        <v>0</v>
      </c>
      <c r="G367">
        <v>365</v>
      </c>
      <c r="H367">
        <f>IF(Table1[[#This Row],[my_ent_1]]=Table1[[#This Row],[their_ent_1]], 1, 0)</f>
        <v>0</v>
      </c>
      <c r="I367">
        <f>IF(Table1[[#This Row],[my_ent_2]]=Table1[[#This Row],[their_ent_2]], 1, 0)</f>
        <v>0</v>
      </c>
      <c r="J367">
        <f>IF(Table1[[#This Row],[same_1]]=1 &amp; Table1[[#This Row],[same_2]]=1, 1, 0)</f>
        <v>0</v>
      </c>
      <c r="K367">
        <f>IF(ISNUMBER(SEARCH(Table1[[#This Row],[their_ent_1]],Table1[[#This Row],[my_ent_1]])), 1, 0)</f>
        <v>0</v>
      </c>
      <c r="L367">
        <f>IF(ISNUMBER(SEARCH(Table1[[#This Row],[their_ent_2]],Table1[[#This Row],[my_ent_2]])), 1, 0)</f>
        <v>0</v>
      </c>
    </row>
    <row r="368" spans="1:12" x14ac:dyDescent="0.3">
      <c r="A368" t="s">
        <v>1256</v>
      </c>
      <c r="B368" t="s">
        <v>1257</v>
      </c>
      <c r="C368" t="s">
        <v>1257</v>
      </c>
      <c r="D368" t="s">
        <v>450</v>
      </c>
      <c r="E368" t="s">
        <v>353</v>
      </c>
      <c r="F368">
        <v>0</v>
      </c>
      <c r="G368">
        <v>366</v>
      </c>
      <c r="H368">
        <f>IF(Table1[[#This Row],[my_ent_1]]=Table1[[#This Row],[their_ent_1]], 1, 0)</f>
        <v>1</v>
      </c>
      <c r="I368">
        <f>IF(Table1[[#This Row],[my_ent_2]]=Table1[[#This Row],[their_ent_2]], 1, 0)</f>
        <v>0</v>
      </c>
      <c r="J368">
        <f>IF(Table1[[#This Row],[same_1]]=1 &amp; Table1[[#This Row],[same_2]]=1, 1, 0)</f>
        <v>0</v>
      </c>
      <c r="K368">
        <f>IF(ISNUMBER(SEARCH(Table1[[#This Row],[their_ent_1]],Table1[[#This Row],[my_ent_1]])), 1, 0)</f>
        <v>1</v>
      </c>
      <c r="L368">
        <f>IF(ISNUMBER(SEARCH(Table1[[#This Row],[their_ent_2]],Table1[[#This Row],[my_ent_2]])), 1, 0)</f>
        <v>0</v>
      </c>
    </row>
    <row r="369" spans="1:12" x14ac:dyDescent="0.3">
      <c r="A369" t="s">
        <v>1258</v>
      </c>
      <c r="B369" t="s">
        <v>1259</v>
      </c>
      <c r="C369" t="s">
        <v>1260</v>
      </c>
      <c r="D369" t="s">
        <v>1261</v>
      </c>
      <c r="E369" t="s">
        <v>1261</v>
      </c>
      <c r="F369">
        <v>0</v>
      </c>
      <c r="G369">
        <v>367</v>
      </c>
      <c r="H369">
        <f>IF(Table1[[#This Row],[my_ent_1]]=Table1[[#This Row],[their_ent_1]], 1, 0)</f>
        <v>0</v>
      </c>
      <c r="I369">
        <f>IF(Table1[[#This Row],[my_ent_2]]=Table1[[#This Row],[their_ent_2]], 1, 0)</f>
        <v>1</v>
      </c>
      <c r="J369">
        <f>IF(Table1[[#This Row],[same_1]]=1 &amp; Table1[[#This Row],[same_2]]=1, 1, 0)</f>
        <v>0</v>
      </c>
      <c r="K369">
        <f>IF(ISNUMBER(SEARCH(Table1[[#This Row],[their_ent_1]],Table1[[#This Row],[my_ent_1]])), 1, 0)</f>
        <v>1</v>
      </c>
      <c r="L369">
        <f>IF(ISNUMBER(SEARCH(Table1[[#This Row],[their_ent_2]],Table1[[#This Row],[my_ent_2]])), 1, 0)</f>
        <v>1</v>
      </c>
    </row>
    <row r="370" spans="1:12" x14ac:dyDescent="0.3">
      <c r="A370" t="s">
        <v>1262</v>
      </c>
      <c r="B370" t="s">
        <v>1263</v>
      </c>
      <c r="C370" t="s">
        <v>1264</v>
      </c>
      <c r="D370" t="s">
        <v>613</v>
      </c>
      <c r="E370" t="s">
        <v>1265</v>
      </c>
      <c r="F370">
        <v>0</v>
      </c>
      <c r="G370">
        <v>368</v>
      </c>
      <c r="H370">
        <f>IF(Table1[[#This Row],[my_ent_1]]=Table1[[#This Row],[their_ent_1]], 1, 0)</f>
        <v>0</v>
      </c>
      <c r="I370">
        <f>IF(Table1[[#This Row],[my_ent_2]]=Table1[[#This Row],[their_ent_2]], 1, 0)</f>
        <v>0</v>
      </c>
      <c r="J370">
        <f>IF(Table1[[#This Row],[same_1]]=1 &amp; Table1[[#This Row],[same_2]]=1, 1, 0)</f>
        <v>0</v>
      </c>
      <c r="K370">
        <f>IF(ISNUMBER(SEARCH(Table1[[#This Row],[their_ent_1]],Table1[[#This Row],[my_ent_1]])), 1, 0)</f>
        <v>0</v>
      </c>
      <c r="L370">
        <f>IF(ISNUMBER(SEARCH(Table1[[#This Row],[their_ent_2]],Table1[[#This Row],[my_ent_2]])), 1, 0)</f>
        <v>0</v>
      </c>
    </row>
    <row r="371" spans="1:12" x14ac:dyDescent="0.3">
      <c r="A371" t="s">
        <v>1266</v>
      </c>
      <c r="B371" t="s">
        <v>175</v>
      </c>
      <c r="C371" t="s">
        <v>176</v>
      </c>
      <c r="D371" t="s">
        <v>78</v>
      </c>
      <c r="E371" t="s">
        <v>78</v>
      </c>
      <c r="F371">
        <v>0</v>
      </c>
      <c r="G371">
        <v>369</v>
      </c>
      <c r="H371">
        <f>IF(Table1[[#This Row],[my_ent_1]]=Table1[[#This Row],[their_ent_1]], 1, 0)</f>
        <v>0</v>
      </c>
      <c r="I371">
        <f>IF(Table1[[#This Row],[my_ent_2]]=Table1[[#This Row],[their_ent_2]], 1, 0)</f>
        <v>1</v>
      </c>
      <c r="J371">
        <f>IF(Table1[[#This Row],[same_1]]=1 &amp; Table1[[#This Row],[same_2]]=1, 1, 0)</f>
        <v>0</v>
      </c>
      <c r="K371">
        <f>IF(ISNUMBER(SEARCH(Table1[[#This Row],[their_ent_1]],Table1[[#This Row],[my_ent_1]])), 1, 0)</f>
        <v>1</v>
      </c>
      <c r="L371">
        <f>IF(ISNUMBER(SEARCH(Table1[[#This Row],[their_ent_2]],Table1[[#This Row],[my_ent_2]])), 1, 0)</f>
        <v>1</v>
      </c>
    </row>
    <row r="372" spans="1:12" x14ac:dyDescent="0.3">
      <c r="A372" t="s">
        <v>1267</v>
      </c>
      <c r="B372" t="s">
        <v>1268</v>
      </c>
      <c r="C372" t="s">
        <v>1269</v>
      </c>
      <c r="D372" t="s">
        <v>1270</v>
      </c>
      <c r="E372" t="s">
        <v>1271</v>
      </c>
      <c r="F372">
        <v>0</v>
      </c>
      <c r="G372">
        <v>370</v>
      </c>
      <c r="H372">
        <f>IF(Table1[[#This Row],[my_ent_1]]=Table1[[#This Row],[their_ent_1]], 1, 0)</f>
        <v>0</v>
      </c>
      <c r="I372">
        <f>IF(Table1[[#This Row],[my_ent_2]]=Table1[[#This Row],[their_ent_2]], 1, 0)</f>
        <v>0</v>
      </c>
      <c r="J372">
        <f>IF(Table1[[#This Row],[same_1]]=1 &amp; Table1[[#This Row],[same_2]]=1, 1, 0)</f>
        <v>0</v>
      </c>
      <c r="K372">
        <f>IF(ISNUMBER(SEARCH(Table1[[#This Row],[their_ent_1]],Table1[[#This Row],[my_ent_1]])), 1, 0)</f>
        <v>0</v>
      </c>
      <c r="L372">
        <f>IF(ISNUMBER(SEARCH(Table1[[#This Row],[their_ent_2]],Table1[[#This Row],[my_ent_2]])), 1, 0)</f>
        <v>0</v>
      </c>
    </row>
    <row r="373" spans="1:12" x14ac:dyDescent="0.3">
      <c r="A373" t="s">
        <v>1272</v>
      </c>
      <c r="B373" t="s">
        <v>1273</v>
      </c>
      <c r="C373" t="s">
        <v>1273</v>
      </c>
      <c r="D373" t="s">
        <v>1274</v>
      </c>
      <c r="E373" t="s">
        <v>1275</v>
      </c>
      <c r="F373">
        <v>0</v>
      </c>
      <c r="G373">
        <v>371</v>
      </c>
      <c r="H373">
        <f>IF(Table1[[#This Row],[my_ent_1]]=Table1[[#This Row],[their_ent_1]], 1, 0)</f>
        <v>1</v>
      </c>
      <c r="I373">
        <f>IF(Table1[[#This Row],[my_ent_2]]=Table1[[#This Row],[their_ent_2]], 1, 0)</f>
        <v>0</v>
      </c>
      <c r="J373">
        <f>IF(Table1[[#This Row],[same_1]]=1 &amp; Table1[[#This Row],[same_2]]=1, 1, 0)</f>
        <v>0</v>
      </c>
      <c r="K373">
        <f>IF(ISNUMBER(SEARCH(Table1[[#This Row],[their_ent_1]],Table1[[#This Row],[my_ent_1]])), 1, 0)</f>
        <v>1</v>
      </c>
      <c r="L373">
        <f>IF(ISNUMBER(SEARCH(Table1[[#This Row],[their_ent_2]],Table1[[#This Row],[my_ent_2]])), 1, 0)</f>
        <v>0</v>
      </c>
    </row>
    <row r="374" spans="1:12" x14ac:dyDescent="0.3">
      <c r="A374" t="s">
        <v>1276</v>
      </c>
      <c r="B374" t="s">
        <v>1277</v>
      </c>
      <c r="C374" t="s">
        <v>1278</v>
      </c>
      <c r="D374" t="s">
        <v>1279</v>
      </c>
      <c r="E374" t="s">
        <v>1279</v>
      </c>
      <c r="F374">
        <v>0</v>
      </c>
      <c r="G374">
        <v>372</v>
      </c>
      <c r="H374">
        <f>IF(Table1[[#This Row],[my_ent_1]]=Table1[[#This Row],[their_ent_1]], 1, 0)</f>
        <v>0</v>
      </c>
      <c r="I374">
        <f>IF(Table1[[#This Row],[my_ent_2]]=Table1[[#This Row],[their_ent_2]], 1, 0)</f>
        <v>1</v>
      </c>
      <c r="J374">
        <f>IF(Table1[[#This Row],[same_1]]=1 &amp; Table1[[#This Row],[same_2]]=1, 1, 0)</f>
        <v>0</v>
      </c>
      <c r="K374">
        <f>IF(ISNUMBER(SEARCH(Table1[[#This Row],[their_ent_1]],Table1[[#This Row],[my_ent_1]])), 1, 0)</f>
        <v>0</v>
      </c>
      <c r="L374">
        <f>IF(ISNUMBER(SEARCH(Table1[[#This Row],[their_ent_2]],Table1[[#This Row],[my_ent_2]])), 1, 0)</f>
        <v>1</v>
      </c>
    </row>
    <row r="375" spans="1:12" x14ac:dyDescent="0.3">
      <c r="A375" t="s">
        <v>1280</v>
      </c>
      <c r="B375" t="s">
        <v>1281</v>
      </c>
      <c r="C375" t="s">
        <v>1282</v>
      </c>
      <c r="D375" t="s">
        <v>1283</v>
      </c>
      <c r="E375" t="s">
        <v>1284</v>
      </c>
      <c r="F375">
        <v>0</v>
      </c>
      <c r="G375">
        <v>373</v>
      </c>
      <c r="H375">
        <f>IF(Table1[[#This Row],[my_ent_1]]=Table1[[#This Row],[their_ent_1]], 1, 0)</f>
        <v>0</v>
      </c>
      <c r="I375">
        <f>IF(Table1[[#This Row],[my_ent_2]]=Table1[[#This Row],[their_ent_2]], 1, 0)</f>
        <v>0</v>
      </c>
      <c r="J375">
        <f>IF(Table1[[#This Row],[same_1]]=1 &amp; Table1[[#This Row],[same_2]]=1, 1, 0)</f>
        <v>0</v>
      </c>
      <c r="K375">
        <f>IF(ISNUMBER(SEARCH(Table1[[#This Row],[their_ent_1]],Table1[[#This Row],[my_ent_1]])), 1, 0)</f>
        <v>0</v>
      </c>
      <c r="L375">
        <f>IF(ISNUMBER(SEARCH(Table1[[#This Row],[their_ent_2]],Table1[[#This Row],[my_ent_2]])), 1, 0)</f>
        <v>0</v>
      </c>
    </row>
    <row r="376" spans="1:12" x14ac:dyDescent="0.3">
      <c r="A376" t="s">
        <v>1285</v>
      </c>
      <c r="B376" t="s">
        <v>1286</v>
      </c>
      <c r="C376" t="s">
        <v>1287</v>
      </c>
      <c r="D376" t="s">
        <v>59</v>
      </c>
      <c r="E376" t="s">
        <v>1288</v>
      </c>
      <c r="F376">
        <v>0</v>
      </c>
      <c r="G376">
        <v>374</v>
      </c>
      <c r="H376">
        <f>IF(Table1[[#This Row],[my_ent_1]]=Table1[[#This Row],[their_ent_1]], 1, 0)</f>
        <v>0</v>
      </c>
      <c r="I376">
        <f>IF(Table1[[#This Row],[my_ent_2]]=Table1[[#This Row],[their_ent_2]], 1, 0)</f>
        <v>0</v>
      </c>
      <c r="J376">
        <f>IF(Table1[[#This Row],[same_1]]=1 &amp; Table1[[#This Row],[same_2]]=1, 1, 0)</f>
        <v>0</v>
      </c>
      <c r="K376">
        <f>IF(ISNUMBER(SEARCH(Table1[[#This Row],[their_ent_1]],Table1[[#This Row],[my_ent_1]])), 1, 0)</f>
        <v>0</v>
      </c>
      <c r="L376">
        <f>IF(ISNUMBER(SEARCH(Table1[[#This Row],[their_ent_2]],Table1[[#This Row],[my_ent_2]])), 1, 0)</f>
        <v>0</v>
      </c>
    </row>
    <row r="377" spans="1:12" x14ac:dyDescent="0.3">
      <c r="A377" t="s">
        <v>1289</v>
      </c>
      <c r="B377" t="s">
        <v>1290</v>
      </c>
      <c r="C377" t="s">
        <v>1291</v>
      </c>
      <c r="D377" t="s">
        <v>1292</v>
      </c>
      <c r="E377" t="s">
        <v>1290</v>
      </c>
      <c r="F377">
        <v>0</v>
      </c>
      <c r="G377">
        <v>375</v>
      </c>
      <c r="H377">
        <f>IF(Table1[[#This Row],[my_ent_1]]=Table1[[#This Row],[their_ent_1]], 1, 0)</f>
        <v>0</v>
      </c>
      <c r="I377">
        <f>IF(Table1[[#This Row],[my_ent_2]]=Table1[[#This Row],[their_ent_2]], 1, 0)</f>
        <v>0</v>
      </c>
      <c r="J377">
        <f>IF(Table1[[#This Row],[same_1]]=1 &amp; Table1[[#This Row],[same_2]]=1, 1, 0)</f>
        <v>0</v>
      </c>
      <c r="K377">
        <f>IF(ISNUMBER(SEARCH(Table1[[#This Row],[their_ent_1]],Table1[[#This Row],[my_ent_1]])), 1, 0)</f>
        <v>0</v>
      </c>
      <c r="L377">
        <f>IF(ISNUMBER(SEARCH(Table1[[#This Row],[their_ent_2]],Table1[[#This Row],[my_ent_2]])), 1, 0)</f>
        <v>0</v>
      </c>
    </row>
    <row r="378" spans="1:12" x14ac:dyDescent="0.3">
      <c r="A378" t="s">
        <v>1293</v>
      </c>
      <c r="B378" t="s">
        <v>1294</v>
      </c>
      <c r="C378" t="s">
        <v>1295</v>
      </c>
      <c r="D378" t="s">
        <v>1295</v>
      </c>
      <c r="E378" t="s">
        <v>1296</v>
      </c>
      <c r="F378">
        <v>0</v>
      </c>
      <c r="G378">
        <v>376</v>
      </c>
      <c r="H378">
        <f>IF(Table1[[#This Row],[my_ent_1]]=Table1[[#This Row],[their_ent_1]], 1, 0)</f>
        <v>0</v>
      </c>
      <c r="I378">
        <f>IF(Table1[[#This Row],[my_ent_2]]=Table1[[#This Row],[their_ent_2]], 1, 0)</f>
        <v>0</v>
      </c>
      <c r="J378">
        <f>IF(Table1[[#This Row],[same_1]]=1 &amp; Table1[[#This Row],[same_2]]=1, 1, 0)</f>
        <v>0</v>
      </c>
      <c r="K378">
        <f>IF(ISNUMBER(SEARCH(Table1[[#This Row],[their_ent_1]],Table1[[#This Row],[my_ent_1]])), 1, 0)</f>
        <v>0</v>
      </c>
      <c r="L378">
        <f>IF(ISNUMBER(SEARCH(Table1[[#This Row],[their_ent_2]],Table1[[#This Row],[my_ent_2]])), 1, 0)</f>
        <v>0</v>
      </c>
    </row>
    <row r="379" spans="1:12" x14ac:dyDescent="0.3">
      <c r="A379" t="s">
        <v>1297</v>
      </c>
      <c r="B379" t="s">
        <v>1298</v>
      </c>
      <c r="C379" t="s">
        <v>704</v>
      </c>
      <c r="D379" t="s">
        <v>1299</v>
      </c>
      <c r="E379" t="s">
        <v>1299</v>
      </c>
      <c r="F379">
        <v>0</v>
      </c>
      <c r="G379">
        <v>377</v>
      </c>
      <c r="H379">
        <f>IF(Table1[[#This Row],[my_ent_1]]=Table1[[#This Row],[their_ent_1]], 1, 0)</f>
        <v>0</v>
      </c>
      <c r="I379">
        <f>IF(Table1[[#This Row],[my_ent_2]]=Table1[[#This Row],[their_ent_2]], 1, 0)</f>
        <v>1</v>
      </c>
      <c r="J379">
        <f>IF(Table1[[#This Row],[same_1]]=1 &amp; Table1[[#This Row],[same_2]]=1, 1, 0)</f>
        <v>0</v>
      </c>
      <c r="K379">
        <f>IF(ISNUMBER(SEARCH(Table1[[#This Row],[their_ent_1]],Table1[[#This Row],[my_ent_1]])), 1, 0)</f>
        <v>1</v>
      </c>
      <c r="L379">
        <f>IF(ISNUMBER(SEARCH(Table1[[#This Row],[their_ent_2]],Table1[[#This Row],[my_ent_2]])), 1, 0)</f>
        <v>1</v>
      </c>
    </row>
    <row r="380" spans="1:12" x14ac:dyDescent="0.3">
      <c r="A380" t="s">
        <v>1300</v>
      </c>
      <c r="B380" t="s">
        <v>30</v>
      </c>
      <c r="C380" t="s">
        <v>30</v>
      </c>
      <c r="D380" t="s">
        <v>1301</v>
      </c>
      <c r="E380" t="s">
        <v>1302</v>
      </c>
      <c r="F380">
        <v>0</v>
      </c>
      <c r="G380">
        <v>378</v>
      </c>
      <c r="H380">
        <f>IF(Table1[[#This Row],[my_ent_1]]=Table1[[#This Row],[their_ent_1]], 1, 0)</f>
        <v>1</v>
      </c>
      <c r="I380">
        <f>IF(Table1[[#This Row],[my_ent_2]]=Table1[[#This Row],[their_ent_2]], 1, 0)</f>
        <v>0</v>
      </c>
      <c r="J380">
        <f>IF(Table1[[#This Row],[same_1]]=1 &amp; Table1[[#This Row],[same_2]]=1, 1, 0)</f>
        <v>0</v>
      </c>
      <c r="K380">
        <f>IF(ISNUMBER(SEARCH(Table1[[#This Row],[their_ent_1]],Table1[[#This Row],[my_ent_1]])), 1, 0)</f>
        <v>1</v>
      </c>
      <c r="L380">
        <f>IF(ISNUMBER(SEARCH(Table1[[#This Row],[their_ent_2]],Table1[[#This Row],[my_ent_2]])), 1, 0)</f>
        <v>0</v>
      </c>
    </row>
    <row r="381" spans="1:12" x14ac:dyDescent="0.3">
      <c r="A381" t="s">
        <v>1303</v>
      </c>
      <c r="B381" t="s">
        <v>1304</v>
      </c>
      <c r="C381" t="s">
        <v>1305</v>
      </c>
      <c r="D381" t="s">
        <v>252</v>
      </c>
      <c r="E381" t="s">
        <v>1306</v>
      </c>
      <c r="F381">
        <v>0</v>
      </c>
      <c r="G381">
        <v>379</v>
      </c>
      <c r="H381">
        <f>IF(Table1[[#This Row],[my_ent_1]]=Table1[[#This Row],[their_ent_1]], 1, 0)</f>
        <v>0</v>
      </c>
      <c r="I381">
        <f>IF(Table1[[#This Row],[my_ent_2]]=Table1[[#This Row],[their_ent_2]], 1, 0)</f>
        <v>0</v>
      </c>
      <c r="J381">
        <f>IF(Table1[[#This Row],[same_1]]=1 &amp; Table1[[#This Row],[same_2]]=1, 1, 0)</f>
        <v>0</v>
      </c>
      <c r="K381">
        <f>IF(ISNUMBER(SEARCH(Table1[[#This Row],[their_ent_1]],Table1[[#This Row],[my_ent_1]])), 1, 0)</f>
        <v>0</v>
      </c>
      <c r="L381">
        <f>IF(ISNUMBER(SEARCH(Table1[[#This Row],[their_ent_2]],Table1[[#This Row],[my_ent_2]])), 1, 0)</f>
        <v>0</v>
      </c>
    </row>
    <row r="382" spans="1:12" x14ac:dyDescent="0.3">
      <c r="A382" t="s">
        <v>1307</v>
      </c>
      <c r="B382" t="s">
        <v>1308</v>
      </c>
      <c r="C382" t="s">
        <v>1309</v>
      </c>
      <c r="D382" t="s">
        <v>1309</v>
      </c>
      <c r="E382" t="s">
        <v>1310</v>
      </c>
      <c r="F382">
        <v>0</v>
      </c>
      <c r="G382">
        <v>380</v>
      </c>
      <c r="H382">
        <f>IF(Table1[[#This Row],[my_ent_1]]=Table1[[#This Row],[their_ent_1]], 1, 0)</f>
        <v>0</v>
      </c>
      <c r="I382">
        <f>IF(Table1[[#This Row],[my_ent_2]]=Table1[[#This Row],[their_ent_2]], 1, 0)</f>
        <v>0</v>
      </c>
      <c r="J382">
        <f>IF(Table1[[#This Row],[same_1]]=1 &amp; Table1[[#This Row],[same_2]]=1, 1, 0)</f>
        <v>0</v>
      </c>
      <c r="K382">
        <f>IF(ISNUMBER(SEARCH(Table1[[#This Row],[their_ent_1]],Table1[[#This Row],[my_ent_1]])), 1, 0)</f>
        <v>0</v>
      </c>
      <c r="L382">
        <f>IF(ISNUMBER(SEARCH(Table1[[#This Row],[their_ent_2]],Table1[[#This Row],[my_ent_2]])), 1, 0)</f>
        <v>0</v>
      </c>
    </row>
    <row r="383" spans="1:12" x14ac:dyDescent="0.3">
      <c r="A383" t="s">
        <v>1311</v>
      </c>
      <c r="B383" t="s">
        <v>1312</v>
      </c>
      <c r="C383" t="s">
        <v>1312</v>
      </c>
      <c r="D383" t="s">
        <v>1313</v>
      </c>
      <c r="E383" t="s">
        <v>1314</v>
      </c>
      <c r="F383">
        <v>0</v>
      </c>
      <c r="G383">
        <v>381</v>
      </c>
      <c r="H383">
        <f>IF(Table1[[#This Row],[my_ent_1]]=Table1[[#This Row],[their_ent_1]], 1, 0)</f>
        <v>1</v>
      </c>
      <c r="I383">
        <f>IF(Table1[[#This Row],[my_ent_2]]=Table1[[#This Row],[their_ent_2]], 1, 0)</f>
        <v>0</v>
      </c>
      <c r="J383">
        <f>IF(Table1[[#This Row],[same_1]]=1 &amp; Table1[[#This Row],[same_2]]=1, 1, 0)</f>
        <v>0</v>
      </c>
      <c r="K383">
        <f>IF(ISNUMBER(SEARCH(Table1[[#This Row],[their_ent_1]],Table1[[#This Row],[my_ent_1]])), 1, 0)</f>
        <v>1</v>
      </c>
      <c r="L383">
        <f>IF(ISNUMBER(SEARCH(Table1[[#This Row],[their_ent_2]],Table1[[#This Row],[my_ent_2]])), 1, 0)</f>
        <v>0</v>
      </c>
    </row>
    <row r="384" spans="1:12" x14ac:dyDescent="0.3">
      <c r="A384" t="s">
        <v>1315</v>
      </c>
      <c r="B384" t="s">
        <v>1316</v>
      </c>
      <c r="C384" t="s">
        <v>1316</v>
      </c>
      <c r="D384" t="s">
        <v>1317</v>
      </c>
      <c r="E384" t="s">
        <v>1318</v>
      </c>
      <c r="F384">
        <v>0</v>
      </c>
      <c r="G384">
        <v>382</v>
      </c>
      <c r="H384">
        <f>IF(Table1[[#This Row],[my_ent_1]]=Table1[[#This Row],[their_ent_1]], 1, 0)</f>
        <v>1</v>
      </c>
      <c r="I384">
        <f>IF(Table1[[#This Row],[my_ent_2]]=Table1[[#This Row],[their_ent_2]], 1, 0)</f>
        <v>0</v>
      </c>
      <c r="J384">
        <f>IF(Table1[[#This Row],[same_1]]=1 &amp; Table1[[#This Row],[same_2]]=1, 1, 0)</f>
        <v>0</v>
      </c>
      <c r="K384">
        <f>IF(ISNUMBER(SEARCH(Table1[[#This Row],[their_ent_1]],Table1[[#This Row],[my_ent_1]])), 1, 0)</f>
        <v>1</v>
      </c>
      <c r="L384">
        <f>IF(ISNUMBER(SEARCH(Table1[[#This Row],[their_ent_2]],Table1[[#This Row],[my_ent_2]])), 1, 0)</f>
        <v>1</v>
      </c>
    </row>
    <row r="385" spans="1:12" x14ac:dyDescent="0.3">
      <c r="A385" t="s">
        <v>1319</v>
      </c>
      <c r="B385" t="s">
        <v>1320</v>
      </c>
      <c r="C385" t="s">
        <v>54</v>
      </c>
      <c r="D385" t="s">
        <v>161</v>
      </c>
      <c r="E385" t="s">
        <v>161</v>
      </c>
      <c r="F385">
        <v>0</v>
      </c>
      <c r="G385">
        <v>383</v>
      </c>
      <c r="H385">
        <f>IF(Table1[[#This Row],[my_ent_1]]=Table1[[#This Row],[their_ent_1]], 1, 0)</f>
        <v>0</v>
      </c>
      <c r="I385">
        <f>IF(Table1[[#This Row],[my_ent_2]]=Table1[[#This Row],[their_ent_2]], 1, 0)</f>
        <v>1</v>
      </c>
      <c r="J385">
        <f>IF(Table1[[#This Row],[same_1]]=1 &amp; Table1[[#This Row],[same_2]]=1, 1, 0)</f>
        <v>0</v>
      </c>
      <c r="K385">
        <f>IF(ISNUMBER(SEARCH(Table1[[#This Row],[their_ent_1]],Table1[[#This Row],[my_ent_1]])), 1, 0)</f>
        <v>0</v>
      </c>
      <c r="L385">
        <f>IF(ISNUMBER(SEARCH(Table1[[#This Row],[their_ent_2]],Table1[[#This Row],[my_ent_2]])), 1, 0)</f>
        <v>1</v>
      </c>
    </row>
    <row r="386" spans="1:12" x14ac:dyDescent="0.3">
      <c r="A386" t="s">
        <v>1321</v>
      </c>
      <c r="B386" t="s">
        <v>1322</v>
      </c>
      <c r="C386" t="s">
        <v>1322</v>
      </c>
      <c r="D386" t="s">
        <v>1323</v>
      </c>
      <c r="E386" t="s">
        <v>1324</v>
      </c>
      <c r="F386">
        <v>0</v>
      </c>
      <c r="G386">
        <v>384</v>
      </c>
      <c r="H386">
        <f>IF(Table1[[#This Row],[my_ent_1]]=Table1[[#This Row],[their_ent_1]], 1, 0)</f>
        <v>1</v>
      </c>
      <c r="I386">
        <f>IF(Table1[[#This Row],[my_ent_2]]=Table1[[#This Row],[their_ent_2]], 1, 0)</f>
        <v>0</v>
      </c>
      <c r="J386">
        <f>IF(Table1[[#This Row],[same_1]]=1 &amp; Table1[[#This Row],[same_2]]=1, 1, 0)</f>
        <v>0</v>
      </c>
      <c r="K386">
        <f>IF(ISNUMBER(SEARCH(Table1[[#This Row],[their_ent_1]],Table1[[#This Row],[my_ent_1]])), 1, 0)</f>
        <v>1</v>
      </c>
      <c r="L386">
        <f>IF(ISNUMBER(SEARCH(Table1[[#This Row],[their_ent_2]],Table1[[#This Row],[my_ent_2]])), 1, 0)</f>
        <v>0</v>
      </c>
    </row>
    <row r="387" spans="1:12" x14ac:dyDescent="0.3">
      <c r="A387" t="s">
        <v>1325</v>
      </c>
      <c r="B387" t="s">
        <v>1326</v>
      </c>
      <c r="C387" t="s">
        <v>1326</v>
      </c>
      <c r="D387" t="s">
        <v>124</v>
      </c>
      <c r="E387" t="s">
        <v>30</v>
      </c>
      <c r="F387">
        <v>0</v>
      </c>
      <c r="G387">
        <v>385</v>
      </c>
      <c r="H387">
        <f>IF(Table1[[#This Row],[my_ent_1]]=Table1[[#This Row],[their_ent_1]], 1, 0)</f>
        <v>1</v>
      </c>
      <c r="I387">
        <f>IF(Table1[[#This Row],[my_ent_2]]=Table1[[#This Row],[their_ent_2]], 1, 0)</f>
        <v>0</v>
      </c>
      <c r="J387">
        <f>IF(Table1[[#This Row],[same_1]]=1 &amp; Table1[[#This Row],[same_2]]=1, 1, 0)</f>
        <v>0</v>
      </c>
      <c r="K387">
        <f>IF(ISNUMBER(SEARCH(Table1[[#This Row],[their_ent_1]],Table1[[#This Row],[my_ent_1]])), 1, 0)</f>
        <v>1</v>
      </c>
      <c r="L387">
        <f>IF(ISNUMBER(SEARCH(Table1[[#This Row],[their_ent_2]],Table1[[#This Row],[my_ent_2]])), 1, 0)</f>
        <v>1</v>
      </c>
    </row>
    <row r="388" spans="1:12" x14ac:dyDescent="0.3">
      <c r="A388" t="s">
        <v>1327</v>
      </c>
      <c r="B388" t="s">
        <v>1328</v>
      </c>
      <c r="C388" t="s">
        <v>203</v>
      </c>
      <c r="D388" t="s">
        <v>20</v>
      </c>
      <c r="E388" t="s">
        <v>127</v>
      </c>
      <c r="F388">
        <v>0</v>
      </c>
      <c r="G388">
        <v>386</v>
      </c>
      <c r="H388">
        <f>IF(Table1[[#This Row],[my_ent_1]]=Table1[[#This Row],[their_ent_1]], 1, 0)</f>
        <v>0</v>
      </c>
      <c r="I388">
        <f>IF(Table1[[#This Row],[my_ent_2]]=Table1[[#This Row],[their_ent_2]], 1, 0)</f>
        <v>0</v>
      </c>
      <c r="J388">
        <f>IF(Table1[[#This Row],[same_1]]=1 &amp; Table1[[#This Row],[same_2]]=1, 1, 0)</f>
        <v>0</v>
      </c>
      <c r="K388">
        <f>IF(ISNUMBER(SEARCH(Table1[[#This Row],[their_ent_1]],Table1[[#This Row],[my_ent_1]])), 1, 0)</f>
        <v>0</v>
      </c>
      <c r="L388">
        <f>IF(ISNUMBER(SEARCH(Table1[[#This Row],[their_ent_2]],Table1[[#This Row],[my_ent_2]])), 1, 0)</f>
        <v>0</v>
      </c>
    </row>
    <row r="389" spans="1:12" x14ac:dyDescent="0.3">
      <c r="A389" t="s">
        <v>1329</v>
      </c>
      <c r="B389" t="s">
        <v>323</v>
      </c>
      <c r="C389" t="s">
        <v>860</v>
      </c>
      <c r="D389" t="s">
        <v>860</v>
      </c>
      <c r="E389" t="s">
        <v>44</v>
      </c>
      <c r="F389">
        <v>0</v>
      </c>
      <c r="G389">
        <v>387</v>
      </c>
      <c r="H389">
        <f>IF(Table1[[#This Row],[my_ent_1]]=Table1[[#This Row],[their_ent_1]], 1, 0)</f>
        <v>0</v>
      </c>
      <c r="I389">
        <f>IF(Table1[[#This Row],[my_ent_2]]=Table1[[#This Row],[their_ent_2]], 1, 0)</f>
        <v>0</v>
      </c>
      <c r="J389">
        <f>IF(Table1[[#This Row],[same_1]]=1 &amp; Table1[[#This Row],[same_2]]=1, 1, 0)</f>
        <v>0</v>
      </c>
      <c r="K389">
        <f>IF(ISNUMBER(SEARCH(Table1[[#This Row],[their_ent_1]],Table1[[#This Row],[my_ent_1]])), 1, 0)</f>
        <v>0</v>
      </c>
      <c r="L389">
        <f>IF(ISNUMBER(SEARCH(Table1[[#This Row],[their_ent_2]],Table1[[#This Row],[my_ent_2]])), 1, 0)</f>
        <v>0</v>
      </c>
    </row>
    <row r="390" spans="1:12" x14ac:dyDescent="0.3">
      <c r="A390" t="s">
        <v>1330</v>
      </c>
      <c r="B390" t="s">
        <v>260</v>
      </c>
      <c r="C390" t="s">
        <v>405</v>
      </c>
      <c r="D390" t="s">
        <v>467</v>
      </c>
      <c r="E390" t="s">
        <v>1331</v>
      </c>
      <c r="F390">
        <v>0</v>
      </c>
      <c r="G390">
        <v>388</v>
      </c>
      <c r="H390">
        <f>IF(Table1[[#This Row],[my_ent_1]]=Table1[[#This Row],[their_ent_1]], 1, 0)</f>
        <v>0</v>
      </c>
      <c r="I390">
        <f>IF(Table1[[#This Row],[my_ent_2]]=Table1[[#This Row],[their_ent_2]], 1, 0)</f>
        <v>0</v>
      </c>
      <c r="J390">
        <f>IF(Table1[[#This Row],[same_1]]=1 &amp; Table1[[#This Row],[same_2]]=1, 1, 0)</f>
        <v>0</v>
      </c>
      <c r="K390">
        <f>IF(ISNUMBER(SEARCH(Table1[[#This Row],[their_ent_1]],Table1[[#This Row],[my_ent_1]])), 1, 0)</f>
        <v>1</v>
      </c>
      <c r="L390">
        <f>IF(ISNUMBER(SEARCH(Table1[[#This Row],[their_ent_2]],Table1[[#This Row],[my_ent_2]])), 1, 0)</f>
        <v>0</v>
      </c>
    </row>
    <row r="391" spans="1:12" x14ac:dyDescent="0.3">
      <c r="A391" t="s">
        <v>1332</v>
      </c>
      <c r="B391" t="s">
        <v>1333</v>
      </c>
      <c r="C391" t="s">
        <v>1334</v>
      </c>
      <c r="D391" t="s">
        <v>1335</v>
      </c>
      <c r="E391" t="s">
        <v>1093</v>
      </c>
      <c r="F391">
        <v>0</v>
      </c>
      <c r="G391">
        <v>389</v>
      </c>
      <c r="H391">
        <f>IF(Table1[[#This Row],[my_ent_1]]=Table1[[#This Row],[their_ent_1]], 1, 0)</f>
        <v>0</v>
      </c>
      <c r="I391">
        <f>IF(Table1[[#This Row],[my_ent_2]]=Table1[[#This Row],[their_ent_2]], 1, 0)</f>
        <v>0</v>
      </c>
      <c r="J391">
        <f>IF(Table1[[#This Row],[same_1]]=1 &amp; Table1[[#This Row],[same_2]]=1, 1, 0)</f>
        <v>0</v>
      </c>
      <c r="K391">
        <f>IF(ISNUMBER(SEARCH(Table1[[#This Row],[their_ent_1]],Table1[[#This Row],[my_ent_1]])), 1, 0)</f>
        <v>0</v>
      </c>
      <c r="L391">
        <f>IF(ISNUMBER(SEARCH(Table1[[#This Row],[their_ent_2]],Table1[[#This Row],[my_ent_2]])), 1, 0)</f>
        <v>0</v>
      </c>
    </row>
    <row r="392" spans="1:12" x14ac:dyDescent="0.3">
      <c r="A392" t="s">
        <v>1336</v>
      </c>
      <c r="B392" t="s">
        <v>1337</v>
      </c>
      <c r="C392" t="s">
        <v>63</v>
      </c>
      <c r="D392" t="s">
        <v>20</v>
      </c>
      <c r="E392" t="s">
        <v>20</v>
      </c>
      <c r="F392">
        <v>0</v>
      </c>
      <c r="G392">
        <v>390</v>
      </c>
      <c r="H392">
        <f>IF(Table1[[#This Row],[my_ent_1]]=Table1[[#This Row],[their_ent_1]], 1, 0)</f>
        <v>0</v>
      </c>
      <c r="I392">
        <f>IF(Table1[[#This Row],[my_ent_2]]=Table1[[#This Row],[their_ent_2]], 1, 0)</f>
        <v>1</v>
      </c>
      <c r="J392">
        <f>IF(Table1[[#This Row],[same_1]]=1 &amp; Table1[[#This Row],[same_2]]=1, 1, 0)</f>
        <v>0</v>
      </c>
      <c r="K392">
        <f>IF(ISNUMBER(SEARCH(Table1[[#This Row],[their_ent_1]],Table1[[#This Row],[my_ent_1]])), 1, 0)</f>
        <v>0</v>
      </c>
      <c r="L392">
        <f>IF(ISNUMBER(SEARCH(Table1[[#This Row],[their_ent_2]],Table1[[#This Row],[my_ent_2]])), 1, 0)</f>
        <v>1</v>
      </c>
    </row>
    <row r="393" spans="1:12" x14ac:dyDescent="0.3">
      <c r="A393" t="s">
        <v>1338</v>
      </c>
      <c r="B393" t="s">
        <v>1339</v>
      </c>
      <c r="C393" t="s">
        <v>1339</v>
      </c>
      <c r="D393" t="s">
        <v>26</v>
      </c>
      <c r="E393" t="s">
        <v>48</v>
      </c>
      <c r="F393">
        <v>0</v>
      </c>
      <c r="G393">
        <v>391</v>
      </c>
      <c r="H393">
        <f>IF(Table1[[#This Row],[my_ent_1]]=Table1[[#This Row],[their_ent_1]], 1, 0)</f>
        <v>1</v>
      </c>
      <c r="I393">
        <f>IF(Table1[[#This Row],[my_ent_2]]=Table1[[#This Row],[their_ent_2]], 1, 0)</f>
        <v>0</v>
      </c>
      <c r="J393">
        <f>IF(Table1[[#This Row],[same_1]]=1 &amp; Table1[[#This Row],[same_2]]=1, 1, 0)</f>
        <v>0</v>
      </c>
      <c r="K393">
        <f>IF(ISNUMBER(SEARCH(Table1[[#This Row],[their_ent_1]],Table1[[#This Row],[my_ent_1]])), 1, 0)</f>
        <v>1</v>
      </c>
      <c r="L393">
        <f>IF(ISNUMBER(SEARCH(Table1[[#This Row],[their_ent_2]],Table1[[#This Row],[my_ent_2]])), 1, 0)</f>
        <v>0</v>
      </c>
    </row>
    <row r="394" spans="1:12" x14ac:dyDescent="0.3">
      <c r="A394" t="s">
        <v>1340</v>
      </c>
      <c r="B394" t="s">
        <v>1341</v>
      </c>
      <c r="C394" t="s">
        <v>1342</v>
      </c>
      <c r="D394" t="s">
        <v>59</v>
      </c>
      <c r="E394" t="s">
        <v>1343</v>
      </c>
      <c r="F394">
        <v>0</v>
      </c>
      <c r="G394">
        <v>392</v>
      </c>
      <c r="H394">
        <f>IF(Table1[[#This Row],[my_ent_1]]=Table1[[#This Row],[their_ent_1]], 1, 0)</f>
        <v>0</v>
      </c>
      <c r="I394">
        <f>IF(Table1[[#This Row],[my_ent_2]]=Table1[[#This Row],[their_ent_2]], 1, 0)</f>
        <v>0</v>
      </c>
      <c r="J394">
        <f>IF(Table1[[#This Row],[same_1]]=1 &amp; Table1[[#This Row],[same_2]]=1, 1, 0)</f>
        <v>0</v>
      </c>
      <c r="K394">
        <f>IF(ISNUMBER(SEARCH(Table1[[#This Row],[their_ent_1]],Table1[[#This Row],[my_ent_1]])), 1, 0)</f>
        <v>0</v>
      </c>
      <c r="L394">
        <f>IF(ISNUMBER(SEARCH(Table1[[#This Row],[their_ent_2]],Table1[[#This Row],[my_ent_2]])), 1, 0)</f>
        <v>0</v>
      </c>
    </row>
    <row r="395" spans="1:12" x14ac:dyDescent="0.3">
      <c r="A395" t="s">
        <v>1344</v>
      </c>
      <c r="B395" t="s">
        <v>1345</v>
      </c>
      <c r="C395" t="s">
        <v>1023</v>
      </c>
      <c r="D395" t="s">
        <v>78</v>
      </c>
      <c r="E395" t="s">
        <v>1346</v>
      </c>
      <c r="F395">
        <v>0</v>
      </c>
      <c r="G395">
        <v>393</v>
      </c>
      <c r="H395">
        <f>IF(Table1[[#This Row],[my_ent_1]]=Table1[[#This Row],[their_ent_1]], 1, 0)</f>
        <v>0</v>
      </c>
      <c r="I395">
        <f>IF(Table1[[#This Row],[my_ent_2]]=Table1[[#This Row],[their_ent_2]], 1, 0)</f>
        <v>0</v>
      </c>
      <c r="J395">
        <f>IF(Table1[[#This Row],[same_1]]=1 &amp; Table1[[#This Row],[same_2]]=1, 1, 0)</f>
        <v>0</v>
      </c>
      <c r="K395">
        <f>IF(ISNUMBER(SEARCH(Table1[[#This Row],[their_ent_1]],Table1[[#This Row],[my_ent_1]])), 1, 0)</f>
        <v>0</v>
      </c>
      <c r="L395">
        <f>IF(ISNUMBER(SEARCH(Table1[[#This Row],[their_ent_2]],Table1[[#This Row],[my_ent_2]])), 1, 0)</f>
        <v>0</v>
      </c>
    </row>
    <row r="396" spans="1:12" x14ac:dyDescent="0.3">
      <c r="A396" t="s">
        <v>1347</v>
      </c>
      <c r="B396" t="s">
        <v>1348</v>
      </c>
      <c r="C396" t="s">
        <v>1349</v>
      </c>
      <c r="D396" t="s">
        <v>1350</v>
      </c>
      <c r="E396" t="s">
        <v>1350</v>
      </c>
      <c r="F396">
        <v>0</v>
      </c>
      <c r="G396">
        <v>394</v>
      </c>
      <c r="H396">
        <f>IF(Table1[[#This Row],[my_ent_1]]=Table1[[#This Row],[their_ent_1]], 1, 0)</f>
        <v>0</v>
      </c>
      <c r="I396">
        <f>IF(Table1[[#This Row],[my_ent_2]]=Table1[[#This Row],[their_ent_2]], 1, 0)</f>
        <v>1</v>
      </c>
      <c r="J396">
        <f>IF(Table1[[#This Row],[same_1]]=1 &amp; Table1[[#This Row],[same_2]]=1, 1, 0)</f>
        <v>0</v>
      </c>
      <c r="K396">
        <f>IF(ISNUMBER(SEARCH(Table1[[#This Row],[their_ent_1]],Table1[[#This Row],[my_ent_1]])), 1, 0)</f>
        <v>1</v>
      </c>
      <c r="L396">
        <f>IF(ISNUMBER(SEARCH(Table1[[#This Row],[their_ent_2]],Table1[[#This Row],[my_ent_2]])), 1, 0)</f>
        <v>1</v>
      </c>
    </row>
    <row r="397" spans="1:12" x14ac:dyDescent="0.3">
      <c r="A397" t="s">
        <v>1351</v>
      </c>
      <c r="B397" t="s">
        <v>1352</v>
      </c>
      <c r="C397" t="s">
        <v>1352</v>
      </c>
      <c r="D397" t="s">
        <v>1353</v>
      </c>
      <c r="E397" t="s">
        <v>1354</v>
      </c>
      <c r="F397">
        <v>0</v>
      </c>
      <c r="G397">
        <v>395</v>
      </c>
      <c r="H397">
        <f>IF(Table1[[#This Row],[my_ent_1]]=Table1[[#This Row],[their_ent_1]], 1, 0)</f>
        <v>1</v>
      </c>
      <c r="I397">
        <f>IF(Table1[[#This Row],[my_ent_2]]=Table1[[#This Row],[their_ent_2]], 1, 0)</f>
        <v>0</v>
      </c>
      <c r="J397">
        <f>IF(Table1[[#This Row],[same_1]]=1 &amp; Table1[[#This Row],[same_2]]=1, 1, 0)</f>
        <v>0</v>
      </c>
      <c r="K397">
        <f>IF(ISNUMBER(SEARCH(Table1[[#This Row],[their_ent_1]],Table1[[#This Row],[my_ent_1]])), 1, 0)</f>
        <v>1</v>
      </c>
      <c r="L397">
        <f>IF(ISNUMBER(SEARCH(Table1[[#This Row],[their_ent_2]],Table1[[#This Row],[my_ent_2]])), 1, 0)</f>
        <v>0</v>
      </c>
    </row>
    <row r="398" spans="1:12" x14ac:dyDescent="0.3">
      <c r="A398" t="s">
        <v>1355</v>
      </c>
      <c r="B398" t="s">
        <v>381</v>
      </c>
      <c r="C398" t="s">
        <v>68</v>
      </c>
      <c r="D398" t="s">
        <v>863</v>
      </c>
      <c r="E398" t="s">
        <v>864</v>
      </c>
      <c r="F398">
        <v>0</v>
      </c>
      <c r="G398">
        <v>396</v>
      </c>
      <c r="H398">
        <f>IF(Table1[[#This Row],[my_ent_1]]=Table1[[#This Row],[their_ent_1]], 1, 0)</f>
        <v>0</v>
      </c>
      <c r="I398">
        <f>IF(Table1[[#This Row],[my_ent_2]]=Table1[[#This Row],[their_ent_2]], 1, 0)</f>
        <v>0</v>
      </c>
      <c r="J398">
        <f>IF(Table1[[#This Row],[same_1]]=1 &amp; Table1[[#This Row],[same_2]]=1, 1, 0)</f>
        <v>0</v>
      </c>
      <c r="K398">
        <f>IF(ISNUMBER(SEARCH(Table1[[#This Row],[their_ent_1]],Table1[[#This Row],[my_ent_1]])), 1, 0)</f>
        <v>0</v>
      </c>
      <c r="L398">
        <f>IF(ISNUMBER(SEARCH(Table1[[#This Row],[their_ent_2]],Table1[[#This Row],[my_ent_2]])), 1, 0)</f>
        <v>1</v>
      </c>
    </row>
    <row r="399" spans="1:12" x14ac:dyDescent="0.3">
      <c r="A399" t="s">
        <v>1356</v>
      </c>
      <c r="B399" t="s">
        <v>1357</v>
      </c>
      <c r="C399" t="s">
        <v>1358</v>
      </c>
      <c r="D399" t="s">
        <v>1359</v>
      </c>
      <c r="E399" t="s">
        <v>1359</v>
      </c>
      <c r="F399">
        <v>0</v>
      </c>
      <c r="G399">
        <v>397</v>
      </c>
      <c r="H399">
        <f>IF(Table1[[#This Row],[my_ent_1]]=Table1[[#This Row],[their_ent_1]], 1, 0)</f>
        <v>0</v>
      </c>
      <c r="I399">
        <f>IF(Table1[[#This Row],[my_ent_2]]=Table1[[#This Row],[their_ent_2]], 1, 0)</f>
        <v>1</v>
      </c>
      <c r="J399">
        <f>IF(Table1[[#This Row],[same_1]]=1 &amp; Table1[[#This Row],[same_2]]=1, 1, 0)</f>
        <v>0</v>
      </c>
      <c r="K399">
        <f>IF(ISNUMBER(SEARCH(Table1[[#This Row],[their_ent_1]],Table1[[#This Row],[my_ent_1]])), 1, 0)</f>
        <v>1</v>
      </c>
      <c r="L399">
        <f>IF(ISNUMBER(SEARCH(Table1[[#This Row],[their_ent_2]],Table1[[#This Row],[my_ent_2]])), 1, 0)</f>
        <v>1</v>
      </c>
    </row>
    <row r="400" spans="1:12" x14ac:dyDescent="0.3">
      <c r="A400" t="s">
        <v>1360</v>
      </c>
      <c r="B400" t="s">
        <v>1361</v>
      </c>
      <c r="C400" t="s">
        <v>1361</v>
      </c>
      <c r="D400" t="s">
        <v>1362</v>
      </c>
      <c r="E400" t="s">
        <v>1363</v>
      </c>
      <c r="F400">
        <v>0</v>
      </c>
      <c r="G400">
        <v>398</v>
      </c>
      <c r="H400">
        <f>IF(Table1[[#This Row],[my_ent_1]]=Table1[[#This Row],[their_ent_1]], 1, 0)</f>
        <v>1</v>
      </c>
      <c r="I400">
        <f>IF(Table1[[#This Row],[my_ent_2]]=Table1[[#This Row],[their_ent_2]], 1, 0)</f>
        <v>0</v>
      </c>
      <c r="J400">
        <f>IF(Table1[[#This Row],[same_1]]=1 &amp; Table1[[#This Row],[same_2]]=1, 1, 0)</f>
        <v>0</v>
      </c>
      <c r="K400">
        <f>IF(ISNUMBER(SEARCH(Table1[[#This Row],[their_ent_1]],Table1[[#This Row],[my_ent_1]])), 1, 0)</f>
        <v>1</v>
      </c>
      <c r="L400">
        <f>IF(ISNUMBER(SEARCH(Table1[[#This Row],[their_ent_2]],Table1[[#This Row],[my_ent_2]])), 1, 0)</f>
        <v>0</v>
      </c>
    </row>
    <row r="401" spans="1:12" x14ac:dyDescent="0.3">
      <c r="A401" t="s">
        <v>1364</v>
      </c>
      <c r="B401" t="s">
        <v>1365</v>
      </c>
      <c r="C401" t="s">
        <v>1366</v>
      </c>
      <c r="D401" t="s">
        <v>353</v>
      </c>
      <c r="E401" t="s">
        <v>353</v>
      </c>
      <c r="F401">
        <v>0</v>
      </c>
      <c r="G401">
        <v>399</v>
      </c>
      <c r="H401">
        <f>IF(Table1[[#This Row],[my_ent_1]]=Table1[[#This Row],[their_ent_1]], 1, 0)</f>
        <v>0</v>
      </c>
      <c r="I401">
        <f>IF(Table1[[#This Row],[my_ent_2]]=Table1[[#This Row],[their_ent_2]], 1, 0)</f>
        <v>1</v>
      </c>
      <c r="J401">
        <f>IF(Table1[[#This Row],[same_1]]=1 &amp; Table1[[#This Row],[same_2]]=1, 1, 0)</f>
        <v>0</v>
      </c>
      <c r="K401">
        <f>IF(ISNUMBER(SEARCH(Table1[[#This Row],[their_ent_1]],Table1[[#This Row],[my_ent_1]])), 1, 0)</f>
        <v>1</v>
      </c>
      <c r="L401">
        <f>IF(ISNUMBER(SEARCH(Table1[[#This Row],[their_ent_2]],Table1[[#This Row],[my_ent_2]])), 1, 0)</f>
        <v>1</v>
      </c>
    </row>
    <row r="402" spans="1:12" x14ac:dyDescent="0.3">
      <c r="A402" t="s">
        <v>1367</v>
      </c>
      <c r="B402" t="s">
        <v>391</v>
      </c>
      <c r="C402" t="s">
        <v>1368</v>
      </c>
      <c r="D402" t="s">
        <v>289</v>
      </c>
      <c r="E402" t="s">
        <v>1369</v>
      </c>
      <c r="F402">
        <v>0</v>
      </c>
      <c r="G402">
        <v>400</v>
      </c>
      <c r="H402">
        <f>IF(Table1[[#This Row],[my_ent_1]]=Table1[[#This Row],[their_ent_1]], 1, 0)</f>
        <v>0</v>
      </c>
      <c r="I402">
        <f>IF(Table1[[#This Row],[my_ent_2]]=Table1[[#This Row],[their_ent_2]], 1, 0)</f>
        <v>0</v>
      </c>
      <c r="J402">
        <f>IF(Table1[[#This Row],[same_1]]=1 &amp; Table1[[#This Row],[same_2]]=1, 1, 0)</f>
        <v>0</v>
      </c>
      <c r="K402">
        <f>IF(ISNUMBER(SEARCH(Table1[[#This Row],[their_ent_1]],Table1[[#This Row],[my_ent_1]])), 1, 0)</f>
        <v>0</v>
      </c>
      <c r="L402">
        <f>IF(ISNUMBER(SEARCH(Table1[[#This Row],[their_ent_2]],Table1[[#This Row],[my_ent_2]])), 1, 0)</f>
        <v>0</v>
      </c>
    </row>
    <row r="403" spans="1:12" x14ac:dyDescent="0.3">
      <c r="A403" t="s">
        <v>1370</v>
      </c>
      <c r="B403" t="s">
        <v>825</v>
      </c>
      <c r="C403" t="s">
        <v>1371</v>
      </c>
      <c r="D403" t="s">
        <v>206</v>
      </c>
      <c r="E403" t="s">
        <v>31</v>
      </c>
      <c r="F403">
        <v>0</v>
      </c>
      <c r="G403">
        <v>401</v>
      </c>
      <c r="H403">
        <f>IF(Table1[[#This Row],[my_ent_1]]=Table1[[#This Row],[their_ent_1]], 1, 0)</f>
        <v>0</v>
      </c>
      <c r="I403">
        <f>IF(Table1[[#This Row],[my_ent_2]]=Table1[[#This Row],[their_ent_2]], 1, 0)</f>
        <v>0</v>
      </c>
      <c r="J403">
        <f>IF(Table1[[#This Row],[same_1]]=1 &amp; Table1[[#This Row],[same_2]]=1, 1, 0)</f>
        <v>0</v>
      </c>
      <c r="K403">
        <f>IF(ISNUMBER(SEARCH(Table1[[#This Row],[their_ent_1]],Table1[[#This Row],[my_ent_1]])), 1, 0)</f>
        <v>0</v>
      </c>
      <c r="L403">
        <f>IF(ISNUMBER(SEARCH(Table1[[#This Row],[their_ent_2]],Table1[[#This Row],[my_ent_2]])), 1, 0)</f>
        <v>1</v>
      </c>
    </row>
    <row r="404" spans="1:12" x14ac:dyDescent="0.3">
      <c r="A404" t="s">
        <v>1372</v>
      </c>
      <c r="B404" t="s">
        <v>78</v>
      </c>
      <c r="C404" t="s">
        <v>1373</v>
      </c>
      <c r="D404" t="s">
        <v>1374</v>
      </c>
      <c r="E404" t="s">
        <v>1375</v>
      </c>
      <c r="F404">
        <v>0</v>
      </c>
      <c r="G404">
        <v>402</v>
      </c>
      <c r="H404">
        <f>IF(Table1[[#This Row],[my_ent_1]]=Table1[[#This Row],[their_ent_1]], 1, 0)</f>
        <v>0</v>
      </c>
      <c r="I404">
        <f>IF(Table1[[#This Row],[my_ent_2]]=Table1[[#This Row],[their_ent_2]], 1, 0)</f>
        <v>0</v>
      </c>
      <c r="J404">
        <f>IF(Table1[[#This Row],[same_1]]=1 &amp; Table1[[#This Row],[same_2]]=1, 1, 0)</f>
        <v>0</v>
      </c>
      <c r="K404">
        <f>IF(ISNUMBER(SEARCH(Table1[[#This Row],[their_ent_1]],Table1[[#This Row],[my_ent_1]])), 1, 0)</f>
        <v>0</v>
      </c>
      <c r="L404">
        <f>IF(ISNUMBER(SEARCH(Table1[[#This Row],[their_ent_2]],Table1[[#This Row],[my_ent_2]])), 1, 0)</f>
        <v>0</v>
      </c>
    </row>
    <row r="405" spans="1:12" x14ac:dyDescent="0.3">
      <c r="A405" t="s">
        <v>1376</v>
      </c>
      <c r="B405" t="s">
        <v>1377</v>
      </c>
      <c r="C405" t="s">
        <v>485</v>
      </c>
      <c r="D405" t="s">
        <v>685</v>
      </c>
      <c r="E405" t="s">
        <v>686</v>
      </c>
      <c r="F405">
        <v>0</v>
      </c>
      <c r="G405">
        <v>403</v>
      </c>
      <c r="H405">
        <f>IF(Table1[[#This Row],[my_ent_1]]=Table1[[#This Row],[their_ent_1]], 1, 0)</f>
        <v>0</v>
      </c>
      <c r="I405">
        <f>IF(Table1[[#This Row],[my_ent_2]]=Table1[[#This Row],[their_ent_2]], 1, 0)</f>
        <v>0</v>
      </c>
      <c r="J405">
        <f>IF(Table1[[#This Row],[same_1]]=1 &amp; Table1[[#This Row],[same_2]]=1, 1, 0)</f>
        <v>0</v>
      </c>
      <c r="K405">
        <f>IF(ISNUMBER(SEARCH(Table1[[#This Row],[their_ent_1]],Table1[[#This Row],[my_ent_1]])), 1, 0)</f>
        <v>0</v>
      </c>
      <c r="L405">
        <f>IF(ISNUMBER(SEARCH(Table1[[#This Row],[their_ent_2]],Table1[[#This Row],[my_ent_2]])), 1, 0)</f>
        <v>1</v>
      </c>
    </row>
    <row r="406" spans="1:12" x14ac:dyDescent="0.3">
      <c r="A406" t="s">
        <v>1378</v>
      </c>
      <c r="B406" t="s">
        <v>1379</v>
      </c>
      <c r="C406" t="s">
        <v>1380</v>
      </c>
      <c r="D406" t="s">
        <v>47</v>
      </c>
      <c r="E406" t="s">
        <v>1381</v>
      </c>
      <c r="F406">
        <v>0</v>
      </c>
      <c r="G406">
        <v>404</v>
      </c>
      <c r="H406">
        <f>IF(Table1[[#This Row],[my_ent_1]]=Table1[[#This Row],[their_ent_1]], 1, 0)</f>
        <v>0</v>
      </c>
      <c r="I406">
        <f>IF(Table1[[#This Row],[my_ent_2]]=Table1[[#This Row],[their_ent_2]], 1, 0)</f>
        <v>0</v>
      </c>
      <c r="J406">
        <f>IF(Table1[[#This Row],[same_1]]=1 &amp; Table1[[#This Row],[same_2]]=1, 1, 0)</f>
        <v>0</v>
      </c>
      <c r="K406">
        <f>IF(ISNUMBER(SEARCH(Table1[[#This Row],[their_ent_1]],Table1[[#This Row],[my_ent_1]])), 1, 0)</f>
        <v>0</v>
      </c>
      <c r="L406">
        <f>IF(ISNUMBER(SEARCH(Table1[[#This Row],[their_ent_2]],Table1[[#This Row],[my_ent_2]])), 1, 0)</f>
        <v>0</v>
      </c>
    </row>
    <row r="407" spans="1:12" x14ac:dyDescent="0.3">
      <c r="A407" t="s">
        <v>1382</v>
      </c>
      <c r="B407" t="s">
        <v>1383</v>
      </c>
      <c r="C407" t="s">
        <v>1384</v>
      </c>
      <c r="D407" t="s">
        <v>256</v>
      </c>
      <c r="E407" t="s">
        <v>1031</v>
      </c>
      <c r="F407">
        <v>0</v>
      </c>
      <c r="G407">
        <v>405</v>
      </c>
      <c r="H407">
        <f>IF(Table1[[#This Row],[my_ent_1]]=Table1[[#This Row],[their_ent_1]], 1, 0)</f>
        <v>0</v>
      </c>
      <c r="I407">
        <f>IF(Table1[[#This Row],[my_ent_2]]=Table1[[#This Row],[their_ent_2]], 1, 0)</f>
        <v>0</v>
      </c>
      <c r="J407">
        <f>IF(Table1[[#This Row],[same_1]]=1 &amp; Table1[[#This Row],[same_2]]=1, 1, 0)</f>
        <v>0</v>
      </c>
      <c r="K407">
        <f>IF(ISNUMBER(SEARCH(Table1[[#This Row],[their_ent_1]],Table1[[#This Row],[my_ent_1]])), 1, 0)</f>
        <v>0</v>
      </c>
      <c r="L407">
        <f>IF(ISNUMBER(SEARCH(Table1[[#This Row],[their_ent_2]],Table1[[#This Row],[my_ent_2]])), 1, 0)</f>
        <v>0</v>
      </c>
    </row>
    <row r="408" spans="1:12" x14ac:dyDescent="0.3">
      <c r="A408" t="s">
        <v>1385</v>
      </c>
      <c r="B408" t="s">
        <v>1386</v>
      </c>
      <c r="C408" t="s">
        <v>412</v>
      </c>
      <c r="D408" t="s">
        <v>1387</v>
      </c>
      <c r="E408" t="s">
        <v>1388</v>
      </c>
      <c r="F408">
        <v>0</v>
      </c>
      <c r="G408">
        <v>406</v>
      </c>
      <c r="H408">
        <f>IF(Table1[[#This Row],[my_ent_1]]=Table1[[#This Row],[their_ent_1]], 1, 0)</f>
        <v>0</v>
      </c>
      <c r="I408">
        <f>IF(Table1[[#This Row],[my_ent_2]]=Table1[[#This Row],[their_ent_2]], 1, 0)</f>
        <v>0</v>
      </c>
      <c r="J408">
        <f>IF(Table1[[#This Row],[same_1]]=1 &amp; Table1[[#This Row],[same_2]]=1, 1, 0)</f>
        <v>0</v>
      </c>
      <c r="K408">
        <f>IF(ISNUMBER(SEARCH(Table1[[#This Row],[their_ent_1]],Table1[[#This Row],[my_ent_1]])), 1, 0)</f>
        <v>0</v>
      </c>
      <c r="L408">
        <f>IF(ISNUMBER(SEARCH(Table1[[#This Row],[their_ent_2]],Table1[[#This Row],[my_ent_2]])), 1, 0)</f>
        <v>0</v>
      </c>
    </row>
    <row r="409" spans="1:12" x14ac:dyDescent="0.3">
      <c r="A409" t="s">
        <v>1389</v>
      </c>
      <c r="B409" t="s">
        <v>1390</v>
      </c>
      <c r="C409" t="s">
        <v>1391</v>
      </c>
      <c r="D409" t="s">
        <v>59</v>
      </c>
      <c r="E409" t="s">
        <v>1390</v>
      </c>
      <c r="F409">
        <v>0</v>
      </c>
      <c r="G409">
        <v>407</v>
      </c>
      <c r="H409">
        <f>IF(Table1[[#This Row],[my_ent_1]]=Table1[[#This Row],[their_ent_1]], 1, 0)</f>
        <v>0</v>
      </c>
      <c r="I409">
        <f>IF(Table1[[#This Row],[my_ent_2]]=Table1[[#This Row],[their_ent_2]], 1, 0)</f>
        <v>0</v>
      </c>
      <c r="J409">
        <f>IF(Table1[[#This Row],[same_1]]=1 &amp; Table1[[#This Row],[same_2]]=1, 1, 0)</f>
        <v>0</v>
      </c>
      <c r="K409">
        <f>IF(ISNUMBER(SEARCH(Table1[[#This Row],[their_ent_1]],Table1[[#This Row],[my_ent_1]])), 1, 0)</f>
        <v>0</v>
      </c>
      <c r="L409">
        <f>IF(ISNUMBER(SEARCH(Table1[[#This Row],[their_ent_2]],Table1[[#This Row],[my_ent_2]])), 1, 0)</f>
        <v>0</v>
      </c>
    </row>
    <row r="410" spans="1:12" x14ac:dyDescent="0.3">
      <c r="A410" t="s">
        <v>1392</v>
      </c>
      <c r="B410" t="s">
        <v>1393</v>
      </c>
      <c r="C410" t="s">
        <v>1394</v>
      </c>
      <c r="D410" t="s">
        <v>1395</v>
      </c>
      <c r="E410" t="s">
        <v>1061</v>
      </c>
      <c r="F410">
        <v>0</v>
      </c>
      <c r="G410">
        <v>408</v>
      </c>
      <c r="H410">
        <f>IF(Table1[[#This Row],[my_ent_1]]=Table1[[#This Row],[their_ent_1]], 1, 0)</f>
        <v>0</v>
      </c>
      <c r="I410">
        <f>IF(Table1[[#This Row],[my_ent_2]]=Table1[[#This Row],[their_ent_2]], 1, 0)</f>
        <v>0</v>
      </c>
      <c r="J410">
        <f>IF(Table1[[#This Row],[same_1]]=1 &amp; Table1[[#This Row],[same_2]]=1, 1, 0)</f>
        <v>0</v>
      </c>
      <c r="K410">
        <f>IF(ISNUMBER(SEARCH(Table1[[#This Row],[their_ent_1]],Table1[[#This Row],[my_ent_1]])), 1, 0)</f>
        <v>0</v>
      </c>
      <c r="L410">
        <f>IF(ISNUMBER(SEARCH(Table1[[#This Row],[their_ent_2]],Table1[[#This Row],[my_ent_2]])), 1, 0)</f>
        <v>0</v>
      </c>
    </row>
    <row r="411" spans="1:12" x14ac:dyDescent="0.3">
      <c r="A411" t="s">
        <v>1396</v>
      </c>
      <c r="B411" t="s">
        <v>1397</v>
      </c>
      <c r="C411" t="s">
        <v>1398</v>
      </c>
      <c r="D411" t="s">
        <v>1398</v>
      </c>
      <c r="E411" t="s">
        <v>198</v>
      </c>
      <c r="F411">
        <v>0</v>
      </c>
      <c r="G411">
        <v>409</v>
      </c>
      <c r="H411">
        <f>IF(Table1[[#This Row],[my_ent_1]]=Table1[[#This Row],[their_ent_1]], 1, 0)</f>
        <v>0</v>
      </c>
      <c r="I411">
        <f>IF(Table1[[#This Row],[my_ent_2]]=Table1[[#This Row],[their_ent_2]], 1, 0)</f>
        <v>0</v>
      </c>
      <c r="J411">
        <f>IF(Table1[[#This Row],[same_1]]=1 &amp; Table1[[#This Row],[same_2]]=1, 1, 0)</f>
        <v>0</v>
      </c>
      <c r="K411">
        <f>IF(ISNUMBER(SEARCH(Table1[[#This Row],[their_ent_1]],Table1[[#This Row],[my_ent_1]])), 1, 0)</f>
        <v>0</v>
      </c>
      <c r="L411">
        <f>IF(ISNUMBER(SEARCH(Table1[[#This Row],[their_ent_2]],Table1[[#This Row],[my_ent_2]])), 1, 0)</f>
        <v>0</v>
      </c>
    </row>
    <row r="412" spans="1:12" x14ac:dyDescent="0.3">
      <c r="A412" t="s">
        <v>1399</v>
      </c>
      <c r="B412" t="s">
        <v>1400</v>
      </c>
      <c r="C412" t="s">
        <v>1400</v>
      </c>
      <c r="D412" t="s">
        <v>1401</v>
      </c>
      <c r="E412" t="s">
        <v>1402</v>
      </c>
      <c r="F412">
        <v>0</v>
      </c>
      <c r="G412">
        <v>410</v>
      </c>
      <c r="H412">
        <f>IF(Table1[[#This Row],[my_ent_1]]=Table1[[#This Row],[their_ent_1]], 1, 0)</f>
        <v>1</v>
      </c>
      <c r="I412">
        <f>IF(Table1[[#This Row],[my_ent_2]]=Table1[[#This Row],[their_ent_2]], 1, 0)</f>
        <v>0</v>
      </c>
      <c r="J412">
        <f>IF(Table1[[#This Row],[same_1]]=1 &amp; Table1[[#This Row],[same_2]]=1, 1, 0)</f>
        <v>0</v>
      </c>
      <c r="K412">
        <f>IF(ISNUMBER(SEARCH(Table1[[#This Row],[their_ent_1]],Table1[[#This Row],[my_ent_1]])), 1, 0)</f>
        <v>1</v>
      </c>
      <c r="L412">
        <f>IF(ISNUMBER(SEARCH(Table1[[#This Row],[their_ent_2]],Table1[[#This Row],[my_ent_2]])), 1, 0)</f>
        <v>0</v>
      </c>
    </row>
    <row r="413" spans="1:12" x14ac:dyDescent="0.3">
      <c r="A413" t="s">
        <v>1403</v>
      </c>
      <c r="B413" t="s">
        <v>260</v>
      </c>
      <c r="C413" t="s">
        <v>836</v>
      </c>
      <c r="D413" t="s">
        <v>127</v>
      </c>
      <c r="E413" t="s">
        <v>1404</v>
      </c>
      <c r="F413">
        <v>0</v>
      </c>
      <c r="G413">
        <v>411</v>
      </c>
      <c r="H413">
        <f>IF(Table1[[#This Row],[my_ent_1]]=Table1[[#This Row],[their_ent_1]], 1, 0)</f>
        <v>0</v>
      </c>
      <c r="I413">
        <f>IF(Table1[[#This Row],[my_ent_2]]=Table1[[#This Row],[their_ent_2]], 1, 0)</f>
        <v>0</v>
      </c>
      <c r="J413">
        <f>IF(Table1[[#This Row],[same_1]]=1 &amp; Table1[[#This Row],[same_2]]=1, 1, 0)</f>
        <v>0</v>
      </c>
      <c r="K413">
        <f>IF(ISNUMBER(SEARCH(Table1[[#This Row],[their_ent_1]],Table1[[#This Row],[my_ent_1]])), 1, 0)</f>
        <v>0</v>
      </c>
      <c r="L413">
        <f>IF(ISNUMBER(SEARCH(Table1[[#This Row],[their_ent_2]],Table1[[#This Row],[my_ent_2]])), 1, 0)</f>
        <v>0</v>
      </c>
    </row>
    <row r="414" spans="1:12" x14ac:dyDescent="0.3">
      <c r="A414" t="s">
        <v>1405</v>
      </c>
      <c r="B414" t="s">
        <v>450</v>
      </c>
      <c r="C414" t="s">
        <v>725</v>
      </c>
      <c r="D414" t="s">
        <v>1402</v>
      </c>
      <c r="E414" t="s">
        <v>1402</v>
      </c>
      <c r="F414">
        <v>0</v>
      </c>
      <c r="G414">
        <v>412</v>
      </c>
      <c r="H414">
        <f>IF(Table1[[#This Row],[my_ent_1]]=Table1[[#This Row],[their_ent_1]], 1, 0)</f>
        <v>0</v>
      </c>
      <c r="I414">
        <f>IF(Table1[[#This Row],[my_ent_2]]=Table1[[#This Row],[their_ent_2]], 1, 0)</f>
        <v>1</v>
      </c>
      <c r="J414">
        <f>IF(Table1[[#This Row],[same_1]]=1 &amp; Table1[[#This Row],[same_2]]=1, 1, 0)</f>
        <v>0</v>
      </c>
      <c r="K414">
        <f>IF(ISNUMBER(SEARCH(Table1[[#This Row],[their_ent_1]],Table1[[#This Row],[my_ent_1]])), 1, 0)</f>
        <v>0</v>
      </c>
      <c r="L414">
        <f>IF(ISNUMBER(SEARCH(Table1[[#This Row],[their_ent_2]],Table1[[#This Row],[my_ent_2]])), 1, 0)</f>
        <v>1</v>
      </c>
    </row>
    <row r="415" spans="1:12" x14ac:dyDescent="0.3">
      <c r="A415" t="s">
        <v>1406</v>
      </c>
      <c r="B415" t="s">
        <v>972</v>
      </c>
      <c r="C415" t="s">
        <v>972</v>
      </c>
      <c r="D415" t="s">
        <v>20</v>
      </c>
      <c r="E415" t="s">
        <v>1407</v>
      </c>
      <c r="F415">
        <v>0</v>
      </c>
      <c r="G415">
        <v>413</v>
      </c>
      <c r="H415">
        <f>IF(Table1[[#This Row],[my_ent_1]]=Table1[[#This Row],[their_ent_1]], 1, 0)</f>
        <v>1</v>
      </c>
      <c r="I415">
        <f>IF(Table1[[#This Row],[my_ent_2]]=Table1[[#This Row],[their_ent_2]], 1, 0)</f>
        <v>0</v>
      </c>
      <c r="J415">
        <f>IF(Table1[[#This Row],[same_1]]=1 &amp; Table1[[#This Row],[same_2]]=1, 1, 0)</f>
        <v>0</v>
      </c>
      <c r="K415">
        <f>IF(ISNUMBER(SEARCH(Table1[[#This Row],[their_ent_1]],Table1[[#This Row],[my_ent_1]])), 1, 0)</f>
        <v>1</v>
      </c>
      <c r="L415">
        <f>IF(ISNUMBER(SEARCH(Table1[[#This Row],[their_ent_2]],Table1[[#This Row],[my_ent_2]])), 1, 0)</f>
        <v>0</v>
      </c>
    </row>
    <row r="416" spans="1:12" x14ac:dyDescent="0.3">
      <c r="A416" t="s">
        <v>1408</v>
      </c>
      <c r="B416" t="s">
        <v>1409</v>
      </c>
      <c r="C416" t="s">
        <v>1410</v>
      </c>
      <c r="D416" t="s">
        <v>450</v>
      </c>
      <c r="E416" t="s">
        <v>143</v>
      </c>
      <c r="F416">
        <v>0</v>
      </c>
      <c r="G416">
        <v>414</v>
      </c>
      <c r="H416">
        <f>IF(Table1[[#This Row],[my_ent_1]]=Table1[[#This Row],[their_ent_1]], 1, 0)</f>
        <v>0</v>
      </c>
      <c r="I416">
        <f>IF(Table1[[#This Row],[my_ent_2]]=Table1[[#This Row],[their_ent_2]], 1, 0)</f>
        <v>0</v>
      </c>
      <c r="J416">
        <f>IF(Table1[[#This Row],[same_1]]=1 &amp; Table1[[#This Row],[same_2]]=1, 1, 0)</f>
        <v>0</v>
      </c>
      <c r="K416">
        <f>IF(ISNUMBER(SEARCH(Table1[[#This Row],[their_ent_1]],Table1[[#This Row],[my_ent_1]])), 1, 0)</f>
        <v>1</v>
      </c>
      <c r="L416">
        <f>IF(ISNUMBER(SEARCH(Table1[[#This Row],[their_ent_2]],Table1[[#This Row],[my_ent_2]])), 1, 0)</f>
        <v>0</v>
      </c>
    </row>
    <row r="417" spans="1:12" x14ac:dyDescent="0.3">
      <c r="A417" t="s">
        <v>1411</v>
      </c>
      <c r="B417" t="s">
        <v>1412</v>
      </c>
      <c r="C417" t="s">
        <v>1412</v>
      </c>
      <c r="D417" t="s">
        <v>20</v>
      </c>
      <c r="E417" t="s">
        <v>407</v>
      </c>
      <c r="F417">
        <v>0</v>
      </c>
      <c r="G417">
        <v>415</v>
      </c>
      <c r="H417">
        <f>IF(Table1[[#This Row],[my_ent_1]]=Table1[[#This Row],[their_ent_1]], 1, 0)</f>
        <v>1</v>
      </c>
      <c r="I417">
        <f>IF(Table1[[#This Row],[my_ent_2]]=Table1[[#This Row],[their_ent_2]], 1, 0)</f>
        <v>0</v>
      </c>
      <c r="J417">
        <f>IF(Table1[[#This Row],[same_1]]=1 &amp; Table1[[#This Row],[same_2]]=1, 1, 0)</f>
        <v>0</v>
      </c>
      <c r="K417">
        <f>IF(ISNUMBER(SEARCH(Table1[[#This Row],[their_ent_1]],Table1[[#This Row],[my_ent_1]])), 1, 0)</f>
        <v>1</v>
      </c>
      <c r="L417">
        <f>IF(ISNUMBER(SEARCH(Table1[[#This Row],[their_ent_2]],Table1[[#This Row],[my_ent_2]])), 1, 0)</f>
        <v>0</v>
      </c>
    </row>
    <row r="418" spans="1:12" x14ac:dyDescent="0.3">
      <c r="A418" t="s">
        <v>1413</v>
      </c>
      <c r="B418" t="s">
        <v>1414</v>
      </c>
      <c r="C418" t="s">
        <v>20</v>
      </c>
      <c r="D418" t="s">
        <v>1415</v>
      </c>
      <c r="E418" t="s">
        <v>103</v>
      </c>
      <c r="F418">
        <v>0</v>
      </c>
      <c r="G418">
        <v>416</v>
      </c>
      <c r="H418">
        <f>IF(Table1[[#This Row],[my_ent_1]]=Table1[[#This Row],[their_ent_1]], 1, 0)</f>
        <v>0</v>
      </c>
      <c r="I418">
        <f>IF(Table1[[#This Row],[my_ent_2]]=Table1[[#This Row],[their_ent_2]], 1, 0)</f>
        <v>0</v>
      </c>
      <c r="J418">
        <f>IF(Table1[[#This Row],[same_1]]=1 &amp; Table1[[#This Row],[same_2]]=1, 1, 0)</f>
        <v>0</v>
      </c>
      <c r="K418">
        <f>IF(ISNUMBER(SEARCH(Table1[[#This Row],[their_ent_1]],Table1[[#This Row],[my_ent_1]])), 1, 0)</f>
        <v>0</v>
      </c>
      <c r="L418">
        <f>IF(ISNUMBER(SEARCH(Table1[[#This Row],[their_ent_2]],Table1[[#This Row],[my_ent_2]])), 1, 0)</f>
        <v>0</v>
      </c>
    </row>
    <row r="419" spans="1:12" x14ac:dyDescent="0.3">
      <c r="A419" t="s">
        <v>1416</v>
      </c>
      <c r="B419" t="s">
        <v>20</v>
      </c>
      <c r="C419" t="s">
        <v>20</v>
      </c>
      <c r="D419" t="s">
        <v>1417</v>
      </c>
      <c r="E419" t="s">
        <v>158</v>
      </c>
      <c r="F419">
        <v>0</v>
      </c>
      <c r="G419">
        <v>417</v>
      </c>
      <c r="H419">
        <f>IF(Table1[[#This Row],[my_ent_1]]=Table1[[#This Row],[their_ent_1]], 1, 0)</f>
        <v>1</v>
      </c>
      <c r="I419">
        <f>IF(Table1[[#This Row],[my_ent_2]]=Table1[[#This Row],[their_ent_2]], 1, 0)</f>
        <v>0</v>
      </c>
      <c r="J419">
        <f>IF(Table1[[#This Row],[same_1]]=1 &amp; Table1[[#This Row],[same_2]]=1, 1, 0)</f>
        <v>0</v>
      </c>
      <c r="K419">
        <f>IF(ISNUMBER(SEARCH(Table1[[#This Row],[their_ent_1]],Table1[[#This Row],[my_ent_1]])), 1, 0)</f>
        <v>1</v>
      </c>
      <c r="L419">
        <f>IF(ISNUMBER(SEARCH(Table1[[#This Row],[their_ent_2]],Table1[[#This Row],[my_ent_2]])), 1, 0)</f>
        <v>0</v>
      </c>
    </row>
    <row r="420" spans="1:12" x14ac:dyDescent="0.3">
      <c r="A420" t="s">
        <v>1418</v>
      </c>
      <c r="B420" t="s">
        <v>1419</v>
      </c>
      <c r="C420" t="s">
        <v>1420</v>
      </c>
      <c r="D420" t="s">
        <v>1420</v>
      </c>
      <c r="E420" t="s">
        <v>1421</v>
      </c>
      <c r="F420">
        <v>0</v>
      </c>
      <c r="G420">
        <v>418</v>
      </c>
      <c r="H420">
        <f>IF(Table1[[#This Row],[my_ent_1]]=Table1[[#This Row],[their_ent_1]], 1, 0)</f>
        <v>0</v>
      </c>
      <c r="I420">
        <f>IF(Table1[[#This Row],[my_ent_2]]=Table1[[#This Row],[their_ent_2]], 1, 0)</f>
        <v>0</v>
      </c>
      <c r="J420">
        <f>IF(Table1[[#This Row],[same_1]]=1 &amp; Table1[[#This Row],[same_2]]=1, 1, 0)</f>
        <v>0</v>
      </c>
      <c r="K420">
        <f>IF(ISNUMBER(SEARCH(Table1[[#This Row],[their_ent_1]],Table1[[#This Row],[my_ent_1]])), 1, 0)</f>
        <v>0</v>
      </c>
      <c r="L420">
        <f>IF(ISNUMBER(SEARCH(Table1[[#This Row],[their_ent_2]],Table1[[#This Row],[my_ent_2]])), 1, 0)</f>
        <v>0</v>
      </c>
    </row>
    <row r="421" spans="1:12" x14ac:dyDescent="0.3">
      <c r="A421" t="s">
        <v>1422</v>
      </c>
      <c r="B421" t="s">
        <v>20</v>
      </c>
      <c r="C421" t="s">
        <v>761</v>
      </c>
      <c r="D421" t="s">
        <v>26</v>
      </c>
      <c r="E421" t="s">
        <v>1423</v>
      </c>
      <c r="F421">
        <v>0</v>
      </c>
      <c r="G421">
        <v>419</v>
      </c>
      <c r="H421">
        <f>IF(Table1[[#This Row],[my_ent_1]]=Table1[[#This Row],[their_ent_1]], 1, 0)</f>
        <v>0</v>
      </c>
      <c r="I421">
        <f>IF(Table1[[#This Row],[my_ent_2]]=Table1[[#This Row],[their_ent_2]], 1, 0)</f>
        <v>0</v>
      </c>
      <c r="J421">
        <f>IF(Table1[[#This Row],[same_1]]=1 &amp; Table1[[#This Row],[same_2]]=1, 1, 0)</f>
        <v>0</v>
      </c>
      <c r="K421">
        <f>IF(ISNUMBER(SEARCH(Table1[[#This Row],[their_ent_1]],Table1[[#This Row],[my_ent_1]])), 1, 0)</f>
        <v>0</v>
      </c>
      <c r="L421">
        <f>IF(ISNUMBER(SEARCH(Table1[[#This Row],[their_ent_2]],Table1[[#This Row],[my_ent_2]])), 1, 0)</f>
        <v>0</v>
      </c>
    </row>
    <row r="422" spans="1:12" x14ac:dyDescent="0.3">
      <c r="A422" t="s">
        <v>1424</v>
      </c>
      <c r="B422" t="s">
        <v>1425</v>
      </c>
      <c r="C422" t="s">
        <v>1426</v>
      </c>
      <c r="D422" t="s">
        <v>1427</v>
      </c>
      <c r="E422" t="s">
        <v>1428</v>
      </c>
      <c r="F422">
        <v>0</v>
      </c>
      <c r="G422">
        <v>420</v>
      </c>
      <c r="H422">
        <f>IF(Table1[[#This Row],[my_ent_1]]=Table1[[#This Row],[their_ent_1]], 1, 0)</f>
        <v>0</v>
      </c>
      <c r="I422">
        <f>IF(Table1[[#This Row],[my_ent_2]]=Table1[[#This Row],[their_ent_2]], 1, 0)</f>
        <v>0</v>
      </c>
      <c r="J422">
        <f>IF(Table1[[#This Row],[same_1]]=1 &amp; Table1[[#This Row],[same_2]]=1, 1, 0)</f>
        <v>0</v>
      </c>
      <c r="K422">
        <f>IF(ISNUMBER(SEARCH(Table1[[#This Row],[their_ent_1]],Table1[[#This Row],[my_ent_1]])), 1, 0)</f>
        <v>0</v>
      </c>
      <c r="L422">
        <f>IF(ISNUMBER(SEARCH(Table1[[#This Row],[their_ent_2]],Table1[[#This Row],[my_ent_2]])), 1, 0)</f>
        <v>0</v>
      </c>
    </row>
    <row r="423" spans="1:12" x14ac:dyDescent="0.3">
      <c r="A423" t="s">
        <v>1429</v>
      </c>
      <c r="B423" t="s">
        <v>1430</v>
      </c>
      <c r="C423" t="s">
        <v>44</v>
      </c>
      <c r="D423" t="s">
        <v>1431</v>
      </c>
      <c r="E423" t="s">
        <v>1431</v>
      </c>
      <c r="F423">
        <v>0</v>
      </c>
      <c r="G423">
        <v>421</v>
      </c>
      <c r="H423">
        <f>IF(Table1[[#This Row],[my_ent_1]]=Table1[[#This Row],[their_ent_1]], 1, 0)</f>
        <v>0</v>
      </c>
      <c r="I423">
        <f>IF(Table1[[#This Row],[my_ent_2]]=Table1[[#This Row],[their_ent_2]], 1, 0)</f>
        <v>1</v>
      </c>
      <c r="J423">
        <f>IF(Table1[[#This Row],[same_1]]=1 &amp; Table1[[#This Row],[same_2]]=1, 1, 0)</f>
        <v>0</v>
      </c>
      <c r="K423">
        <f>IF(ISNUMBER(SEARCH(Table1[[#This Row],[their_ent_1]],Table1[[#This Row],[my_ent_1]])), 1, 0)</f>
        <v>0</v>
      </c>
      <c r="L423">
        <f>IF(ISNUMBER(SEARCH(Table1[[#This Row],[their_ent_2]],Table1[[#This Row],[my_ent_2]])), 1, 0)</f>
        <v>1</v>
      </c>
    </row>
    <row r="424" spans="1:12" x14ac:dyDescent="0.3">
      <c r="A424" t="s">
        <v>1432</v>
      </c>
      <c r="B424" t="s">
        <v>1433</v>
      </c>
      <c r="C424" t="s">
        <v>1434</v>
      </c>
      <c r="D424" t="s">
        <v>20</v>
      </c>
      <c r="E424" t="s">
        <v>1435</v>
      </c>
      <c r="F424">
        <v>0</v>
      </c>
      <c r="G424">
        <v>422</v>
      </c>
      <c r="H424">
        <f>IF(Table1[[#This Row],[my_ent_1]]=Table1[[#This Row],[their_ent_1]], 1, 0)</f>
        <v>0</v>
      </c>
      <c r="I424">
        <f>IF(Table1[[#This Row],[my_ent_2]]=Table1[[#This Row],[their_ent_2]], 1, 0)</f>
        <v>0</v>
      </c>
      <c r="J424">
        <f>IF(Table1[[#This Row],[same_1]]=1 &amp; Table1[[#This Row],[same_2]]=1, 1, 0)</f>
        <v>0</v>
      </c>
      <c r="K424">
        <f>IF(ISNUMBER(SEARCH(Table1[[#This Row],[their_ent_1]],Table1[[#This Row],[my_ent_1]])), 1, 0)</f>
        <v>0</v>
      </c>
      <c r="L424">
        <f>IF(ISNUMBER(SEARCH(Table1[[#This Row],[their_ent_2]],Table1[[#This Row],[my_ent_2]])), 1, 0)</f>
        <v>0</v>
      </c>
    </row>
    <row r="425" spans="1:12" x14ac:dyDescent="0.3">
      <c r="A425" t="s">
        <v>1436</v>
      </c>
      <c r="B425" t="s">
        <v>532</v>
      </c>
      <c r="C425" t="s">
        <v>532</v>
      </c>
      <c r="D425" t="s">
        <v>20</v>
      </c>
      <c r="E425" t="s">
        <v>407</v>
      </c>
      <c r="F425">
        <v>0</v>
      </c>
      <c r="G425">
        <v>423</v>
      </c>
      <c r="H425">
        <f>IF(Table1[[#This Row],[my_ent_1]]=Table1[[#This Row],[their_ent_1]], 1, 0)</f>
        <v>1</v>
      </c>
      <c r="I425">
        <f>IF(Table1[[#This Row],[my_ent_2]]=Table1[[#This Row],[their_ent_2]], 1, 0)</f>
        <v>0</v>
      </c>
      <c r="J425">
        <f>IF(Table1[[#This Row],[same_1]]=1 &amp; Table1[[#This Row],[same_2]]=1, 1, 0)</f>
        <v>0</v>
      </c>
      <c r="K425">
        <f>IF(ISNUMBER(SEARCH(Table1[[#This Row],[their_ent_1]],Table1[[#This Row],[my_ent_1]])), 1, 0)</f>
        <v>1</v>
      </c>
      <c r="L425">
        <f>IF(ISNUMBER(SEARCH(Table1[[#This Row],[their_ent_2]],Table1[[#This Row],[my_ent_2]])), 1, 0)</f>
        <v>0</v>
      </c>
    </row>
    <row r="426" spans="1:12" x14ac:dyDescent="0.3">
      <c r="A426" t="s">
        <v>1437</v>
      </c>
      <c r="B426" t="s">
        <v>501</v>
      </c>
      <c r="C426" t="s">
        <v>392</v>
      </c>
      <c r="D426" t="s">
        <v>1438</v>
      </c>
      <c r="E426" t="s">
        <v>205</v>
      </c>
      <c r="F426">
        <v>0</v>
      </c>
      <c r="G426">
        <v>424</v>
      </c>
      <c r="H426">
        <f>IF(Table1[[#This Row],[my_ent_1]]=Table1[[#This Row],[their_ent_1]], 1, 0)</f>
        <v>0</v>
      </c>
      <c r="I426">
        <f>IF(Table1[[#This Row],[my_ent_2]]=Table1[[#This Row],[their_ent_2]], 1, 0)</f>
        <v>0</v>
      </c>
      <c r="J426">
        <f>IF(Table1[[#This Row],[same_1]]=1 &amp; Table1[[#This Row],[same_2]]=1, 1, 0)</f>
        <v>0</v>
      </c>
      <c r="K426">
        <f>IF(ISNUMBER(SEARCH(Table1[[#This Row],[their_ent_1]],Table1[[#This Row],[my_ent_1]])), 1, 0)</f>
        <v>1</v>
      </c>
      <c r="L426">
        <f>IF(ISNUMBER(SEARCH(Table1[[#This Row],[their_ent_2]],Table1[[#This Row],[my_ent_2]])), 1, 0)</f>
        <v>0</v>
      </c>
    </row>
    <row r="427" spans="1:12" x14ac:dyDescent="0.3">
      <c r="A427" t="s">
        <v>1439</v>
      </c>
      <c r="B427" t="s">
        <v>1440</v>
      </c>
      <c r="C427" t="s">
        <v>1440</v>
      </c>
      <c r="D427" t="s">
        <v>1441</v>
      </c>
      <c r="E427" t="s">
        <v>1442</v>
      </c>
      <c r="F427">
        <v>0</v>
      </c>
      <c r="G427">
        <v>425</v>
      </c>
      <c r="H427">
        <f>IF(Table1[[#This Row],[my_ent_1]]=Table1[[#This Row],[their_ent_1]], 1, 0)</f>
        <v>1</v>
      </c>
      <c r="I427">
        <f>IF(Table1[[#This Row],[my_ent_2]]=Table1[[#This Row],[their_ent_2]], 1, 0)</f>
        <v>0</v>
      </c>
      <c r="J427">
        <f>IF(Table1[[#This Row],[same_1]]=1 &amp; Table1[[#This Row],[same_2]]=1, 1, 0)</f>
        <v>0</v>
      </c>
      <c r="K427">
        <f>IF(ISNUMBER(SEARCH(Table1[[#This Row],[their_ent_1]],Table1[[#This Row],[my_ent_1]])), 1, 0)</f>
        <v>1</v>
      </c>
      <c r="L427">
        <f>IF(ISNUMBER(SEARCH(Table1[[#This Row],[their_ent_2]],Table1[[#This Row],[my_ent_2]])), 1, 0)</f>
        <v>0</v>
      </c>
    </row>
    <row r="428" spans="1:12" x14ac:dyDescent="0.3">
      <c r="A428" t="s">
        <v>1443</v>
      </c>
      <c r="B428" t="s">
        <v>1444</v>
      </c>
      <c r="C428" t="s">
        <v>353</v>
      </c>
      <c r="D428" t="s">
        <v>202</v>
      </c>
      <c r="E428" t="s">
        <v>203</v>
      </c>
      <c r="F428">
        <v>0</v>
      </c>
      <c r="G428">
        <v>426</v>
      </c>
      <c r="H428">
        <f>IF(Table1[[#This Row],[my_ent_1]]=Table1[[#This Row],[their_ent_1]], 1, 0)</f>
        <v>0</v>
      </c>
      <c r="I428">
        <f>IF(Table1[[#This Row],[my_ent_2]]=Table1[[#This Row],[their_ent_2]], 1, 0)</f>
        <v>0</v>
      </c>
      <c r="J428">
        <f>IF(Table1[[#This Row],[same_1]]=1 &amp; Table1[[#This Row],[same_2]]=1, 1, 0)</f>
        <v>0</v>
      </c>
      <c r="K428">
        <f>IF(ISNUMBER(SEARCH(Table1[[#This Row],[their_ent_1]],Table1[[#This Row],[my_ent_1]])), 1, 0)</f>
        <v>0</v>
      </c>
      <c r="L428">
        <f>IF(ISNUMBER(SEARCH(Table1[[#This Row],[their_ent_2]],Table1[[#This Row],[my_ent_2]])), 1, 0)</f>
        <v>0</v>
      </c>
    </row>
    <row r="429" spans="1:12" x14ac:dyDescent="0.3">
      <c r="A429" t="s">
        <v>1445</v>
      </c>
      <c r="B429" t="s">
        <v>1446</v>
      </c>
      <c r="C429" t="s">
        <v>1446</v>
      </c>
      <c r="D429" t="s">
        <v>1447</v>
      </c>
      <c r="E429" t="s">
        <v>1448</v>
      </c>
      <c r="F429">
        <v>0</v>
      </c>
      <c r="G429">
        <v>427</v>
      </c>
      <c r="H429">
        <f>IF(Table1[[#This Row],[my_ent_1]]=Table1[[#This Row],[their_ent_1]], 1, 0)</f>
        <v>1</v>
      </c>
      <c r="I429">
        <f>IF(Table1[[#This Row],[my_ent_2]]=Table1[[#This Row],[their_ent_2]], 1, 0)</f>
        <v>0</v>
      </c>
      <c r="J429">
        <f>IF(Table1[[#This Row],[same_1]]=1 &amp; Table1[[#This Row],[same_2]]=1, 1, 0)</f>
        <v>0</v>
      </c>
      <c r="K429">
        <f>IF(ISNUMBER(SEARCH(Table1[[#This Row],[their_ent_1]],Table1[[#This Row],[my_ent_1]])), 1, 0)</f>
        <v>1</v>
      </c>
      <c r="L429">
        <f>IF(ISNUMBER(SEARCH(Table1[[#This Row],[their_ent_2]],Table1[[#This Row],[my_ent_2]])), 1, 0)</f>
        <v>0</v>
      </c>
    </row>
    <row r="430" spans="1:12" x14ac:dyDescent="0.3">
      <c r="A430" t="s">
        <v>1449</v>
      </c>
      <c r="B430" t="s">
        <v>1450</v>
      </c>
      <c r="C430" t="s">
        <v>1450</v>
      </c>
      <c r="D430" t="s">
        <v>1451</v>
      </c>
      <c r="E430" t="s">
        <v>1452</v>
      </c>
      <c r="F430">
        <v>0</v>
      </c>
      <c r="G430">
        <v>428</v>
      </c>
      <c r="H430">
        <f>IF(Table1[[#This Row],[my_ent_1]]=Table1[[#This Row],[their_ent_1]], 1, 0)</f>
        <v>1</v>
      </c>
      <c r="I430">
        <f>IF(Table1[[#This Row],[my_ent_2]]=Table1[[#This Row],[their_ent_2]], 1, 0)</f>
        <v>0</v>
      </c>
      <c r="J430">
        <f>IF(Table1[[#This Row],[same_1]]=1 &amp; Table1[[#This Row],[same_2]]=1, 1, 0)</f>
        <v>0</v>
      </c>
      <c r="K430">
        <f>IF(ISNUMBER(SEARCH(Table1[[#This Row],[their_ent_1]],Table1[[#This Row],[my_ent_1]])), 1, 0)</f>
        <v>1</v>
      </c>
      <c r="L430">
        <f>IF(ISNUMBER(SEARCH(Table1[[#This Row],[their_ent_2]],Table1[[#This Row],[my_ent_2]])), 1, 0)</f>
        <v>0</v>
      </c>
    </row>
    <row r="431" spans="1:12" x14ac:dyDescent="0.3">
      <c r="A431" t="s">
        <v>1453</v>
      </c>
      <c r="B431" t="s">
        <v>353</v>
      </c>
      <c r="C431" t="s">
        <v>1454</v>
      </c>
      <c r="D431" t="s">
        <v>1455</v>
      </c>
      <c r="E431" t="s">
        <v>980</v>
      </c>
      <c r="F431">
        <v>0</v>
      </c>
      <c r="G431">
        <v>429</v>
      </c>
      <c r="H431">
        <f>IF(Table1[[#This Row],[my_ent_1]]=Table1[[#This Row],[their_ent_1]], 1, 0)</f>
        <v>0</v>
      </c>
      <c r="I431">
        <f>IF(Table1[[#This Row],[my_ent_2]]=Table1[[#This Row],[their_ent_2]], 1, 0)</f>
        <v>0</v>
      </c>
      <c r="J431">
        <f>IF(Table1[[#This Row],[same_1]]=1 &amp; Table1[[#This Row],[same_2]]=1, 1, 0)</f>
        <v>0</v>
      </c>
      <c r="K431">
        <f>IF(ISNUMBER(SEARCH(Table1[[#This Row],[their_ent_1]],Table1[[#This Row],[my_ent_1]])), 1, 0)</f>
        <v>0</v>
      </c>
      <c r="L431">
        <f>IF(ISNUMBER(SEARCH(Table1[[#This Row],[their_ent_2]],Table1[[#This Row],[my_ent_2]])), 1, 0)</f>
        <v>0</v>
      </c>
    </row>
    <row r="432" spans="1:12" x14ac:dyDescent="0.3">
      <c r="A432" t="s">
        <v>1456</v>
      </c>
      <c r="B432" t="s">
        <v>113</v>
      </c>
      <c r="C432" t="s">
        <v>1457</v>
      </c>
      <c r="D432" t="s">
        <v>450</v>
      </c>
      <c r="E432" t="s">
        <v>1458</v>
      </c>
      <c r="F432">
        <v>0</v>
      </c>
      <c r="G432">
        <v>430</v>
      </c>
      <c r="H432">
        <f>IF(Table1[[#This Row],[my_ent_1]]=Table1[[#This Row],[their_ent_1]], 1, 0)</f>
        <v>0</v>
      </c>
      <c r="I432">
        <f>IF(Table1[[#This Row],[my_ent_2]]=Table1[[#This Row],[their_ent_2]], 1, 0)</f>
        <v>0</v>
      </c>
      <c r="J432">
        <f>IF(Table1[[#This Row],[same_1]]=1 &amp; Table1[[#This Row],[same_2]]=1, 1, 0)</f>
        <v>0</v>
      </c>
      <c r="K432">
        <f>IF(ISNUMBER(SEARCH(Table1[[#This Row],[their_ent_1]],Table1[[#This Row],[my_ent_1]])), 1, 0)</f>
        <v>0</v>
      </c>
      <c r="L432">
        <f>IF(ISNUMBER(SEARCH(Table1[[#This Row],[their_ent_2]],Table1[[#This Row],[my_ent_2]])), 1, 0)</f>
        <v>0</v>
      </c>
    </row>
    <row r="433" spans="1:12" x14ac:dyDescent="0.3">
      <c r="A433" t="s">
        <v>1459</v>
      </c>
      <c r="B433" t="s">
        <v>1460</v>
      </c>
      <c r="C433" t="s">
        <v>1461</v>
      </c>
      <c r="D433" t="s">
        <v>1462</v>
      </c>
      <c r="E433" t="s">
        <v>1460</v>
      </c>
      <c r="F433">
        <v>0</v>
      </c>
      <c r="G433">
        <v>431</v>
      </c>
      <c r="H433">
        <f>IF(Table1[[#This Row],[my_ent_1]]=Table1[[#This Row],[their_ent_1]], 1, 0)</f>
        <v>0</v>
      </c>
      <c r="I433">
        <f>IF(Table1[[#This Row],[my_ent_2]]=Table1[[#This Row],[their_ent_2]], 1, 0)</f>
        <v>0</v>
      </c>
      <c r="J433">
        <f>IF(Table1[[#This Row],[same_1]]=1 &amp; Table1[[#This Row],[same_2]]=1, 1, 0)</f>
        <v>0</v>
      </c>
      <c r="K433">
        <f>IF(ISNUMBER(SEARCH(Table1[[#This Row],[their_ent_1]],Table1[[#This Row],[my_ent_1]])), 1, 0)</f>
        <v>0</v>
      </c>
      <c r="L433">
        <f>IF(ISNUMBER(SEARCH(Table1[[#This Row],[their_ent_2]],Table1[[#This Row],[my_ent_2]])), 1, 0)</f>
        <v>0</v>
      </c>
    </row>
    <row r="434" spans="1:12" x14ac:dyDescent="0.3">
      <c r="A434" t="s">
        <v>1463</v>
      </c>
      <c r="B434" t="s">
        <v>1464</v>
      </c>
      <c r="C434" t="s">
        <v>1464</v>
      </c>
      <c r="D434" t="s">
        <v>59</v>
      </c>
      <c r="E434" t="s">
        <v>1465</v>
      </c>
      <c r="F434">
        <v>0</v>
      </c>
      <c r="G434">
        <v>432</v>
      </c>
      <c r="H434">
        <f>IF(Table1[[#This Row],[my_ent_1]]=Table1[[#This Row],[their_ent_1]], 1, 0)</f>
        <v>1</v>
      </c>
      <c r="I434">
        <f>IF(Table1[[#This Row],[my_ent_2]]=Table1[[#This Row],[their_ent_2]], 1, 0)</f>
        <v>0</v>
      </c>
      <c r="J434">
        <f>IF(Table1[[#This Row],[same_1]]=1 &amp; Table1[[#This Row],[same_2]]=1, 1, 0)</f>
        <v>0</v>
      </c>
      <c r="K434">
        <f>IF(ISNUMBER(SEARCH(Table1[[#This Row],[their_ent_1]],Table1[[#This Row],[my_ent_1]])), 1, 0)</f>
        <v>1</v>
      </c>
      <c r="L434">
        <f>IF(ISNUMBER(SEARCH(Table1[[#This Row],[their_ent_2]],Table1[[#This Row],[my_ent_2]])), 1, 0)</f>
        <v>0</v>
      </c>
    </row>
    <row r="435" spans="1:12" x14ac:dyDescent="0.3">
      <c r="A435" t="s">
        <v>1466</v>
      </c>
      <c r="B435" t="s">
        <v>1467</v>
      </c>
      <c r="C435" t="s">
        <v>1467</v>
      </c>
      <c r="D435" t="s">
        <v>1468</v>
      </c>
      <c r="E435" t="s">
        <v>1469</v>
      </c>
      <c r="F435">
        <v>0</v>
      </c>
      <c r="G435">
        <v>433</v>
      </c>
      <c r="H435">
        <f>IF(Table1[[#This Row],[my_ent_1]]=Table1[[#This Row],[their_ent_1]], 1, 0)</f>
        <v>1</v>
      </c>
      <c r="I435">
        <f>IF(Table1[[#This Row],[my_ent_2]]=Table1[[#This Row],[their_ent_2]], 1, 0)</f>
        <v>0</v>
      </c>
      <c r="J435">
        <f>IF(Table1[[#This Row],[same_1]]=1 &amp; Table1[[#This Row],[same_2]]=1, 1, 0)</f>
        <v>0</v>
      </c>
      <c r="K435">
        <f>IF(ISNUMBER(SEARCH(Table1[[#This Row],[their_ent_1]],Table1[[#This Row],[my_ent_1]])), 1, 0)</f>
        <v>1</v>
      </c>
      <c r="L435">
        <f>IF(ISNUMBER(SEARCH(Table1[[#This Row],[their_ent_2]],Table1[[#This Row],[my_ent_2]])), 1, 0)</f>
        <v>0</v>
      </c>
    </row>
    <row r="436" spans="1:12" x14ac:dyDescent="0.3">
      <c r="A436" t="s">
        <v>1470</v>
      </c>
      <c r="B436" t="s">
        <v>402</v>
      </c>
      <c r="C436" t="s">
        <v>1471</v>
      </c>
      <c r="D436" t="s">
        <v>59</v>
      </c>
      <c r="E436" t="s">
        <v>402</v>
      </c>
      <c r="F436">
        <v>0</v>
      </c>
      <c r="G436">
        <v>434</v>
      </c>
      <c r="H436">
        <f>IF(Table1[[#This Row],[my_ent_1]]=Table1[[#This Row],[their_ent_1]], 1, 0)</f>
        <v>0</v>
      </c>
      <c r="I436">
        <f>IF(Table1[[#This Row],[my_ent_2]]=Table1[[#This Row],[their_ent_2]], 1, 0)</f>
        <v>0</v>
      </c>
      <c r="J436">
        <f>IF(Table1[[#This Row],[same_1]]=1 &amp; Table1[[#This Row],[same_2]]=1, 1, 0)</f>
        <v>0</v>
      </c>
      <c r="K436">
        <f>IF(ISNUMBER(SEARCH(Table1[[#This Row],[their_ent_1]],Table1[[#This Row],[my_ent_1]])), 1, 0)</f>
        <v>0</v>
      </c>
      <c r="L436">
        <f>IF(ISNUMBER(SEARCH(Table1[[#This Row],[their_ent_2]],Table1[[#This Row],[my_ent_2]])), 1, 0)</f>
        <v>0</v>
      </c>
    </row>
    <row r="437" spans="1:12" x14ac:dyDescent="0.3">
      <c r="A437" t="s">
        <v>1472</v>
      </c>
      <c r="B437" t="s">
        <v>1473</v>
      </c>
      <c r="C437" t="s">
        <v>552</v>
      </c>
      <c r="D437" t="s">
        <v>128</v>
      </c>
      <c r="E437" t="s">
        <v>128</v>
      </c>
      <c r="F437">
        <v>0</v>
      </c>
      <c r="G437">
        <v>435</v>
      </c>
      <c r="H437">
        <f>IF(Table1[[#This Row],[my_ent_1]]=Table1[[#This Row],[their_ent_1]], 1, 0)</f>
        <v>0</v>
      </c>
      <c r="I437">
        <f>IF(Table1[[#This Row],[my_ent_2]]=Table1[[#This Row],[their_ent_2]], 1, 0)</f>
        <v>1</v>
      </c>
      <c r="J437">
        <f>IF(Table1[[#This Row],[same_1]]=1 &amp; Table1[[#This Row],[same_2]]=1, 1, 0)</f>
        <v>0</v>
      </c>
      <c r="K437">
        <f>IF(ISNUMBER(SEARCH(Table1[[#This Row],[their_ent_1]],Table1[[#This Row],[my_ent_1]])), 1, 0)</f>
        <v>1</v>
      </c>
      <c r="L437">
        <f>IF(ISNUMBER(SEARCH(Table1[[#This Row],[their_ent_2]],Table1[[#This Row],[my_ent_2]])), 1, 0)</f>
        <v>1</v>
      </c>
    </row>
    <row r="438" spans="1:12" x14ac:dyDescent="0.3">
      <c r="A438" t="s">
        <v>1474</v>
      </c>
      <c r="B438" t="s">
        <v>1475</v>
      </c>
      <c r="C438" t="s">
        <v>1475</v>
      </c>
      <c r="D438" t="s">
        <v>1476</v>
      </c>
      <c r="E438" t="s">
        <v>1477</v>
      </c>
      <c r="F438">
        <v>0</v>
      </c>
      <c r="G438">
        <v>436</v>
      </c>
      <c r="H438">
        <f>IF(Table1[[#This Row],[my_ent_1]]=Table1[[#This Row],[their_ent_1]], 1, 0)</f>
        <v>1</v>
      </c>
      <c r="I438">
        <f>IF(Table1[[#This Row],[my_ent_2]]=Table1[[#This Row],[their_ent_2]], 1, 0)</f>
        <v>0</v>
      </c>
      <c r="J438">
        <f>IF(Table1[[#This Row],[same_1]]=1 &amp; Table1[[#This Row],[same_2]]=1, 1, 0)</f>
        <v>0</v>
      </c>
      <c r="K438">
        <f>IF(ISNUMBER(SEARCH(Table1[[#This Row],[their_ent_1]],Table1[[#This Row],[my_ent_1]])), 1, 0)</f>
        <v>1</v>
      </c>
      <c r="L438">
        <f>IF(ISNUMBER(SEARCH(Table1[[#This Row],[their_ent_2]],Table1[[#This Row],[my_ent_2]])), 1, 0)</f>
        <v>0</v>
      </c>
    </row>
    <row r="439" spans="1:12" x14ac:dyDescent="0.3">
      <c r="A439" t="s">
        <v>1478</v>
      </c>
      <c r="B439" t="s">
        <v>1479</v>
      </c>
      <c r="C439" t="s">
        <v>1480</v>
      </c>
      <c r="D439" t="s">
        <v>1481</v>
      </c>
      <c r="E439" t="s">
        <v>1482</v>
      </c>
      <c r="F439">
        <v>0</v>
      </c>
      <c r="G439">
        <v>437</v>
      </c>
      <c r="H439">
        <f>IF(Table1[[#This Row],[my_ent_1]]=Table1[[#This Row],[their_ent_1]], 1, 0)</f>
        <v>0</v>
      </c>
      <c r="I439">
        <f>IF(Table1[[#This Row],[my_ent_2]]=Table1[[#This Row],[their_ent_2]], 1, 0)</f>
        <v>0</v>
      </c>
      <c r="J439">
        <f>IF(Table1[[#This Row],[same_1]]=1 &amp; Table1[[#This Row],[same_2]]=1, 1, 0)</f>
        <v>0</v>
      </c>
      <c r="K439">
        <f>IF(ISNUMBER(SEARCH(Table1[[#This Row],[their_ent_1]],Table1[[#This Row],[my_ent_1]])), 1, 0)</f>
        <v>0</v>
      </c>
      <c r="L439">
        <f>IF(ISNUMBER(SEARCH(Table1[[#This Row],[their_ent_2]],Table1[[#This Row],[my_ent_2]])), 1, 0)</f>
        <v>0</v>
      </c>
    </row>
    <row r="440" spans="1:12" x14ac:dyDescent="0.3">
      <c r="A440" t="s">
        <v>1483</v>
      </c>
      <c r="B440" t="s">
        <v>1484</v>
      </c>
      <c r="C440" t="s">
        <v>1485</v>
      </c>
      <c r="D440" t="s">
        <v>1486</v>
      </c>
      <c r="E440" t="s">
        <v>1486</v>
      </c>
      <c r="F440">
        <v>0</v>
      </c>
      <c r="G440">
        <v>438</v>
      </c>
      <c r="H440">
        <f>IF(Table1[[#This Row],[my_ent_1]]=Table1[[#This Row],[their_ent_1]], 1, 0)</f>
        <v>0</v>
      </c>
      <c r="I440">
        <f>IF(Table1[[#This Row],[my_ent_2]]=Table1[[#This Row],[their_ent_2]], 1, 0)</f>
        <v>1</v>
      </c>
      <c r="J440">
        <f>IF(Table1[[#This Row],[same_1]]=1 &amp; Table1[[#This Row],[same_2]]=1, 1, 0)</f>
        <v>0</v>
      </c>
      <c r="K440">
        <f>IF(ISNUMBER(SEARCH(Table1[[#This Row],[their_ent_1]],Table1[[#This Row],[my_ent_1]])), 1, 0)</f>
        <v>1</v>
      </c>
      <c r="L440">
        <f>IF(ISNUMBER(SEARCH(Table1[[#This Row],[their_ent_2]],Table1[[#This Row],[my_ent_2]])), 1, 0)</f>
        <v>1</v>
      </c>
    </row>
    <row r="441" spans="1:12" x14ac:dyDescent="0.3">
      <c r="A441" t="s">
        <v>1487</v>
      </c>
      <c r="B441" t="s">
        <v>275</v>
      </c>
      <c r="C441" t="s">
        <v>275</v>
      </c>
      <c r="D441" t="s">
        <v>1488</v>
      </c>
      <c r="E441" t="s">
        <v>1246</v>
      </c>
      <c r="F441">
        <v>0</v>
      </c>
      <c r="G441">
        <v>439</v>
      </c>
      <c r="H441">
        <f>IF(Table1[[#This Row],[my_ent_1]]=Table1[[#This Row],[their_ent_1]], 1, 0)</f>
        <v>1</v>
      </c>
      <c r="I441">
        <f>IF(Table1[[#This Row],[my_ent_2]]=Table1[[#This Row],[their_ent_2]], 1, 0)</f>
        <v>0</v>
      </c>
      <c r="J441">
        <f>IF(Table1[[#This Row],[same_1]]=1 &amp; Table1[[#This Row],[same_2]]=1, 1, 0)</f>
        <v>0</v>
      </c>
      <c r="K441">
        <f>IF(ISNUMBER(SEARCH(Table1[[#This Row],[their_ent_1]],Table1[[#This Row],[my_ent_1]])), 1, 0)</f>
        <v>1</v>
      </c>
      <c r="L441">
        <f>IF(ISNUMBER(SEARCH(Table1[[#This Row],[their_ent_2]],Table1[[#This Row],[my_ent_2]])), 1, 0)</f>
        <v>0</v>
      </c>
    </row>
    <row r="442" spans="1:12" x14ac:dyDescent="0.3">
      <c r="A442" t="s">
        <v>1489</v>
      </c>
      <c r="B442" t="s">
        <v>1490</v>
      </c>
      <c r="C442" t="s">
        <v>312</v>
      </c>
      <c r="D442" t="s">
        <v>1491</v>
      </c>
      <c r="E442" t="s">
        <v>1492</v>
      </c>
      <c r="F442">
        <v>0</v>
      </c>
      <c r="G442">
        <v>440</v>
      </c>
      <c r="H442">
        <f>IF(Table1[[#This Row],[my_ent_1]]=Table1[[#This Row],[their_ent_1]], 1, 0)</f>
        <v>0</v>
      </c>
      <c r="I442">
        <f>IF(Table1[[#This Row],[my_ent_2]]=Table1[[#This Row],[their_ent_2]], 1, 0)</f>
        <v>0</v>
      </c>
      <c r="J442">
        <f>IF(Table1[[#This Row],[same_1]]=1 &amp; Table1[[#This Row],[same_2]]=1, 1, 0)</f>
        <v>0</v>
      </c>
      <c r="K442">
        <f>IF(ISNUMBER(SEARCH(Table1[[#This Row],[their_ent_1]],Table1[[#This Row],[my_ent_1]])), 1, 0)</f>
        <v>0</v>
      </c>
      <c r="L442">
        <f>IF(ISNUMBER(SEARCH(Table1[[#This Row],[their_ent_2]],Table1[[#This Row],[my_ent_2]])), 1, 0)</f>
        <v>0</v>
      </c>
    </row>
    <row r="443" spans="1:12" x14ac:dyDescent="0.3">
      <c r="A443" t="s">
        <v>1493</v>
      </c>
      <c r="B443" t="s">
        <v>464</v>
      </c>
      <c r="C443" t="s">
        <v>761</v>
      </c>
      <c r="D443" t="s">
        <v>25</v>
      </c>
      <c r="E443" t="s">
        <v>1494</v>
      </c>
      <c r="F443">
        <v>0</v>
      </c>
      <c r="G443">
        <v>441</v>
      </c>
      <c r="H443">
        <f>IF(Table1[[#This Row],[my_ent_1]]=Table1[[#This Row],[their_ent_1]], 1, 0)</f>
        <v>0</v>
      </c>
      <c r="I443">
        <f>IF(Table1[[#This Row],[my_ent_2]]=Table1[[#This Row],[their_ent_2]], 1, 0)</f>
        <v>0</v>
      </c>
      <c r="J443">
        <f>IF(Table1[[#This Row],[same_1]]=1 &amp; Table1[[#This Row],[same_2]]=1, 1, 0)</f>
        <v>0</v>
      </c>
      <c r="K443">
        <f>IF(ISNUMBER(SEARCH(Table1[[#This Row],[their_ent_1]],Table1[[#This Row],[my_ent_1]])), 1, 0)</f>
        <v>0</v>
      </c>
      <c r="L443">
        <f>IF(ISNUMBER(SEARCH(Table1[[#This Row],[their_ent_2]],Table1[[#This Row],[my_ent_2]])), 1, 0)</f>
        <v>0</v>
      </c>
    </row>
    <row r="444" spans="1:12" x14ac:dyDescent="0.3">
      <c r="A444" t="s">
        <v>1495</v>
      </c>
      <c r="B444" t="s">
        <v>1496</v>
      </c>
      <c r="C444" t="s">
        <v>1497</v>
      </c>
      <c r="D444" t="s">
        <v>1498</v>
      </c>
      <c r="E444" t="s">
        <v>243</v>
      </c>
      <c r="F444">
        <v>0</v>
      </c>
      <c r="G444">
        <v>442</v>
      </c>
      <c r="H444">
        <f>IF(Table1[[#This Row],[my_ent_1]]=Table1[[#This Row],[their_ent_1]], 1, 0)</f>
        <v>0</v>
      </c>
      <c r="I444">
        <f>IF(Table1[[#This Row],[my_ent_2]]=Table1[[#This Row],[their_ent_2]], 1, 0)</f>
        <v>0</v>
      </c>
      <c r="J444">
        <f>IF(Table1[[#This Row],[same_1]]=1 &amp; Table1[[#This Row],[same_2]]=1, 1, 0)</f>
        <v>0</v>
      </c>
      <c r="K444">
        <f>IF(ISNUMBER(SEARCH(Table1[[#This Row],[their_ent_1]],Table1[[#This Row],[my_ent_1]])), 1, 0)</f>
        <v>0</v>
      </c>
      <c r="L444">
        <f>IF(ISNUMBER(SEARCH(Table1[[#This Row],[their_ent_2]],Table1[[#This Row],[my_ent_2]])), 1, 0)</f>
        <v>0</v>
      </c>
    </row>
    <row r="445" spans="1:12" x14ac:dyDescent="0.3">
      <c r="A445" t="s">
        <v>1499</v>
      </c>
      <c r="B445" t="s">
        <v>1500</v>
      </c>
      <c r="C445" t="s">
        <v>1501</v>
      </c>
      <c r="D445" t="s">
        <v>1502</v>
      </c>
      <c r="E445" t="s">
        <v>1503</v>
      </c>
      <c r="F445">
        <v>0</v>
      </c>
      <c r="G445">
        <v>443</v>
      </c>
      <c r="H445">
        <f>IF(Table1[[#This Row],[my_ent_1]]=Table1[[#This Row],[their_ent_1]], 1, 0)</f>
        <v>0</v>
      </c>
      <c r="I445">
        <f>IF(Table1[[#This Row],[my_ent_2]]=Table1[[#This Row],[their_ent_2]], 1, 0)</f>
        <v>0</v>
      </c>
      <c r="J445">
        <f>IF(Table1[[#This Row],[same_1]]=1 &amp; Table1[[#This Row],[same_2]]=1, 1, 0)</f>
        <v>0</v>
      </c>
      <c r="K445">
        <f>IF(ISNUMBER(SEARCH(Table1[[#This Row],[their_ent_1]],Table1[[#This Row],[my_ent_1]])), 1, 0)</f>
        <v>1</v>
      </c>
      <c r="L445">
        <f>IF(ISNUMBER(SEARCH(Table1[[#This Row],[their_ent_2]],Table1[[#This Row],[my_ent_2]])), 1, 0)</f>
        <v>0</v>
      </c>
    </row>
    <row r="446" spans="1:12" x14ac:dyDescent="0.3">
      <c r="A446" t="s">
        <v>1504</v>
      </c>
      <c r="B446" t="s">
        <v>20</v>
      </c>
      <c r="C446" t="s">
        <v>20</v>
      </c>
      <c r="D446" t="s">
        <v>1505</v>
      </c>
      <c r="E446" t="s">
        <v>392</v>
      </c>
      <c r="F446">
        <v>0</v>
      </c>
      <c r="G446">
        <v>444</v>
      </c>
      <c r="H446">
        <f>IF(Table1[[#This Row],[my_ent_1]]=Table1[[#This Row],[their_ent_1]], 1, 0)</f>
        <v>1</v>
      </c>
      <c r="I446">
        <f>IF(Table1[[#This Row],[my_ent_2]]=Table1[[#This Row],[their_ent_2]], 1, 0)</f>
        <v>0</v>
      </c>
      <c r="J446">
        <f>IF(Table1[[#This Row],[same_1]]=1 &amp; Table1[[#This Row],[same_2]]=1, 1, 0)</f>
        <v>0</v>
      </c>
      <c r="K446">
        <f>IF(ISNUMBER(SEARCH(Table1[[#This Row],[their_ent_1]],Table1[[#This Row],[my_ent_1]])), 1, 0)</f>
        <v>1</v>
      </c>
      <c r="L446">
        <f>IF(ISNUMBER(SEARCH(Table1[[#This Row],[their_ent_2]],Table1[[#This Row],[my_ent_2]])), 1, 0)</f>
        <v>0</v>
      </c>
    </row>
    <row r="447" spans="1:12" x14ac:dyDescent="0.3">
      <c r="A447" t="s">
        <v>1506</v>
      </c>
      <c r="B447" t="s">
        <v>26</v>
      </c>
      <c r="C447" t="s">
        <v>761</v>
      </c>
      <c r="D447" t="s">
        <v>142</v>
      </c>
      <c r="E447" t="s">
        <v>1362</v>
      </c>
      <c r="F447">
        <v>0</v>
      </c>
      <c r="G447">
        <v>445</v>
      </c>
      <c r="H447">
        <f>IF(Table1[[#This Row],[my_ent_1]]=Table1[[#This Row],[their_ent_1]], 1, 0)</f>
        <v>0</v>
      </c>
      <c r="I447">
        <f>IF(Table1[[#This Row],[my_ent_2]]=Table1[[#This Row],[their_ent_2]], 1, 0)</f>
        <v>0</v>
      </c>
      <c r="J447">
        <f>IF(Table1[[#This Row],[same_1]]=1 &amp; Table1[[#This Row],[same_2]]=1, 1, 0)</f>
        <v>0</v>
      </c>
      <c r="K447">
        <f>IF(ISNUMBER(SEARCH(Table1[[#This Row],[their_ent_1]],Table1[[#This Row],[my_ent_1]])), 1, 0)</f>
        <v>0</v>
      </c>
      <c r="L447">
        <f>IF(ISNUMBER(SEARCH(Table1[[#This Row],[their_ent_2]],Table1[[#This Row],[my_ent_2]])), 1, 0)</f>
        <v>0</v>
      </c>
    </row>
    <row r="448" spans="1:12" x14ac:dyDescent="0.3">
      <c r="A448" t="s">
        <v>1507</v>
      </c>
      <c r="B448" t="s">
        <v>1508</v>
      </c>
      <c r="C448" t="s">
        <v>1508</v>
      </c>
      <c r="D448" t="s">
        <v>1509</v>
      </c>
      <c r="E448" t="s">
        <v>1510</v>
      </c>
      <c r="F448">
        <v>0</v>
      </c>
      <c r="G448">
        <v>446</v>
      </c>
      <c r="H448">
        <f>IF(Table1[[#This Row],[my_ent_1]]=Table1[[#This Row],[their_ent_1]], 1, 0)</f>
        <v>1</v>
      </c>
      <c r="I448">
        <f>IF(Table1[[#This Row],[my_ent_2]]=Table1[[#This Row],[their_ent_2]], 1, 0)</f>
        <v>0</v>
      </c>
      <c r="J448">
        <f>IF(Table1[[#This Row],[same_1]]=1 &amp; Table1[[#This Row],[same_2]]=1, 1, 0)</f>
        <v>0</v>
      </c>
      <c r="K448">
        <f>IF(ISNUMBER(SEARCH(Table1[[#This Row],[their_ent_1]],Table1[[#This Row],[my_ent_1]])), 1, 0)</f>
        <v>1</v>
      </c>
      <c r="L448">
        <f>IF(ISNUMBER(SEARCH(Table1[[#This Row],[their_ent_2]],Table1[[#This Row],[my_ent_2]])), 1, 0)</f>
        <v>1</v>
      </c>
    </row>
    <row r="449" spans="1:12" x14ac:dyDescent="0.3">
      <c r="A449" t="s">
        <v>1511</v>
      </c>
      <c r="B449" t="s">
        <v>1512</v>
      </c>
      <c r="C449" t="s">
        <v>1513</v>
      </c>
      <c r="D449" t="s">
        <v>1114</v>
      </c>
      <c r="E449" t="s">
        <v>1170</v>
      </c>
      <c r="F449">
        <v>0</v>
      </c>
      <c r="G449">
        <v>447</v>
      </c>
      <c r="H449">
        <f>IF(Table1[[#This Row],[my_ent_1]]=Table1[[#This Row],[their_ent_1]], 1, 0)</f>
        <v>0</v>
      </c>
      <c r="I449">
        <f>IF(Table1[[#This Row],[my_ent_2]]=Table1[[#This Row],[their_ent_2]], 1, 0)</f>
        <v>0</v>
      </c>
      <c r="J449">
        <f>IF(Table1[[#This Row],[same_1]]=1 &amp; Table1[[#This Row],[same_2]]=1, 1, 0)</f>
        <v>0</v>
      </c>
      <c r="K449">
        <f>IF(ISNUMBER(SEARCH(Table1[[#This Row],[their_ent_1]],Table1[[#This Row],[my_ent_1]])), 1, 0)</f>
        <v>0</v>
      </c>
      <c r="L449">
        <f>IF(ISNUMBER(SEARCH(Table1[[#This Row],[their_ent_2]],Table1[[#This Row],[my_ent_2]])), 1, 0)</f>
        <v>0</v>
      </c>
    </row>
    <row r="450" spans="1:12" x14ac:dyDescent="0.3">
      <c r="A450" t="s">
        <v>1514</v>
      </c>
      <c r="B450" t="s">
        <v>1515</v>
      </c>
      <c r="C450" t="s">
        <v>1515</v>
      </c>
      <c r="D450" t="s">
        <v>1516</v>
      </c>
      <c r="E450" t="s">
        <v>222</v>
      </c>
      <c r="F450">
        <v>0</v>
      </c>
      <c r="G450">
        <v>448</v>
      </c>
      <c r="H450">
        <f>IF(Table1[[#This Row],[my_ent_1]]=Table1[[#This Row],[their_ent_1]], 1, 0)</f>
        <v>1</v>
      </c>
      <c r="I450">
        <f>IF(Table1[[#This Row],[my_ent_2]]=Table1[[#This Row],[their_ent_2]], 1, 0)</f>
        <v>0</v>
      </c>
      <c r="J450">
        <f>IF(Table1[[#This Row],[same_1]]=1 &amp; Table1[[#This Row],[same_2]]=1, 1, 0)</f>
        <v>0</v>
      </c>
      <c r="K450">
        <f>IF(ISNUMBER(SEARCH(Table1[[#This Row],[their_ent_1]],Table1[[#This Row],[my_ent_1]])), 1, 0)</f>
        <v>1</v>
      </c>
      <c r="L450">
        <f>IF(ISNUMBER(SEARCH(Table1[[#This Row],[their_ent_2]],Table1[[#This Row],[my_ent_2]])), 1, 0)</f>
        <v>0</v>
      </c>
    </row>
    <row r="451" spans="1:12" x14ac:dyDescent="0.3">
      <c r="A451" t="s">
        <v>1517</v>
      </c>
      <c r="B451" t="s">
        <v>1518</v>
      </c>
      <c r="C451" t="s">
        <v>396</v>
      </c>
      <c r="D451" t="s">
        <v>959</v>
      </c>
      <c r="E451" t="s">
        <v>78</v>
      </c>
      <c r="F451">
        <v>0</v>
      </c>
      <c r="G451">
        <v>449</v>
      </c>
      <c r="H451">
        <f>IF(Table1[[#This Row],[my_ent_1]]=Table1[[#This Row],[their_ent_1]], 1, 0)</f>
        <v>0</v>
      </c>
      <c r="I451">
        <f>IF(Table1[[#This Row],[my_ent_2]]=Table1[[#This Row],[their_ent_2]], 1, 0)</f>
        <v>0</v>
      </c>
      <c r="J451">
        <f>IF(Table1[[#This Row],[same_1]]=1 &amp; Table1[[#This Row],[same_2]]=1, 1, 0)</f>
        <v>0</v>
      </c>
      <c r="K451">
        <f>IF(ISNUMBER(SEARCH(Table1[[#This Row],[their_ent_1]],Table1[[#This Row],[my_ent_1]])), 1, 0)</f>
        <v>0</v>
      </c>
      <c r="L451">
        <f>IF(ISNUMBER(SEARCH(Table1[[#This Row],[their_ent_2]],Table1[[#This Row],[my_ent_2]])), 1, 0)</f>
        <v>0</v>
      </c>
    </row>
    <row r="452" spans="1:12" x14ac:dyDescent="0.3">
      <c r="A452" t="s">
        <v>1519</v>
      </c>
      <c r="B452" t="s">
        <v>1520</v>
      </c>
      <c r="C452" t="s">
        <v>281</v>
      </c>
      <c r="D452" t="s">
        <v>26</v>
      </c>
      <c r="E452" t="s">
        <v>1521</v>
      </c>
      <c r="F452">
        <v>0</v>
      </c>
      <c r="G452">
        <v>450</v>
      </c>
      <c r="H452">
        <f>IF(Table1[[#This Row],[my_ent_1]]=Table1[[#This Row],[their_ent_1]], 1, 0)</f>
        <v>0</v>
      </c>
      <c r="I452">
        <f>IF(Table1[[#This Row],[my_ent_2]]=Table1[[#This Row],[their_ent_2]], 1, 0)</f>
        <v>0</v>
      </c>
      <c r="J452">
        <f>IF(Table1[[#This Row],[same_1]]=1 &amp; Table1[[#This Row],[same_2]]=1, 1, 0)</f>
        <v>0</v>
      </c>
      <c r="K452">
        <f>IF(ISNUMBER(SEARCH(Table1[[#This Row],[their_ent_1]],Table1[[#This Row],[my_ent_1]])), 1, 0)</f>
        <v>0</v>
      </c>
      <c r="L452">
        <f>IF(ISNUMBER(SEARCH(Table1[[#This Row],[their_ent_2]],Table1[[#This Row],[my_ent_2]])), 1, 0)</f>
        <v>0</v>
      </c>
    </row>
    <row r="453" spans="1:12" x14ac:dyDescent="0.3">
      <c r="A453" t="s">
        <v>1522</v>
      </c>
      <c r="B453" t="s">
        <v>1523</v>
      </c>
      <c r="C453" t="s">
        <v>1524</v>
      </c>
      <c r="D453" t="s">
        <v>1525</v>
      </c>
      <c r="E453" t="s">
        <v>1525</v>
      </c>
      <c r="F453">
        <v>0</v>
      </c>
      <c r="G453">
        <v>451</v>
      </c>
      <c r="H453">
        <f>IF(Table1[[#This Row],[my_ent_1]]=Table1[[#This Row],[their_ent_1]], 1, 0)</f>
        <v>0</v>
      </c>
      <c r="I453">
        <f>IF(Table1[[#This Row],[my_ent_2]]=Table1[[#This Row],[their_ent_2]], 1, 0)</f>
        <v>1</v>
      </c>
      <c r="J453">
        <f>IF(Table1[[#This Row],[same_1]]=1 &amp; Table1[[#This Row],[same_2]]=1, 1, 0)</f>
        <v>0</v>
      </c>
      <c r="K453">
        <f>IF(ISNUMBER(SEARCH(Table1[[#This Row],[their_ent_1]],Table1[[#This Row],[my_ent_1]])), 1, 0)</f>
        <v>0</v>
      </c>
      <c r="L453">
        <f>IF(ISNUMBER(SEARCH(Table1[[#This Row],[their_ent_2]],Table1[[#This Row],[my_ent_2]])), 1, 0)</f>
        <v>1</v>
      </c>
    </row>
    <row r="454" spans="1:12" x14ac:dyDescent="0.3">
      <c r="A454" t="s">
        <v>1526</v>
      </c>
      <c r="B454" t="s">
        <v>845</v>
      </c>
      <c r="C454" t="s">
        <v>1527</v>
      </c>
      <c r="D454" t="s">
        <v>501</v>
      </c>
      <c r="E454" t="s">
        <v>31</v>
      </c>
      <c r="F454">
        <v>0</v>
      </c>
      <c r="G454">
        <v>452</v>
      </c>
      <c r="H454">
        <f>IF(Table1[[#This Row],[my_ent_1]]=Table1[[#This Row],[their_ent_1]], 1, 0)</f>
        <v>0</v>
      </c>
      <c r="I454">
        <f>IF(Table1[[#This Row],[my_ent_2]]=Table1[[#This Row],[their_ent_2]], 1, 0)</f>
        <v>0</v>
      </c>
      <c r="J454">
        <f>IF(Table1[[#This Row],[same_1]]=1 &amp; Table1[[#This Row],[same_2]]=1, 1, 0)</f>
        <v>0</v>
      </c>
      <c r="K454">
        <f>IF(ISNUMBER(SEARCH(Table1[[#This Row],[their_ent_1]],Table1[[#This Row],[my_ent_1]])), 1, 0)</f>
        <v>0</v>
      </c>
      <c r="L454">
        <f>IF(ISNUMBER(SEARCH(Table1[[#This Row],[their_ent_2]],Table1[[#This Row],[my_ent_2]])), 1, 0)</f>
        <v>0</v>
      </c>
    </row>
    <row r="455" spans="1:12" x14ac:dyDescent="0.3">
      <c r="A455" t="s">
        <v>1528</v>
      </c>
      <c r="B455" t="s">
        <v>1529</v>
      </c>
      <c r="C455" t="s">
        <v>1530</v>
      </c>
      <c r="D455" t="s">
        <v>51</v>
      </c>
      <c r="E455" t="s">
        <v>1529</v>
      </c>
      <c r="F455">
        <v>0</v>
      </c>
      <c r="G455">
        <v>453</v>
      </c>
      <c r="H455">
        <f>IF(Table1[[#This Row],[my_ent_1]]=Table1[[#This Row],[their_ent_1]], 1, 0)</f>
        <v>0</v>
      </c>
      <c r="I455">
        <f>IF(Table1[[#This Row],[my_ent_2]]=Table1[[#This Row],[their_ent_2]], 1, 0)</f>
        <v>0</v>
      </c>
      <c r="J455">
        <f>IF(Table1[[#This Row],[same_1]]=1 &amp; Table1[[#This Row],[same_2]]=1, 1, 0)</f>
        <v>0</v>
      </c>
      <c r="K455">
        <f>IF(ISNUMBER(SEARCH(Table1[[#This Row],[their_ent_1]],Table1[[#This Row],[my_ent_1]])), 1, 0)</f>
        <v>0</v>
      </c>
      <c r="L455">
        <f>IF(ISNUMBER(SEARCH(Table1[[#This Row],[their_ent_2]],Table1[[#This Row],[my_ent_2]])), 1, 0)</f>
        <v>0</v>
      </c>
    </row>
    <row r="456" spans="1:12" x14ac:dyDescent="0.3">
      <c r="A456" t="s">
        <v>1531</v>
      </c>
      <c r="B456" t="s">
        <v>1532</v>
      </c>
      <c r="C456" t="s">
        <v>1533</v>
      </c>
      <c r="D456" t="s">
        <v>1534</v>
      </c>
      <c r="E456" t="s">
        <v>63</v>
      </c>
      <c r="F456">
        <v>0</v>
      </c>
      <c r="G456">
        <v>454</v>
      </c>
      <c r="H456">
        <f>IF(Table1[[#This Row],[my_ent_1]]=Table1[[#This Row],[their_ent_1]], 1, 0)</f>
        <v>0</v>
      </c>
      <c r="I456">
        <f>IF(Table1[[#This Row],[my_ent_2]]=Table1[[#This Row],[their_ent_2]], 1, 0)</f>
        <v>0</v>
      </c>
      <c r="J456">
        <f>IF(Table1[[#This Row],[same_1]]=1 &amp; Table1[[#This Row],[same_2]]=1, 1, 0)</f>
        <v>0</v>
      </c>
      <c r="K456">
        <f>IF(ISNUMBER(SEARCH(Table1[[#This Row],[their_ent_1]],Table1[[#This Row],[my_ent_1]])), 1, 0)</f>
        <v>0</v>
      </c>
      <c r="L456">
        <f>IF(ISNUMBER(SEARCH(Table1[[#This Row],[their_ent_2]],Table1[[#This Row],[my_ent_2]])), 1, 0)</f>
        <v>0</v>
      </c>
    </row>
    <row r="457" spans="1:12" x14ac:dyDescent="0.3">
      <c r="A457" t="s">
        <v>1535</v>
      </c>
      <c r="B457" t="s">
        <v>1536</v>
      </c>
      <c r="C457" t="s">
        <v>1536</v>
      </c>
      <c r="D457" t="s">
        <v>1537</v>
      </c>
      <c r="E457" t="s">
        <v>1538</v>
      </c>
      <c r="F457">
        <v>0</v>
      </c>
      <c r="G457">
        <v>455</v>
      </c>
      <c r="H457">
        <f>IF(Table1[[#This Row],[my_ent_1]]=Table1[[#This Row],[their_ent_1]], 1, 0)</f>
        <v>1</v>
      </c>
      <c r="I457">
        <f>IF(Table1[[#This Row],[my_ent_2]]=Table1[[#This Row],[their_ent_2]], 1, 0)</f>
        <v>0</v>
      </c>
      <c r="J457">
        <f>IF(Table1[[#This Row],[same_1]]=1 &amp; Table1[[#This Row],[same_2]]=1, 1, 0)</f>
        <v>0</v>
      </c>
      <c r="K457">
        <f>IF(ISNUMBER(SEARCH(Table1[[#This Row],[their_ent_1]],Table1[[#This Row],[my_ent_1]])), 1, 0)</f>
        <v>1</v>
      </c>
      <c r="L457">
        <f>IF(ISNUMBER(SEARCH(Table1[[#This Row],[their_ent_2]],Table1[[#This Row],[my_ent_2]])), 1, 0)</f>
        <v>0</v>
      </c>
    </row>
    <row r="458" spans="1:12" x14ac:dyDescent="0.3">
      <c r="A458" t="s">
        <v>1539</v>
      </c>
      <c r="B458" t="s">
        <v>1540</v>
      </c>
      <c r="C458" t="s">
        <v>1541</v>
      </c>
      <c r="D458" t="s">
        <v>1542</v>
      </c>
      <c r="E458" t="s">
        <v>1542</v>
      </c>
      <c r="F458">
        <v>0</v>
      </c>
      <c r="G458">
        <v>456</v>
      </c>
      <c r="H458">
        <f>IF(Table1[[#This Row],[my_ent_1]]=Table1[[#This Row],[their_ent_1]], 1, 0)</f>
        <v>0</v>
      </c>
      <c r="I458">
        <f>IF(Table1[[#This Row],[my_ent_2]]=Table1[[#This Row],[their_ent_2]], 1, 0)</f>
        <v>1</v>
      </c>
      <c r="J458">
        <f>IF(Table1[[#This Row],[same_1]]=1 &amp; Table1[[#This Row],[same_2]]=1, 1, 0)</f>
        <v>0</v>
      </c>
      <c r="K458">
        <f>IF(ISNUMBER(SEARCH(Table1[[#This Row],[their_ent_1]],Table1[[#This Row],[my_ent_1]])), 1, 0)</f>
        <v>0</v>
      </c>
      <c r="L458">
        <f>IF(ISNUMBER(SEARCH(Table1[[#This Row],[their_ent_2]],Table1[[#This Row],[my_ent_2]])), 1, 0)</f>
        <v>1</v>
      </c>
    </row>
    <row r="459" spans="1:12" x14ac:dyDescent="0.3">
      <c r="A459" t="s">
        <v>1543</v>
      </c>
      <c r="B459" t="s">
        <v>1544</v>
      </c>
      <c r="C459" t="s">
        <v>176</v>
      </c>
      <c r="D459" t="s">
        <v>1545</v>
      </c>
      <c r="E459" t="s">
        <v>1546</v>
      </c>
      <c r="F459">
        <v>0</v>
      </c>
      <c r="G459">
        <v>457</v>
      </c>
      <c r="H459">
        <f>IF(Table1[[#This Row],[my_ent_1]]=Table1[[#This Row],[their_ent_1]], 1, 0)</f>
        <v>0</v>
      </c>
      <c r="I459">
        <f>IF(Table1[[#This Row],[my_ent_2]]=Table1[[#This Row],[their_ent_2]], 1, 0)</f>
        <v>0</v>
      </c>
      <c r="J459">
        <f>IF(Table1[[#This Row],[same_1]]=1 &amp; Table1[[#This Row],[same_2]]=1, 1, 0)</f>
        <v>0</v>
      </c>
      <c r="K459">
        <f>IF(ISNUMBER(SEARCH(Table1[[#This Row],[their_ent_1]],Table1[[#This Row],[my_ent_1]])), 1, 0)</f>
        <v>0</v>
      </c>
      <c r="L459">
        <f>IF(ISNUMBER(SEARCH(Table1[[#This Row],[their_ent_2]],Table1[[#This Row],[my_ent_2]])), 1, 0)</f>
        <v>0</v>
      </c>
    </row>
    <row r="460" spans="1:12" x14ac:dyDescent="0.3">
      <c r="A460" t="s">
        <v>1547</v>
      </c>
      <c r="B460" t="s">
        <v>1548</v>
      </c>
      <c r="C460" t="s">
        <v>1549</v>
      </c>
      <c r="D460" t="s">
        <v>1550</v>
      </c>
      <c r="E460" t="s">
        <v>1551</v>
      </c>
      <c r="F460">
        <v>0</v>
      </c>
      <c r="G460">
        <v>458</v>
      </c>
      <c r="H460">
        <f>IF(Table1[[#This Row],[my_ent_1]]=Table1[[#This Row],[their_ent_1]], 1, 0)</f>
        <v>0</v>
      </c>
      <c r="I460">
        <f>IF(Table1[[#This Row],[my_ent_2]]=Table1[[#This Row],[their_ent_2]], 1, 0)</f>
        <v>0</v>
      </c>
      <c r="J460">
        <f>IF(Table1[[#This Row],[same_1]]=1 &amp; Table1[[#This Row],[same_2]]=1, 1, 0)</f>
        <v>0</v>
      </c>
      <c r="K460">
        <f>IF(ISNUMBER(SEARCH(Table1[[#This Row],[their_ent_1]],Table1[[#This Row],[my_ent_1]])), 1, 0)</f>
        <v>1</v>
      </c>
      <c r="L460">
        <f>IF(ISNUMBER(SEARCH(Table1[[#This Row],[their_ent_2]],Table1[[#This Row],[my_ent_2]])), 1, 0)</f>
        <v>0</v>
      </c>
    </row>
    <row r="461" spans="1:12" x14ac:dyDescent="0.3">
      <c r="A461" t="s">
        <v>1552</v>
      </c>
      <c r="B461" t="s">
        <v>26</v>
      </c>
      <c r="C461" t="s">
        <v>678</v>
      </c>
      <c r="D461" t="s">
        <v>678</v>
      </c>
      <c r="E461" t="s">
        <v>48</v>
      </c>
      <c r="F461">
        <v>0</v>
      </c>
      <c r="G461">
        <v>459</v>
      </c>
      <c r="H461">
        <f>IF(Table1[[#This Row],[my_ent_1]]=Table1[[#This Row],[their_ent_1]], 1, 0)</f>
        <v>0</v>
      </c>
      <c r="I461">
        <f>IF(Table1[[#This Row],[my_ent_2]]=Table1[[#This Row],[their_ent_2]], 1, 0)</f>
        <v>0</v>
      </c>
      <c r="J461">
        <f>IF(Table1[[#This Row],[same_1]]=1 &amp; Table1[[#This Row],[same_2]]=1, 1, 0)</f>
        <v>0</v>
      </c>
      <c r="K461">
        <f>IF(ISNUMBER(SEARCH(Table1[[#This Row],[their_ent_1]],Table1[[#This Row],[my_ent_1]])), 1, 0)</f>
        <v>0</v>
      </c>
      <c r="L461">
        <f>IF(ISNUMBER(SEARCH(Table1[[#This Row],[their_ent_2]],Table1[[#This Row],[my_ent_2]])), 1, 0)</f>
        <v>0</v>
      </c>
    </row>
    <row r="462" spans="1:12" x14ac:dyDescent="0.3">
      <c r="A462" t="s">
        <v>1553</v>
      </c>
      <c r="B462" t="s">
        <v>1554</v>
      </c>
      <c r="C462" t="s">
        <v>1554</v>
      </c>
      <c r="D462" t="s">
        <v>26</v>
      </c>
      <c r="E462" t="s">
        <v>485</v>
      </c>
      <c r="F462">
        <v>0</v>
      </c>
      <c r="G462">
        <v>460</v>
      </c>
      <c r="H462">
        <f>IF(Table1[[#This Row],[my_ent_1]]=Table1[[#This Row],[their_ent_1]], 1, 0)</f>
        <v>1</v>
      </c>
      <c r="I462">
        <f>IF(Table1[[#This Row],[my_ent_2]]=Table1[[#This Row],[their_ent_2]], 1, 0)</f>
        <v>0</v>
      </c>
      <c r="J462">
        <f>IF(Table1[[#This Row],[same_1]]=1 &amp; Table1[[#This Row],[same_2]]=1, 1, 0)</f>
        <v>0</v>
      </c>
      <c r="K462">
        <f>IF(ISNUMBER(SEARCH(Table1[[#This Row],[their_ent_1]],Table1[[#This Row],[my_ent_1]])), 1, 0)</f>
        <v>1</v>
      </c>
      <c r="L462">
        <f>IF(ISNUMBER(SEARCH(Table1[[#This Row],[their_ent_2]],Table1[[#This Row],[my_ent_2]])), 1, 0)</f>
        <v>0</v>
      </c>
    </row>
    <row r="463" spans="1:12" x14ac:dyDescent="0.3">
      <c r="A463" t="s">
        <v>1555</v>
      </c>
      <c r="B463" t="s">
        <v>1556</v>
      </c>
      <c r="C463" t="s">
        <v>1557</v>
      </c>
      <c r="D463" t="s">
        <v>450</v>
      </c>
      <c r="E463" t="s">
        <v>68</v>
      </c>
      <c r="F463">
        <v>0</v>
      </c>
      <c r="G463">
        <v>461</v>
      </c>
      <c r="H463">
        <f>IF(Table1[[#This Row],[my_ent_1]]=Table1[[#This Row],[their_ent_1]], 1, 0)</f>
        <v>0</v>
      </c>
      <c r="I463">
        <f>IF(Table1[[#This Row],[my_ent_2]]=Table1[[#This Row],[their_ent_2]], 1, 0)</f>
        <v>0</v>
      </c>
      <c r="J463">
        <f>IF(Table1[[#This Row],[same_1]]=1 &amp; Table1[[#This Row],[same_2]]=1, 1, 0)</f>
        <v>0</v>
      </c>
      <c r="K463">
        <f>IF(ISNUMBER(SEARCH(Table1[[#This Row],[their_ent_1]],Table1[[#This Row],[my_ent_1]])), 1, 0)</f>
        <v>0</v>
      </c>
      <c r="L463">
        <f>IF(ISNUMBER(SEARCH(Table1[[#This Row],[their_ent_2]],Table1[[#This Row],[my_ent_2]])), 1, 0)</f>
        <v>0</v>
      </c>
    </row>
    <row r="464" spans="1:12" x14ac:dyDescent="0.3">
      <c r="A464" t="s">
        <v>1558</v>
      </c>
      <c r="B464" t="s">
        <v>1559</v>
      </c>
      <c r="C464" t="s">
        <v>1559</v>
      </c>
      <c r="D464" t="s">
        <v>26</v>
      </c>
      <c r="E464" t="s">
        <v>273</v>
      </c>
      <c r="F464">
        <v>0</v>
      </c>
      <c r="G464">
        <v>462</v>
      </c>
      <c r="H464">
        <f>IF(Table1[[#This Row],[my_ent_1]]=Table1[[#This Row],[their_ent_1]], 1, 0)</f>
        <v>1</v>
      </c>
      <c r="I464">
        <f>IF(Table1[[#This Row],[my_ent_2]]=Table1[[#This Row],[their_ent_2]], 1, 0)</f>
        <v>0</v>
      </c>
      <c r="J464">
        <f>IF(Table1[[#This Row],[same_1]]=1 &amp; Table1[[#This Row],[same_2]]=1, 1, 0)</f>
        <v>0</v>
      </c>
      <c r="K464">
        <f>IF(ISNUMBER(SEARCH(Table1[[#This Row],[their_ent_1]],Table1[[#This Row],[my_ent_1]])), 1, 0)</f>
        <v>1</v>
      </c>
      <c r="L464">
        <f>IF(ISNUMBER(SEARCH(Table1[[#This Row],[their_ent_2]],Table1[[#This Row],[my_ent_2]])), 1, 0)</f>
        <v>0</v>
      </c>
    </row>
    <row r="465" spans="1:12" x14ac:dyDescent="0.3">
      <c r="A465" t="s">
        <v>1560</v>
      </c>
      <c r="B465" t="s">
        <v>1561</v>
      </c>
      <c r="C465" t="s">
        <v>1562</v>
      </c>
      <c r="D465" t="s">
        <v>450</v>
      </c>
      <c r="E465" t="s">
        <v>1561</v>
      </c>
      <c r="F465">
        <v>0</v>
      </c>
      <c r="G465">
        <v>463</v>
      </c>
      <c r="H465">
        <f>IF(Table1[[#This Row],[my_ent_1]]=Table1[[#This Row],[their_ent_1]], 1, 0)</f>
        <v>0</v>
      </c>
      <c r="I465">
        <f>IF(Table1[[#This Row],[my_ent_2]]=Table1[[#This Row],[their_ent_2]], 1, 0)</f>
        <v>0</v>
      </c>
      <c r="J465">
        <f>IF(Table1[[#This Row],[same_1]]=1 &amp; Table1[[#This Row],[same_2]]=1, 1, 0)</f>
        <v>0</v>
      </c>
      <c r="K465">
        <f>IF(ISNUMBER(SEARCH(Table1[[#This Row],[their_ent_1]],Table1[[#This Row],[my_ent_1]])), 1, 0)</f>
        <v>0</v>
      </c>
      <c r="L465">
        <f>IF(ISNUMBER(SEARCH(Table1[[#This Row],[their_ent_2]],Table1[[#This Row],[my_ent_2]])), 1, 0)</f>
        <v>0</v>
      </c>
    </row>
    <row r="466" spans="1:12" x14ac:dyDescent="0.3">
      <c r="A466" t="s">
        <v>1563</v>
      </c>
      <c r="B466" t="s">
        <v>1564</v>
      </c>
      <c r="C466" t="s">
        <v>1565</v>
      </c>
      <c r="D466" t="s">
        <v>1565</v>
      </c>
      <c r="E466" t="s">
        <v>256</v>
      </c>
      <c r="F466">
        <v>0</v>
      </c>
      <c r="G466">
        <v>464</v>
      </c>
      <c r="H466">
        <f>IF(Table1[[#This Row],[my_ent_1]]=Table1[[#This Row],[their_ent_1]], 1, 0)</f>
        <v>0</v>
      </c>
      <c r="I466">
        <f>IF(Table1[[#This Row],[my_ent_2]]=Table1[[#This Row],[their_ent_2]], 1, 0)</f>
        <v>0</v>
      </c>
      <c r="J466">
        <f>IF(Table1[[#This Row],[same_1]]=1 &amp; Table1[[#This Row],[same_2]]=1, 1, 0)</f>
        <v>0</v>
      </c>
      <c r="K466">
        <f>IF(ISNUMBER(SEARCH(Table1[[#This Row],[their_ent_1]],Table1[[#This Row],[my_ent_1]])), 1, 0)</f>
        <v>0</v>
      </c>
      <c r="L466">
        <f>IF(ISNUMBER(SEARCH(Table1[[#This Row],[their_ent_2]],Table1[[#This Row],[my_ent_2]])), 1, 0)</f>
        <v>0</v>
      </c>
    </row>
    <row r="467" spans="1:12" x14ac:dyDescent="0.3">
      <c r="A467" t="s">
        <v>1566</v>
      </c>
      <c r="B467" t="s">
        <v>26</v>
      </c>
      <c r="C467" t="s">
        <v>1567</v>
      </c>
      <c r="D467" t="s">
        <v>1567</v>
      </c>
      <c r="E467" t="s">
        <v>1494</v>
      </c>
      <c r="F467">
        <v>0</v>
      </c>
      <c r="G467">
        <v>465</v>
      </c>
      <c r="H467">
        <f>IF(Table1[[#This Row],[my_ent_1]]=Table1[[#This Row],[their_ent_1]], 1, 0)</f>
        <v>0</v>
      </c>
      <c r="I467">
        <f>IF(Table1[[#This Row],[my_ent_2]]=Table1[[#This Row],[their_ent_2]], 1, 0)</f>
        <v>0</v>
      </c>
      <c r="J467">
        <f>IF(Table1[[#This Row],[same_1]]=1 &amp; Table1[[#This Row],[same_2]]=1, 1, 0)</f>
        <v>0</v>
      </c>
      <c r="K467">
        <f>IF(ISNUMBER(SEARCH(Table1[[#This Row],[their_ent_1]],Table1[[#This Row],[my_ent_1]])), 1, 0)</f>
        <v>0</v>
      </c>
      <c r="L467">
        <f>IF(ISNUMBER(SEARCH(Table1[[#This Row],[their_ent_2]],Table1[[#This Row],[my_ent_2]])), 1, 0)</f>
        <v>0</v>
      </c>
    </row>
    <row r="468" spans="1:12" x14ac:dyDescent="0.3">
      <c r="A468" t="s">
        <v>1568</v>
      </c>
      <c r="B468" t="s">
        <v>1569</v>
      </c>
      <c r="C468" t="s">
        <v>1570</v>
      </c>
      <c r="D468" t="s">
        <v>1571</v>
      </c>
      <c r="E468" t="s">
        <v>1572</v>
      </c>
      <c r="F468">
        <v>0</v>
      </c>
      <c r="G468">
        <v>466</v>
      </c>
      <c r="H468">
        <f>IF(Table1[[#This Row],[my_ent_1]]=Table1[[#This Row],[their_ent_1]], 1, 0)</f>
        <v>0</v>
      </c>
      <c r="I468">
        <f>IF(Table1[[#This Row],[my_ent_2]]=Table1[[#This Row],[their_ent_2]], 1, 0)</f>
        <v>0</v>
      </c>
      <c r="J468">
        <f>IF(Table1[[#This Row],[same_1]]=1 &amp; Table1[[#This Row],[same_2]]=1, 1, 0)</f>
        <v>0</v>
      </c>
      <c r="K468">
        <f>IF(ISNUMBER(SEARCH(Table1[[#This Row],[their_ent_1]],Table1[[#This Row],[my_ent_1]])), 1, 0)</f>
        <v>0</v>
      </c>
      <c r="L468">
        <f>IF(ISNUMBER(SEARCH(Table1[[#This Row],[their_ent_2]],Table1[[#This Row],[my_ent_2]])), 1, 0)</f>
        <v>0</v>
      </c>
    </row>
    <row r="469" spans="1:12" x14ac:dyDescent="0.3">
      <c r="A469" t="s">
        <v>1573</v>
      </c>
      <c r="B469" t="s">
        <v>1574</v>
      </c>
      <c r="C469" t="s">
        <v>1574</v>
      </c>
      <c r="D469" t="s">
        <v>1575</v>
      </c>
      <c r="E469" t="s">
        <v>69</v>
      </c>
      <c r="F469">
        <v>0</v>
      </c>
      <c r="G469">
        <v>467</v>
      </c>
      <c r="H469">
        <f>IF(Table1[[#This Row],[my_ent_1]]=Table1[[#This Row],[their_ent_1]], 1, 0)</f>
        <v>1</v>
      </c>
      <c r="I469">
        <f>IF(Table1[[#This Row],[my_ent_2]]=Table1[[#This Row],[their_ent_2]], 1, 0)</f>
        <v>0</v>
      </c>
      <c r="J469">
        <f>IF(Table1[[#This Row],[same_1]]=1 &amp; Table1[[#This Row],[same_2]]=1, 1, 0)</f>
        <v>0</v>
      </c>
      <c r="K469">
        <f>IF(ISNUMBER(SEARCH(Table1[[#This Row],[their_ent_1]],Table1[[#This Row],[my_ent_1]])), 1, 0)</f>
        <v>1</v>
      </c>
      <c r="L469">
        <f>IF(ISNUMBER(SEARCH(Table1[[#This Row],[their_ent_2]],Table1[[#This Row],[my_ent_2]])), 1, 0)</f>
        <v>0</v>
      </c>
    </row>
    <row r="470" spans="1:12" x14ac:dyDescent="0.3">
      <c r="A470" t="s">
        <v>1576</v>
      </c>
      <c r="B470" t="s">
        <v>1577</v>
      </c>
      <c r="C470" t="s">
        <v>1578</v>
      </c>
      <c r="D470" t="s">
        <v>1579</v>
      </c>
      <c r="E470" t="s">
        <v>1580</v>
      </c>
      <c r="F470">
        <v>0</v>
      </c>
      <c r="G470">
        <v>468</v>
      </c>
      <c r="H470">
        <f>IF(Table1[[#This Row],[my_ent_1]]=Table1[[#This Row],[their_ent_1]], 1, 0)</f>
        <v>0</v>
      </c>
      <c r="I470">
        <f>IF(Table1[[#This Row],[my_ent_2]]=Table1[[#This Row],[their_ent_2]], 1, 0)</f>
        <v>0</v>
      </c>
      <c r="J470">
        <f>IF(Table1[[#This Row],[same_1]]=1 &amp; Table1[[#This Row],[same_2]]=1, 1, 0)</f>
        <v>0</v>
      </c>
      <c r="K470">
        <f>IF(ISNUMBER(SEARCH(Table1[[#This Row],[their_ent_1]],Table1[[#This Row],[my_ent_1]])), 1, 0)</f>
        <v>0</v>
      </c>
      <c r="L470">
        <f>IF(ISNUMBER(SEARCH(Table1[[#This Row],[their_ent_2]],Table1[[#This Row],[my_ent_2]])), 1, 0)</f>
        <v>0</v>
      </c>
    </row>
    <row r="471" spans="1:12" x14ac:dyDescent="0.3">
      <c r="A471" t="s">
        <v>1581</v>
      </c>
      <c r="B471" t="s">
        <v>1582</v>
      </c>
      <c r="C471" t="s">
        <v>1582</v>
      </c>
      <c r="D471" t="s">
        <v>1583</v>
      </c>
      <c r="E471" t="s">
        <v>1584</v>
      </c>
      <c r="F471">
        <v>0</v>
      </c>
      <c r="G471">
        <v>469</v>
      </c>
      <c r="H471">
        <f>IF(Table1[[#This Row],[my_ent_1]]=Table1[[#This Row],[their_ent_1]], 1, 0)</f>
        <v>1</v>
      </c>
      <c r="I471">
        <f>IF(Table1[[#This Row],[my_ent_2]]=Table1[[#This Row],[their_ent_2]], 1, 0)</f>
        <v>0</v>
      </c>
      <c r="J471">
        <f>IF(Table1[[#This Row],[same_1]]=1 &amp; Table1[[#This Row],[same_2]]=1, 1, 0)</f>
        <v>0</v>
      </c>
      <c r="K471">
        <f>IF(ISNUMBER(SEARCH(Table1[[#This Row],[their_ent_1]],Table1[[#This Row],[my_ent_1]])), 1, 0)</f>
        <v>1</v>
      </c>
      <c r="L471">
        <f>IF(ISNUMBER(SEARCH(Table1[[#This Row],[their_ent_2]],Table1[[#This Row],[my_ent_2]])), 1, 0)</f>
        <v>1</v>
      </c>
    </row>
    <row r="472" spans="1:12" x14ac:dyDescent="0.3">
      <c r="A472" t="s">
        <v>1585</v>
      </c>
      <c r="B472" t="s">
        <v>1586</v>
      </c>
      <c r="C472" t="s">
        <v>1587</v>
      </c>
      <c r="D472" t="s">
        <v>1588</v>
      </c>
      <c r="E472" t="s">
        <v>335</v>
      </c>
      <c r="F472">
        <v>0</v>
      </c>
      <c r="G472">
        <v>470</v>
      </c>
      <c r="H472">
        <f>IF(Table1[[#This Row],[my_ent_1]]=Table1[[#This Row],[their_ent_1]], 1, 0)</f>
        <v>0</v>
      </c>
      <c r="I472">
        <f>IF(Table1[[#This Row],[my_ent_2]]=Table1[[#This Row],[their_ent_2]], 1, 0)</f>
        <v>0</v>
      </c>
      <c r="J472">
        <f>IF(Table1[[#This Row],[same_1]]=1 &amp; Table1[[#This Row],[same_2]]=1, 1, 0)</f>
        <v>0</v>
      </c>
      <c r="K472">
        <f>IF(ISNUMBER(SEARCH(Table1[[#This Row],[their_ent_1]],Table1[[#This Row],[my_ent_1]])), 1, 0)</f>
        <v>0</v>
      </c>
      <c r="L472">
        <f>IF(ISNUMBER(SEARCH(Table1[[#This Row],[their_ent_2]],Table1[[#This Row],[my_ent_2]])), 1, 0)</f>
        <v>1</v>
      </c>
    </row>
    <row r="473" spans="1:12" x14ac:dyDescent="0.3">
      <c r="A473" t="s">
        <v>1589</v>
      </c>
      <c r="B473" t="s">
        <v>1590</v>
      </c>
      <c r="C473" t="s">
        <v>1590</v>
      </c>
      <c r="D473" t="s">
        <v>1591</v>
      </c>
      <c r="E473" t="s">
        <v>1592</v>
      </c>
      <c r="F473">
        <v>0</v>
      </c>
      <c r="G473">
        <v>471</v>
      </c>
      <c r="H473">
        <f>IF(Table1[[#This Row],[my_ent_1]]=Table1[[#This Row],[their_ent_1]], 1, 0)</f>
        <v>1</v>
      </c>
      <c r="I473">
        <f>IF(Table1[[#This Row],[my_ent_2]]=Table1[[#This Row],[their_ent_2]], 1, 0)</f>
        <v>0</v>
      </c>
      <c r="J473">
        <f>IF(Table1[[#This Row],[same_1]]=1 &amp; Table1[[#This Row],[same_2]]=1, 1, 0)</f>
        <v>0</v>
      </c>
      <c r="K473">
        <f>IF(ISNUMBER(SEARCH(Table1[[#This Row],[their_ent_1]],Table1[[#This Row],[my_ent_1]])), 1, 0)</f>
        <v>1</v>
      </c>
      <c r="L473">
        <f>IF(ISNUMBER(SEARCH(Table1[[#This Row],[their_ent_2]],Table1[[#This Row],[my_ent_2]])), 1, 0)</f>
        <v>0</v>
      </c>
    </row>
    <row r="474" spans="1:12" x14ac:dyDescent="0.3">
      <c r="A474" t="s">
        <v>1593</v>
      </c>
      <c r="B474" t="s">
        <v>78</v>
      </c>
      <c r="C474" t="s">
        <v>353</v>
      </c>
      <c r="D474" t="s">
        <v>450</v>
      </c>
      <c r="E474" t="s">
        <v>215</v>
      </c>
      <c r="F474">
        <v>0</v>
      </c>
      <c r="G474">
        <v>472</v>
      </c>
      <c r="H474">
        <f>IF(Table1[[#This Row],[my_ent_1]]=Table1[[#This Row],[their_ent_1]], 1, 0)</f>
        <v>0</v>
      </c>
      <c r="I474">
        <f>IF(Table1[[#This Row],[my_ent_2]]=Table1[[#This Row],[their_ent_2]], 1, 0)</f>
        <v>0</v>
      </c>
      <c r="J474">
        <f>IF(Table1[[#This Row],[same_1]]=1 &amp; Table1[[#This Row],[same_2]]=1, 1, 0)</f>
        <v>0</v>
      </c>
      <c r="K474">
        <f>IF(ISNUMBER(SEARCH(Table1[[#This Row],[their_ent_1]],Table1[[#This Row],[my_ent_1]])), 1, 0)</f>
        <v>0</v>
      </c>
      <c r="L474">
        <f>IF(ISNUMBER(SEARCH(Table1[[#This Row],[their_ent_2]],Table1[[#This Row],[my_ent_2]])), 1, 0)</f>
        <v>0</v>
      </c>
    </row>
    <row r="475" spans="1:12" x14ac:dyDescent="0.3">
      <c r="A475" t="s">
        <v>1594</v>
      </c>
      <c r="B475" t="s">
        <v>1595</v>
      </c>
      <c r="C475" t="s">
        <v>1595</v>
      </c>
      <c r="D475" t="s">
        <v>26</v>
      </c>
      <c r="E475" t="s">
        <v>396</v>
      </c>
      <c r="F475">
        <v>0</v>
      </c>
      <c r="G475">
        <v>473</v>
      </c>
      <c r="H475">
        <f>IF(Table1[[#This Row],[my_ent_1]]=Table1[[#This Row],[their_ent_1]], 1, 0)</f>
        <v>1</v>
      </c>
      <c r="I475">
        <f>IF(Table1[[#This Row],[my_ent_2]]=Table1[[#This Row],[their_ent_2]], 1, 0)</f>
        <v>0</v>
      </c>
      <c r="J475">
        <f>IF(Table1[[#This Row],[same_1]]=1 &amp; Table1[[#This Row],[same_2]]=1, 1, 0)</f>
        <v>0</v>
      </c>
      <c r="K475">
        <f>IF(ISNUMBER(SEARCH(Table1[[#This Row],[their_ent_1]],Table1[[#This Row],[my_ent_1]])), 1, 0)</f>
        <v>1</v>
      </c>
      <c r="L475">
        <f>IF(ISNUMBER(SEARCH(Table1[[#This Row],[their_ent_2]],Table1[[#This Row],[my_ent_2]])), 1, 0)</f>
        <v>0</v>
      </c>
    </row>
    <row r="476" spans="1:12" x14ac:dyDescent="0.3">
      <c r="A476" t="s">
        <v>1596</v>
      </c>
      <c r="B476" t="s">
        <v>284</v>
      </c>
      <c r="C476" t="s">
        <v>1597</v>
      </c>
      <c r="D476" t="s">
        <v>1598</v>
      </c>
      <c r="E476" t="s">
        <v>1599</v>
      </c>
      <c r="F476">
        <v>0</v>
      </c>
      <c r="G476">
        <v>474</v>
      </c>
      <c r="H476">
        <f>IF(Table1[[#This Row],[my_ent_1]]=Table1[[#This Row],[their_ent_1]], 1, 0)</f>
        <v>0</v>
      </c>
      <c r="I476">
        <f>IF(Table1[[#This Row],[my_ent_2]]=Table1[[#This Row],[their_ent_2]], 1, 0)</f>
        <v>0</v>
      </c>
      <c r="J476">
        <f>IF(Table1[[#This Row],[same_1]]=1 &amp; Table1[[#This Row],[same_2]]=1, 1, 0)</f>
        <v>0</v>
      </c>
      <c r="K476">
        <f>IF(ISNUMBER(SEARCH(Table1[[#This Row],[their_ent_1]],Table1[[#This Row],[my_ent_1]])), 1, 0)</f>
        <v>0</v>
      </c>
      <c r="L476">
        <f>IF(ISNUMBER(SEARCH(Table1[[#This Row],[their_ent_2]],Table1[[#This Row],[my_ent_2]])), 1, 0)</f>
        <v>1</v>
      </c>
    </row>
    <row r="477" spans="1:12" x14ac:dyDescent="0.3">
      <c r="A477" t="s">
        <v>1600</v>
      </c>
      <c r="B477" t="s">
        <v>20</v>
      </c>
      <c r="C477" t="s">
        <v>1601</v>
      </c>
      <c r="D477" t="s">
        <v>1601</v>
      </c>
      <c r="E477" t="s">
        <v>243</v>
      </c>
      <c r="F477">
        <v>0</v>
      </c>
      <c r="G477">
        <v>475</v>
      </c>
      <c r="H477">
        <f>IF(Table1[[#This Row],[my_ent_1]]=Table1[[#This Row],[their_ent_1]], 1, 0)</f>
        <v>0</v>
      </c>
      <c r="I477">
        <f>IF(Table1[[#This Row],[my_ent_2]]=Table1[[#This Row],[their_ent_2]], 1, 0)</f>
        <v>0</v>
      </c>
      <c r="J477">
        <f>IF(Table1[[#This Row],[same_1]]=1 &amp; Table1[[#This Row],[same_2]]=1, 1, 0)</f>
        <v>0</v>
      </c>
      <c r="K477">
        <f>IF(ISNUMBER(SEARCH(Table1[[#This Row],[their_ent_1]],Table1[[#This Row],[my_ent_1]])), 1, 0)</f>
        <v>0</v>
      </c>
      <c r="L477">
        <f>IF(ISNUMBER(SEARCH(Table1[[#This Row],[their_ent_2]],Table1[[#This Row],[my_ent_2]])), 1, 0)</f>
        <v>0</v>
      </c>
    </row>
    <row r="478" spans="1:12" x14ac:dyDescent="0.3">
      <c r="A478" t="s">
        <v>1602</v>
      </c>
      <c r="B478" t="s">
        <v>1603</v>
      </c>
      <c r="C478" t="s">
        <v>402</v>
      </c>
      <c r="D478" t="s">
        <v>1604</v>
      </c>
      <c r="E478" t="s">
        <v>1604</v>
      </c>
      <c r="F478">
        <v>0</v>
      </c>
      <c r="G478">
        <v>476</v>
      </c>
      <c r="H478">
        <f>IF(Table1[[#This Row],[my_ent_1]]=Table1[[#This Row],[their_ent_1]], 1, 0)</f>
        <v>0</v>
      </c>
      <c r="I478">
        <f>IF(Table1[[#This Row],[my_ent_2]]=Table1[[#This Row],[their_ent_2]], 1, 0)</f>
        <v>1</v>
      </c>
      <c r="J478">
        <f>IF(Table1[[#This Row],[same_1]]=1 &amp; Table1[[#This Row],[same_2]]=1, 1, 0)</f>
        <v>0</v>
      </c>
      <c r="K478">
        <f>IF(ISNUMBER(SEARCH(Table1[[#This Row],[their_ent_1]],Table1[[#This Row],[my_ent_1]])), 1, 0)</f>
        <v>0</v>
      </c>
      <c r="L478">
        <f>IF(ISNUMBER(SEARCH(Table1[[#This Row],[their_ent_2]],Table1[[#This Row],[my_ent_2]])), 1, 0)</f>
        <v>1</v>
      </c>
    </row>
    <row r="479" spans="1:12" x14ac:dyDescent="0.3">
      <c r="A479" t="s">
        <v>1605</v>
      </c>
      <c r="B479" t="s">
        <v>51</v>
      </c>
      <c r="C479" t="s">
        <v>1606</v>
      </c>
      <c r="D479" t="s">
        <v>1607</v>
      </c>
      <c r="E479" t="s">
        <v>1608</v>
      </c>
      <c r="F479">
        <v>0</v>
      </c>
      <c r="G479">
        <v>477</v>
      </c>
      <c r="H479">
        <f>IF(Table1[[#This Row],[my_ent_1]]=Table1[[#This Row],[their_ent_1]], 1, 0)</f>
        <v>0</v>
      </c>
      <c r="I479">
        <f>IF(Table1[[#This Row],[my_ent_2]]=Table1[[#This Row],[their_ent_2]], 1, 0)</f>
        <v>0</v>
      </c>
      <c r="J479">
        <f>IF(Table1[[#This Row],[same_1]]=1 &amp; Table1[[#This Row],[same_2]]=1, 1, 0)</f>
        <v>0</v>
      </c>
      <c r="K479">
        <f>IF(ISNUMBER(SEARCH(Table1[[#This Row],[their_ent_1]],Table1[[#This Row],[my_ent_1]])), 1, 0)</f>
        <v>0</v>
      </c>
      <c r="L479">
        <f>IF(ISNUMBER(SEARCH(Table1[[#This Row],[their_ent_2]],Table1[[#This Row],[my_ent_2]])), 1, 0)</f>
        <v>0</v>
      </c>
    </row>
    <row r="480" spans="1:12" x14ac:dyDescent="0.3">
      <c r="A480" t="s">
        <v>1609</v>
      </c>
      <c r="B480" t="s">
        <v>1610</v>
      </c>
      <c r="C480" t="s">
        <v>497</v>
      </c>
      <c r="D480" t="s">
        <v>497</v>
      </c>
      <c r="E480" t="s">
        <v>407</v>
      </c>
      <c r="F480">
        <v>0</v>
      </c>
      <c r="G480">
        <v>478</v>
      </c>
      <c r="H480">
        <f>IF(Table1[[#This Row],[my_ent_1]]=Table1[[#This Row],[their_ent_1]], 1, 0)</f>
        <v>0</v>
      </c>
      <c r="I480">
        <f>IF(Table1[[#This Row],[my_ent_2]]=Table1[[#This Row],[their_ent_2]], 1, 0)</f>
        <v>0</v>
      </c>
      <c r="J480">
        <f>IF(Table1[[#This Row],[same_1]]=1 &amp; Table1[[#This Row],[same_2]]=1, 1, 0)</f>
        <v>0</v>
      </c>
      <c r="K480">
        <f>IF(ISNUMBER(SEARCH(Table1[[#This Row],[their_ent_1]],Table1[[#This Row],[my_ent_1]])), 1, 0)</f>
        <v>0</v>
      </c>
      <c r="L480">
        <f>IF(ISNUMBER(SEARCH(Table1[[#This Row],[their_ent_2]],Table1[[#This Row],[my_ent_2]])), 1, 0)</f>
        <v>0</v>
      </c>
    </row>
    <row r="481" spans="1:12" x14ac:dyDescent="0.3">
      <c r="A481" t="s">
        <v>1611</v>
      </c>
      <c r="B481" t="s">
        <v>1612</v>
      </c>
      <c r="C481" t="s">
        <v>24</v>
      </c>
      <c r="D481" t="s">
        <v>1613</v>
      </c>
      <c r="E481" t="s">
        <v>1613</v>
      </c>
      <c r="F481">
        <v>0</v>
      </c>
      <c r="G481">
        <v>479</v>
      </c>
      <c r="H481">
        <f>IF(Table1[[#This Row],[my_ent_1]]=Table1[[#This Row],[their_ent_1]], 1, 0)</f>
        <v>0</v>
      </c>
      <c r="I481">
        <f>IF(Table1[[#This Row],[my_ent_2]]=Table1[[#This Row],[their_ent_2]], 1, 0)</f>
        <v>1</v>
      </c>
      <c r="J481">
        <f>IF(Table1[[#This Row],[same_1]]=1 &amp; Table1[[#This Row],[same_2]]=1, 1, 0)</f>
        <v>0</v>
      </c>
      <c r="K481">
        <f>IF(ISNUMBER(SEARCH(Table1[[#This Row],[their_ent_1]],Table1[[#This Row],[my_ent_1]])), 1, 0)</f>
        <v>0</v>
      </c>
      <c r="L481">
        <f>IF(ISNUMBER(SEARCH(Table1[[#This Row],[their_ent_2]],Table1[[#This Row],[my_ent_2]])), 1, 0)</f>
        <v>1</v>
      </c>
    </row>
    <row r="482" spans="1:12" x14ac:dyDescent="0.3">
      <c r="A482" t="s">
        <v>1614</v>
      </c>
      <c r="B482" t="s">
        <v>1615</v>
      </c>
      <c r="C482" t="s">
        <v>1616</v>
      </c>
      <c r="D482" t="s">
        <v>51</v>
      </c>
      <c r="E482" t="s">
        <v>548</v>
      </c>
      <c r="F482">
        <v>0</v>
      </c>
      <c r="G482">
        <v>480</v>
      </c>
      <c r="H482">
        <f>IF(Table1[[#This Row],[my_ent_1]]=Table1[[#This Row],[their_ent_1]], 1, 0)</f>
        <v>0</v>
      </c>
      <c r="I482">
        <f>IF(Table1[[#This Row],[my_ent_2]]=Table1[[#This Row],[their_ent_2]], 1, 0)</f>
        <v>0</v>
      </c>
      <c r="J482">
        <f>IF(Table1[[#This Row],[same_1]]=1 &amp; Table1[[#This Row],[same_2]]=1, 1, 0)</f>
        <v>0</v>
      </c>
      <c r="K482">
        <f>IF(ISNUMBER(SEARCH(Table1[[#This Row],[their_ent_1]],Table1[[#This Row],[my_ent_1]])), 1, 0)</f>
        <v>1</v>
      </c>
      <c r="L482">
        <f>IF(ISNUMBER(SEARCH(Table1[[#This Row],[their_ent_2]],Table1[[#This Row],[my_ent_2]])), 1, 0)</f>
        <v>0</v>
      </c>
    </row>
    <row r="483" spans="1:12" x14ac:dyDescent="0.3">
      <c r="A483" t="s">
        <v>1617</v>
      </c>
      <c r="B483" t="s">
        <v>20</v>
      </c>
      <c r="C483" t="s">
        <v>1618</v>
      </c>
      <c r="D483" t="s">
        <v>353</v>
      </c>
      <c r="E483" t="s">
        <v>353</v>
      </c>
      <c r="F483">
        <v>0</v>
      </c>
      <c r="G483">
        <v>481</v>
      </c>
      <c r="H483">
        <f>IF(Table1[[#This Row],[my_ent_1]]=Table1[[#This Row],[their_ent_1]], 1, 0)</f>
        <v>0</v>
      </c>
      <c r="I483">
        <f>IF(Table1[[#This Row],[my_ent_2]]=Table1[[#This Row],[their_ent_2]], 1, 0)</f>
        <v>1</v>
      </c>
      <c r="J483">
        <f>IF(Table1[[#This Row],[same_1]]=1 &amp; Table1[[#This Row],[same_2]]=1, 1, 0)</f>
        <v>0</v>
      </c>
      <c r="K483">
        <f>IF(ISNUMBER(SEARCH(Table1[[#This Row],[their_ent_1]],Table1[[#This Row],[my_ent_1]])), 1, 0)</f>
        <v>0</v>
      </c>
      <c r="L483">
        <f>IF(ISNUMBER(SEARCH(Table1[[#This Row],[their_ent_2]],Table1[[#This Row],[my_ent_2]])), 1, 0)</f>
        <v>1</v>
      </c>
    </row>
    <row r="484" spans="1:12" x14ac:dyDescent="0.3">
      <c r="A484" t="s">
        <v>1619</v>
      </c>
      <c r="B484" t="s">
        <v>1620</v>
      </c>
      <c r="C484" t="s">
        <v>1621</v>
      </c>
      <c r="D484" t="s">
        <v>1622</v>
      </c>
      <c r="E484" t="s">
        <v>1620</v>
      </c>
      <c r="F484">
        <v>0</v>
      </c>
      <c r="G484">
        <v>482</v>
      </c>
      <c r="H484">
        <f>IF(Table1[[#This Row],[my_ent_1]]=Table1[[#This Row],[their_ent_1]], 1, 0)</f>
        <v>0</v>
      </c>
      <c r="I484">
        <f>IF(Table1[[#This Row],[my_ent_2]]=Table1[[#This Row],[their_ent_2]], 1, 0)</f>
        <v>0</v>
      </c>
      <c r="J484">
        <f>IF(Table1[[#This Row],[same_1]]=1 &amp; Table1[[#This Row],[same_2]]=1, 1, 0)</f>
        <v>0</v>
      </c>
      <c r="K484">
        <f>IF(ISNUMBER(SEARCH(Table1[[#This Row],[their_ent_1]],Table1[[#This Row],[my_ent_1]])), 1, 0)</f>
        <v>0</v>
      </c>
      <c r="L484">
        <f>IF(ISNUMBER(SEARCH(Table1[[#This Row],[their_ent_2]],Table1[[#This Row],[my_ent_2]])), 1, 0)</f>
        <v>0</v>
      </c>
    </row>
    <row r="485" spans="1:12" x14ac:dyDescent="0.3">
      <c r="A485" t="s">
        <v>1623</v>
      </c>
      <c r="B485" t="s">
        <v>353</v>
      </c>
      <c r="C485" t="s">
        <v>353</v>
      </c>
      <c r="D485" t="s">
        <v>175</v>
      </c>
      <c r="E485" t="s">
        <v>176</v>
      </c>
      <c r="F485">
        <v>0</v>
      </c>
      <c r="G485">
        <v>483</v>
      </c>
      <c r="H485">
        <f>IF(Table1[[#This Row],[my_ent_1]]=Table1[[#This Row],[their_ent_1]], 1, 0)</f>
        <v>1</v>
      </c>
      <c r="I485">
        <f>IF(Table1[[#This Row],[my_ent_2]]=Table1[[#This Row],[their_ent_2]], 1, 0)</f>
        <v>0</v>
      </c>
      <c r="J485">
        <f>IF(Table1[[#This Row],[same_1]]=1 &amp; Table1[[#This Row],[same_2]]=1, 1, 0)</f>
        <v>0</v>
      </c>
      <c r="K485">
        <f>IF(ISNUMBER(SEARCH(Table1[[#This Row],[their_ent_1]],Table1[[#This Row],[my_ent_1]])), 1, 0)</f>
        <v>1</v>
      </c>
      <c r="L485">
        <f>IF(ISNUMBER(SEARCH(Table1[[#This Row],[their_ent_2]],Table1[[#This Row],[my_ent_2]])), 1, 0)</f>
        <v>1</v>
      </c>
    </row>
    <row r="486" spans="1:12" x14ac:dyDescent="0.3">
      <c r="A486" t="s">
        <v>1624</v>
      </c>
      <c r="B486" t="s">
        <v>1523</v>
      </c>
      <c r="C486" t="s">
        <v>78</v>
      </c>
      <c r="D486" t="s">
        <v>78</v>
      </c>
      <c r="E486" t="s">
        <v>30</v>
      </c>
      <c r="F486">
        <v>0</v>
      </c>
      <c r="G486">
        <v>484</v>
      </c>
      <c r="H486">
        <f>IF(Table1[[#This Row],[my_ent_1]]=Table1[[#This Row],[their_ent_1]], 1, 0)</f>
        <v>0</v>
      </c>
      <c r="I486">
        <f>IF(Table1[[#This Row],[my_ent_2]]=Table1[[#This Row],[their_ent_2]], 1, 0)</f>
        <v>0</v>
      </c>
      <c r="J486">
        <f>IF(Table1[[#This Row],[same_1]]=1 &amp; Table1[[#This Row],[same_2]]=1, 1, 0)</f>
        <v>0</v>
      </c>
      <c r="K486">
        <f>IF(ISNUMBER(SEARCH(Table1[[#This Row],[their_ent_1]],Table1[[#This Row],[my_ent_1]])), 1, 0)</f>
        <v>0</v>
      </c>
      <c r="L486">
        <f>IF(ISNUMBER(SEARCH(Table1[[#This Row],[their_ent_2]],Table1[[#This Row],[my_ent_2]])), 1, 0)</f>
        <v>0</v>
      </c>
    </row>
    <row r="487" spans="1:12" x14ac:dyDescent="0.3">
      <c r="A487" t="s">
        <v>1625</v>
      </c>
      <c r="B487" t="s">
        <v>78</v>
      </c>
      <c r="C487" t="s">
        <v>324</v>
      </c>
      <c r="D487" t="s">
        <v>20</v>
      </c>
      <c r="E487" t="s">
        <v>392</v>
      </c>
      <c r="F487">
        <v>0</v>
      </c>
      <c r="G487">
        <v>485</v>
      </c>
      <c r="H487">
        <f>IF(Table1[[#This Row],[my_ent_1]]=Table1[[#This Row],[their_ent_1]], 1, 0)</f>
        <v>0</v>
      </c>
      <c r="I487">
        <f>IF(Table1[[#This Row],[my_ent_2]]=Table1[[#This Row],[their_ent_2]], 1, 0)</f>
        <v>0</v>
      </c>
      <c r="J487">
        <f>IF(Table1[[#This Row],[same_1]]=1 &amp; Table1[[#This Row],[same_2]]=1, 1, 0)</f>
        <v>0</v>
      </c>
      <c r="K487">
        <f>IF(ISNUMBER(SEARCH(Table1[[#This Row],[their_ent_1]],Table1[[#This Row],[my_ent_1]])), 1, 0)</f>
        <v>0</v>
      </c>
      <c r="L487">
        <f>IF(ISNUMBER(SEARCH(Table1[[#This Row],[their_ent_2]],Table1[[#This Row],[my_ent_2]])), 1, 0)</f>
        <v>0</v>
      </c>
    </row>
    <row r="488" spans="1:12" x14ac:dyDescent="0.3">
      <c r="A488" t="s">
        <v>1626</v>
      </c>
      <c r="B488" t="s">
        <v>725</v>
      </c>
      <c r="C488" t="s">
        <v>1627</v>
      </c>
      <c r="D488" t="s">
        <v>1628</v>
      </c>
      <c r="E488" t="s">
        <v>212</v>
      </c>
      <c r="F488">
        <v>0</v>
      </c>
      <c r="G488">
        <v>486</v>
      </c>
      <c r="H488">
        <f>IF(Table1[[#This Row],[my_ent_1]]=Table1[[#This Row],[their_ent_1]], 1, 0)</f>
        <v>0</v>
      </c>
      <c r="I488">
        <f>IF(Table1[[#This Row],[my_ent_2]]=Table1[[#This Row],[their_ent_2]], 1, 0)</f>
        <v>0</v>
      </c>
      <c r="J488">
        <f>IF(Table1[[#This Row],[same_1]]=1 &amp; Table1[[#This Row],[same_2]]=1, 1, 0)</f>
        <v>0</v>
      </c>
      <c r="K488">
        <f>IF(ISNUMBER(SEARCH(Table1[[#This Row],[their_ent_1]],Table1[[#This Row],[my_ent_1]])), 1, 0)</f>
        <v>0</v>
      </c>
      <c r="L488">
        <f>IF(ISNUMBER(SEARCH(Table1[[#This Row],[their_ent_2]],Table1[[#This Row],[my_ent_2]])), 1, 0)</f>
        <v>0</v>
      </c>
    </row>
    <row r="489" spans="1:12" x14ac:dyDescent="0.3">
      <c r="A489" t="s">
        <v>1629</v>
      </c>
      <c r="B489" t="s">
        <v>1630</v>
      </c>
      <c r="C489" t="s">
        <v>171</v>
      </c>
      <c r="D489" t="s">
        <v>450</v>
      </c>
      <c r="E489" t="s">
        <v>1630</v>
      </c>
      <c r="F489">
        <v>0</v>
      </c>
      <c r="G489">
        <v>487</v>
      </c>
      <c r="H489">
        <f>IF(Table1[[#This Row],[my_ent_1]]=Table1[[#This Row],[their_ent_1]], 1, 0)</f>
        <v>0</v>
      </c>
      <c r="I489">
        <f>IF(Table1[[#This Row],[my_ent_2]]=Table1[[#This Row],[their_ent_2]], 1, 0)</f>
        <v>0</v>
      </c>
      <c r="J489">
        <f>IF(Table1[[#This Row],[same_1]]=1 &amp; Table1[[#This Row],[same_2]]=1, 1, 0)</f>
        <v>0</v>
      </c>
      <c r="K489">
        <f>IF(ISNUMBER(SEARCH(Table1[[#This Row],[their_ent_1]],Table1[[#This Row],[my_ent_1]])), 1, 0)</f>
        <v>0</v>
      </c>
      <c r="L489">
        <f>IF(ISNUMBER(SEARCH(Table1[[#This Row],[their_ent_2]],Table1[[#This Row],[my_ent_2]])), 1, 0)</f>
        <v>0</v>
      </c>
    </row>
    <row r="490" spans="1:12" x14ac:dyDescent="0.3">
      <c r="A490" t="s">
        <v>1631</v>
      </c>
      <c r="B490" t="s">
        <v>1632</v>
      </c>
      <c r="C490" t="s">
        <v>1632</v>
      </c>
      <c r="D490" t="s">
        <v>206</v>
      </c>
      <c r="E490" t="s">
        <v>31</v>
      </c>
      <c r="F490">
        <v>0</v>
      </c>
      <c r="G490">
        <v>488</v>
      </c>
      <c r="H490">
        <f>IF(Table1[[#This Row],[my_ent_1]]=Table1[[#This Row],[their_ent_1]], 1, 0)</f>
        <v>1</v>
      </c>
      <c r="I490">
        <f>IF(Table1[[#This Row],[my_ent_2]]=Table1[[#This Row],[their_ent_2]], 1, 0)</f>
        <v>0</v>
      </c>
      <c r="J490">
        <f>IF(Table1[[#This Row],[same_1]]=1 &amp; Table1[[#This Row],[same_2]]=1, 1, 0)</f>
        <v>0</v>
      </c>
      <c r="K490">
        <f>IF(ISNUMBER(SEARCH(Table1[[#This Row],[their_ent_1]],Table1[[#This Row],[my_ent_1]])), 1, 0)</f>
        <v>1</v>
      </c>
      <c r="L490">
        <f>IF(ISNUMBER(SEARCH(Table1[[#This Row],[their_ent_2]],Table1[[#This Row],[my_ent_2]])), 1, 0)</f>
        <v>1</v>
      </c>
    </row>
    <row r="491" spans="1:12" x14ac:dyDescent="0.3">
      <c r="A491" t="s">
        <v>1633</v>
      </c>
      <c r="B491" t="s">
        <v>1634</v>
      </c>
      <c r="C491" t="s">
        <v>1634</v>
      </c>
      <c r="D491" t="s">
        <v>59</v>
      </c>
      <c r="E491" t="s">
        <v>1529</v>
      </c>
      <c r="F491">
        <v>0</v>
      </c>
      <c r="G491">
        <v>489</v>
      </c>
      <c r="H491">
        <f>IF(Table1[[#This Row],[my_ent_1]]=Table1[[#This Row],[their_ent_1]], 1, 0)</f>
        <v>1</v>
      </c>
      <c r="I491">
        <f>IF(Table1[[#This Row],[my_ent_2]]=Table1[[#This Row],[their_ent_2]], 1, 0)</f>
        <v>0</v>
      </c>
      <c r="J491">
        <f>IF(Table1[[#This Row],[same_1]]=1 &amp; Table1[[#This Row],[same_2]]=1, 1, 0)</f>
        <v>0</v>
      </c>
      <c r="K491">
        <f>IF(ISNUMBER(SEARCH(Table1[[#This Row],[their_ent_1]],Table1[[#This Row],[my_ent_1]])), 1, 0)</f>
        <v>1</v>
      </c>
      <c r="L491">
        <f>IF(ISNUMBER(SEARCH(Table1[[#This Row],[their_ent_2]],Table1[[#This Row],[my_ent_2]])), 1, 0)</f>
        <v>0</v>
      </c>
    </row>
    <row r="492" spans="1:12" x14ac:dyDescent="0.3">
      <c r="A492" t="s">
        <v>1635</v>
      </c>
      <c r="B492" t="s">
        <v>894</v>
      </c>
      <c r="C492" t="s">
        <v>894</v>
      </c>
      <c r="D492" t="s">
        <v>194</v>
      </c>
      <c r="E492" t="s">
        <v>1636</v>
      </c>
      <c r="F492">
        <v>0</v>
      </c>
      <c r="G492">
        <v>490</v>
      </c>
      <c r="H492">
        <f>IF(Table1[[#This Row],[my_ent_1]]=Table1[[#This Row],[their_ent_1]], 1, 0)</f>
        <v>1</v>
      </c>
      <c r="I492">
        <f>IF(Table1[[#This Row],[my_ent_2]]=Table1[[#This Row],[their_ent_2]], 1, 0)</f>
        <v>0</v>
      </c>
      <c r="J492">
        <f>IF(Table1[[#This Row],[same_1]]=1 &amp; Table1[[#This Row],[same_2]]=1, 1, 0)</f>
        <v>0</v>
      </c>
      <c r="K492">
        <f>IF(ISNUMBER(SEARCH(Table1[[#This Row],[their_ent_1]],Table1[[#This Row],[my_ent_1]])), 1, 0)</f>
        <v>1</v>
      </c>
      <c r="L492">
        <f>IF(ISNUMBER(SEARCH(Table1[[#This Row],[their_ent_2]],Table1[[#This Row],[my_ent_2]])), 1, 0)</f>
        <v>0</v>
      </c>
    </row>
    <row r="493" spans="1:12" x14ac:dyDescent="0.3">
      <c r="A493" t="s">
        <v>1637</v>
      </c>
      <c r="B493" t="s">
        <v>1638</v>
      </c>
      <c r="C493" t="s">
        <v>1638</v>
      </c>
      <c r="D493" t="s">
        <v>20</v>
      </c>
      <c r="E493" t="s">
        <v>309</v>
      </c>
      <c r="F493">
        <v>0</v>
      </c>
      <c r="G493">
        <v>491</v>
      </c>
      <c r="H493">
        <f>IF(Table1[[#This Row],[my_ent_1]]=Table1[[#This Row],[their_ent_1]], 1, 0)</f>
        <v>1</v>
      </c>
      <c r="I493">
        <f>IF(Table1[[#This Row],[my_ent_2]]=Table1[[#This Row],[their_ent_2]], 1, 0)</f>
        <v>0</v>
      </c>
      <c r="J493">
        <f>IF(Table1[[#This Row],[same_1]]=1 &amp; Table1[[#This Row],[same_2]]=1, 1, 0)</f>
        <v>0</v>
      </c>
      <c r="K493">
        <f>IF(ISNUMBER(SEARCH(Table1[[#This Row],[their_ent_1]],Table1[[#This Row],[my_ent_1]])), 1, 0)</f>
        <v>1</v>
      </c>
      <c r="L493">
        <f>IF(ISNUMBER(SEARCH(Table1[[#This Row],[their_ent_2]],Table1[[#This Row],[my_ent_2]])), 1, 0)</f>
        <v>0</v>
      </c>
    </row>
    <row r="494" spans="1:12" x14ac:dyDescent="0.3">
      <c r="A494" t="s">
        <v>1639</v>
      </c>
      <c r="B494" t="s">
        <v>1640</v>
      </c>
      <c r="C494" t="s">
        <v>1641</v>
      </c>
      <c r="D494" t="s">
        <v>1641</v>
      </c>
      <c r="E494" t="s">
        <v>1642</v>
      </c>
      <c r="F494">
        <v>0</v>
      </c>
      <c r="G494">
        <v>492</v>
      </c>
      <c r="H494">
        <f>IF(Table1[[#This Row],[my_ent_1]]=Table1[[#This Row],[their_ent_1]], 1, 0)</f>
        <v>0</v>
      </c>
      <c r="I494">
        <f>IF(Table1[[#This Row],[my_ent_2]]=Table1[[#This Row],[their_ent_2]], 1, 0)</f>
        <v>0</v>
      </c>
      <c r="J494">
        <f>IF(Table1[[#This Row],[same_1]]=1 &amp; Table1[[#This Row],[same_2]]=1, 1, 0)</f>
        <v>0</v>
      </c>
      <c r="K494">
        <f>IF(ISNUMBER(SEARCH(Table1[[#This Row],[their_ent_1]],Table1[[#This Row],[my_ent_1]])), 1, 0)</f>
        <v>0</v>
      </c>
      <c r="L494">
        <f>IF(ISNUMBER(SEARCH(Table1[[#This Row],[their_ent_2]],Table1[[#This Row],[my_ent_2]])), 1, 0)</f>
        <v>0</v>
      </c>
    </row>
    <row r="495" spans="1:12" x14ac:dyDescent="0.3">
      <c r="A495" t="s">
        <v>1643</v>
      </c>
      <c r="B495" t="s">
        <v>1644</v>
      </c>
      <c r="C495" t="s">
        <v>1645</v>
      </c>
      <c r="D495" t="s">
        <v>1646</v>
      </c>
      <c r="E495" t="s">
        <v>1647</v>
      </c>
      <c r="F495">
        <v>0</v>
      </c>
      <c r="G495">
        <v>493</v>
      </c>
      <c r="H495">
        <f>IF(Table1[[#This Row],[my_ent_1]]=Table1[[#This Row],[their_ent_1]], 1, 0)</f>
        <v>0</v>
      </c>
      <c r="I495">
        <f>IF(Table1[[#This Row],[my_ent_2]]=Table1[[#This Row],[their_ent_2]], 1, 0)</f>
        <v>0</v>
      </c>
      <c r="J495">
        <f>IF(Table1[[#This Row],[same_1]]=1 &amp; Table1[[#This Row],[same_2]]=1, 1, 0)</f>
        <v>0</v>
      </c>
      <c r="K495">
        <f>IF(ISNUMBER(SEARCH(Table1[[#This Row],[their_ent_1]],Table1[[#This Row],[my_ent_1]])), 1, 0)</f>
        <v>0</v>
      </c>
      <c r="L495">
        <f>IF(ISNUMBER(SEARCH(Table1[[#This Row],[their_ent_2]],Table1[[#This Row],[my_ent_2]])), 1, 0)</f>
        <v>0</v>
      </c>
    </row>
    <row r="496" spans="1:12" x14ac:dyDescent="0.3">
      <c r="A496" t="s">
        <v>1648</v>
      </c>
      <c r="B496" t="s">
        <v>1649</v>
      </c>
      <c r="C496" t="s">
        <v>1650</v>
      </c>
      <c r="D496" t="s">
        <v>78</v>
      </c>
      <c r="E496" t="s">
        <v>1651</v>
      </c>
      <c r="F496">
        <v>0</v>
      </c>
      <c r="G496">
        <v>494</v>
      </c>
      <c r="H496">
        <f>IF(Table1[[#This Row],[my_ent_1]]=Table1[[#This Row],[their_ent_1]], 1, 0)</f>
        <v>0</v>
      </c>
      <c r="I496">
        <f>IF(Table1[[#This Row],[my_ent_2]]=Table1[[#This Row],[their_ent_2]], 1, 0)</f>
        <v>0</v>
      </c>
      <c r="J496">
        <f>IF(Table1[[#This Row],[same_1]]=1 &amp; Table1[[#This Row],[same_2]]=1, 1, 0)</f>
        <v>0</v>
      </c>
      <c r="K496">
        <f>IF(ISNUMBER(SEARCH(Table1[[#This Row],[their_ent_1]],Table1[[#This Row],[my_ent_1]])), 1, 0)</f>
        <v>0</v>
      </c>
      <c r="L496">
        <f>IF(ISNUMBER(SEARCH(Table1[[#This Row],[their_ent_2]],Table1[[#This Row],[my_ent_2]])), 1, 0)</f>
        <v>0</v>
      </c>
    </row>
    <row r="497" spans="1:12" x14ac:dyDescent="0.3">
      <c r="A497" t="s">
        <v>1652</v>
      </c>
      <c r="B497" t="s">
        <v>171</v>
      </c>
      <c r="C497" t="s">
        <v>171</v>
      </c>
      <c r="D497" t="s">
        <v>1653</v>
      </c>
      <c r="E497" t="s">
        <v>1654</v>
      </c>
      <c r="F497">
        <v>0</v>
      </c>
      <c r="G497">
        <v>495</v>
      </c>
      <c r="H497">
        <f>IF(Table1[[#This Row],[my_ent_1]]=Table1[[#This Row],[their_ent_1]], 1, 0)</f>
        <v>1</v>
      </c>
      <c r="I497">
        <f>IF(Table1[[#This Row],[my_ent_2]]=Table1[[#This Row],[their_ent_2]], 1, 0)</f>
        <v>0</v>
      </c>
      <c r="J497">
        <f>IF(Table1[[#This Row],[same_1]]=1 &amp; Table1[[#This Row],[same_2]]=1, 1, 0)</f>
        <v>0</v>
      </c>
      <c r="K497">
        <f>IF(ISNUMBER(SEARCH(Table1[[#This Row],[their_ent_1]],Table1[[#This Row],[my_ent_1]])), 1, 0)</f>
        <v>1</v>
      </c>
      <c r="L497">
        <f>IF(ISNUMBER(SEARCH(Table1[[#This Row],[their_ent_2]],Table1[[#This Row],[my_ent_2]])), 1, 0)</f>
        <v>0</v>
      </c>
    </row>
    <row r="498" spans="1:12" x14ac:dyDescent="0.3">
      <c r="A498" t="s">
        <v>1655</v>
      </c>
      <c r="B498" t="s">
        <v>1656</v>
      </c>
      <c r="C498" t="s">
        <v>1656</v>
      </c>
      <c r="D498" t="s">
        <v>1657</v>
      </c>
      <c r="E498" t="s">
        <v>1658</v>
      </c>
      <c r="F498">
        <v>0</v>
      </c>
      <c r="G498">
        <v>496</v>
      </c>
      <c r="H498">
        <f>IF(Table1[[#This Row],[my_ent_1]]=Table1[[#This Row],[their_ent_1]], 1, 0)</f>
        <v>1</v>
      </c>
      <c r="I498">
        <f>IF(Table1[[#This Row],[my_ent_2]]=Table1[[#This Row],[their_ent_2]], 1, 0)</f>
        <v>0</v>
      </c>
      <c r="J498">
        <f>IF(Table1[[#This Row],[same_1]]=1 &amp; Table1[[#This Row],[same_2]]=1, 1, 0)</f>
        <v>0</v>
      </c>
      <c r="K498">
        <f>IF(ISNUMBER(SEARCH(Table1[[#This Row],[their_ent_1]],Table1[[#This Row],[my_ent_1]])), 1, 0)</f>
        <v>1</v>
      </c>
      <c r="L498">
        <f>IF(ISNUMBER(SEARCH(Table1[[#This Row],[their_ent_2]],Table1[[#This Row],[my_ent_2]])), 1, 0)</f>
        <v>1</v>
      </c>
    </row>
    <row r="499" spans="1:12" x14ac:dyDescent="0.3">
      <c r="A499" t="s">
        <v>1659</v>
      </c>
      <c r="B499" t="s">
        <v>1660</v>
      </c>
      <c r="C499" t="s">
        <v>1661</v>
      </c>
      <c r="D499" t="s">
        <v>1662</v>
      </c>
      <c r="E499" t="s">
        <v>24</v>
      </c>
      <c r="F499">
        <v>0</v>
      </c>
      <c r="G499">
        <v>497</v>
      </c>
      <c r="H499">
        <f>IF(Table1[[#This Row],[my_ent_1]]=Table1[[#This Row],[their_ent_1]], 1, 0)</f>
        <v>0</v>
      </c>
      <c r="I499">
        <f>IF(Table1[[#This Row],[my_ent_2]]=Table1[[#This Row],[their_ent_2]], 1, 0)</f>
        <v>0</v>
      </c>
      <c r="J499">
        <f>IF(Table1[[#This Row],[same_1]]=1 &amp; Table1[[#This Row],[same_2]]=1, 1, 0)</f>
        <v>0</v>
      </c>
      <c r="K499">
        <f>IF(ISNUMBER(SEARCH(Table1[[#This Row],[their_ent_1]],Table1[[#This Row],[my_ent_1]])), 1, 0)</f>
        <v>0</v>
      </c>
      <c r="L499">
        <f>IF(ISNUMBER(SEARCH(Table1[[#This Row],[their_ent_2]],Table1[[#This Row],[my_ent_2]])), 1, 0)</f>
        <v>0</v>
      </c>
    </row>
    <row r="500" spans="1:12" x14ac:dyDescent="0.3">
      <c r="A500" t="s">
        <v>1663</v>
      </c>
      <c r="B500" t="s">
        <v>203</v>
      </c>
      <c r="C500" t="s">
        <v>203</v>
      </c>
      <c r="D500" t="s">
        <v>1664</v>
      </c>
      <c r="E500" t="s">
        <v>103</v>
      </c>
      <c r="F500">
        <v>0</v>
      </c>
      <c r="G500">
        <v>498</v>
      </c>
      <c r="H500">
        <f>IF(Table1[[#This Row],[my_ent_1]]=Table1[[#This Row],[their_ent_1]], 1, 0)</f>
        <v>1</v>
      </c>
      <c r="I500">
        <f>IF(Table1[[#This Row],[my_ent_2]]=Table1[[#This Row],[their_ent_2]], 1, 0)</f>
        <v>0</v>
      </c>
      <c r="J500">
        <f>IF(Table1[[#This Row],[same_1]]=1 &amp; Table1[[#This Row],[same_2]]=1, 1, 0)</f>
        <v>0</v>
      </c>
      <c r="K500">
        <f>IF(ISNUMBER(SEARCH(Table1[[#This Row],[their_ent_1]],Table1[[#This Row],[my_ent_1]])), 1, 0)</f>
        <v>1</v>
      </c>
      <c r="L500">
        <f>IF(ISNUMBER(SEARCH(Table1[[#This Row],[their_ent_2]],Table1[[#This Row],[my_ent_2]])), 1, 0)</f>
        <v>0</v>
      </c>
    </row>
    <row r="501" spans="1:12" x14ac:dyDescent="0.3">
      <c r="A501" t="s">
        <v>1665</v>
      </c>
      <c r="B501" t="s">
        <v>1666</v>
      </c>
      <c r="C501" t="s">
        <v>1667</v>
      </c>
      <c r="D501" t="s">
        <v>1667</v>
      </c>
      <c r="E501" t="s">
        <v>1668</v>
      </c>
      <c r="F501">
        <v>0</v>
      </c>
      <c r="G501">
        <v>499</v>
      </c>
      <c r="H501">
        <f>IF(Table1[[#This Row],[my_ent_1]]=Table1[[#This Row],[their_ent_1]], 1, 0)</f>
        <v>0</v>
      </c>
      <c r="I501">
        <f>IF(Table1[[#This Row],[my_ent_2]]=Table1[[#This Row],[their_ent_2]], 1, 0)</f>
        <v>0</v>
      </c>
      <c r="J501">
        <f>IF(Table1[[#This Row],[same_1]]=1 &amp; Table1[[#This Row],[same_2]]=1, 1, 0)</f>
        <v>0</v>
      </c>
      <c r="K501">
        <f>IF(ISNUMBER(SEARCH(Table1[[#This Row],[their_ent_1]],Table1[[#This Row],[my_ent_1]])), 1, 0)</f>
        <v>0</v>
      </c>
      <c r="L501">
        <f>IF(ISNUMBER(SEARCH(Table1[[#This Row],[their_ent_2]],Table1[[#This Row],[my_ent_2]])), 1, 0)</f>
        <v>0</v>
      </c>
    </row>
    <row r="502" spans="1:12" x14ac:dyDescent="0.3">
      <c r="A502" t="s">
        <v>1669</v>
      </c>
      <c r="B502" t="s">
        <v>171</v>
      </c>
      <c r="C502" t="s">
        <v>1670</v>
      </c>
      <c r="D502" t="s">
        <v>391</v>
      </c>
      <c r="E502" t="s">
        <v>1671</v>
      </c>
      <c r="F502">
        <v>0</v>
      </c>
      <c r="G502">
        <v>500</v>
      </c>
      <c r="H502">
        <f>IF(Table1[[#This Row],[my_ent_1]]=Table1[[#This Row],[their_ent_1]], 1, 0)</f>
        <v>0</v>
      </c>
      <c r="I502">
        <f>IF(Table1[[#This Row],[my_ent_2]]=Table1[[#This Row],[their_ent_2]], 1, 0)</f>
        <v>0</v>
      </c>
      <c r="J502">
        <f>IF(Table1[[#This Row],[same_1]]=1 &amp; Table1[[#This Row],[same_2]]=1, 1, 0)</f>
        <v>0</v>
      </c>
      <c r="K502">
        <f>IF(ISNUMBER(SEARCH(Table1[[#This Row],[their_ent_1]],Table1[[#This Row],[my_ent_1]])), 1, 0)</f>
        <v>0</v>
      </c>
      <c r="L502">
        <f>IF(ISNUMBER(SEARCH(Table1[[#This Row],[their_ent_2]],Table1[[#This Row],[my_ent_2]])), 1, 0)</f>
        <v>0</v>
      </c>
    </row>
    <row r="503" spans="1:12" x14ac:dyDescent="0.3">
      <c r="A503" t="s">
        <v>1672</v>
      </c>
      <c r="B503" t="s">
        <v>1673</v>
      </c>
      <c r="C503" t="s">
        <v>1673</v>
      </c>
      <c r="D503" t="s">
        <v>62</v>
      </c>
      <c r="E503" t="s">
        <v>1674</v>
      </c>
      <c r="F503">
        <v>0</v>
      </c>
      <c r="G503">
        <v>501</v>
      </c>
      <c r="H503">
        <f>IF(Table1[[#This Row],[my_ent_1]]=Table1[[#This Row],[their_ent_1]], 1, 0)</f>
        <v>1</v>
      </c>
      <c r="I503">
        <f>IF(Table1[[#This Row],[my_ent_2]]=Table1[[#This Row],[their_ent_2]], 1, 0)</f>
        <v>0</v>
      </c>
      <c r="J503">
        <f>IF(Table1[[#This Row],[same_1]]=1 &amp; Table1[[#This Row],[same_2]]=1, 1, 0)</f>
        <v>0</v>
      </c>
      <c r="K503">
        <f>IF(ISNUMBER(SEARCH(Table1[[#This Row],[their_ent_1]],Table1[[#This Row],[my_ent_1]])), 1, 0)</f>
        <v>1</v>
      </c>
      <c r="L503">
        <f>IF(ISNUMBER(SEARCH(Table1[[#This Row],[their_ent_2]],Table1[[#This Row],[my_ent_2]])), 1, 0)</f>
        <v>0</v>
      </c>
    </row>
    <row r="504" spans="1:12" x14ac:dyDescent="0.3">
      <c r="A504" t="s">
        <v>1675</v>
      </c>
      <c r="B504" t="s">
        <v>959</v>
      </c>
      <c r="C504" t="s">
        <v>1676</v>
      </c>
      <c r="D504" t="s">
        <v>222</v>
      </c>
      <c r="E504" t="s">
        <v>273</v>
      </c>
      <c r="F504">
        <v>0</v>
      </c>
      <c r="G504">
        <v>502</v>
      </c>
      <c r="H504">
        <f>IF(Table1[[#This Row],[my_ent_1]]=Table1[[#This Row],[their_ent_1]], 1, 0)</f>
        <v>0</v>
      </c>
      <c r="I504">
        <f>IF(Table1[[#This Row],[my_ent_2]]=Table1[[#This Row],[their_ent_2]], 1, 0)</f>
        <v>0</v>
      </c>
      <c r="J504">
        <f>IF(Table1[[#This Row],[same_1]]=1 &amp; Table1[[#This Row],[same_2]]=1, 1, 0)</f>
        <v>0</v>
      </c>
      <c r="K504">
        <f>IF(ISNUMBER(SEARCH(Table1[[#This Row],[their_ent_1]],Table1[[#This Row],[my_ent_1]])), 1, 0)</f>
        <v>0</v>
      </c>
      <c r="L504">
        <f>IF(ISNUMBER(SEARCH(Table1[[#This Row],[their_ent_2]],Table1[[#This Row],[my_ent_2]])), 1, 0)</f>
        <v>0</v>
      </c>
    </row>
    <row r="505" spans="1:12" x14ac:dyDescent="0.3">
      <c r="A505" t="s">
        <v>1677</v>
      </c>
      <c r="B505" t="s">
        <v>381</v>
      </c>
      <c r="C505" t="s">
        <v>1678</v>
      </c>
      <c r="D505" t="s">
        <v>1678</v>
      </c>
      <c r="E505" t="s">
        <v>1679</v>
      </c>
      <c r="F505">
        <v>0</v>
      </c>
      <c r="G505">
        <v>503</v>
      </c>
      <c r="H505">
        <f>IF(Table1[[#This Row],[my_ent_1]]=Table1[[#This Row],[their_ent_1]], 1, 0)</f>
        <v>0</v>
      </c>
      <c r="I505">
        <f>IF(Table1[[#This Row],[my_ent_2]]=Table1[[#This Row],[their_ent_2]], 1, 0)</f>
        <v>0</v>
      </c>
      <c r="J505">
        <f>IF(Table1[[#This Row],[same_1]]=1 &amp; Table1[[#This Row],[same_2]]=1, 1, 0)</f>
        <v>0</v>
      </c>
      <c r="K505">
        <f>IF(ISNUMBER(SEARCH(Table1[[#This Row],[their_ent_1]],Table1[[#This Row],[my_ent_1]])), 1, 0)</f>
        <v>0</v>
      </c>
      <c r="L505">
        <f>IF(ISNUMBER(SEARCH(Table1[[#This Row],[their_ent_2]],Table1[[#This Row],[my_ent_2]])), 1, 0)</f>
        <v>0</v>
      </c>
    </row>
    <row r="506" spans="1:12" x14ac:dyDescent="0.3">
      <c r="A506" t="s">
        <v>1680</v>
      </c>
      <c r="B506" t="s">
        <v>164</v>
      </c>
      <c r="C506" t="s">
        <v>392</v>
      </c>
      <c r="D506" t="s">
        <v>51</v>
      </c>
      <c r="E506" t="s">
        <v>526</v>
      </c>
      <c r="F506">
        <v>0</v>
      </c>
      <c r="G506">
        <v>504</v>
      </c>
      <c r="H506">
        <f>IF(Table1[[#This Row],[my_ent_1]]=Table1[[#This Row],[their_ent_1]], 1, 0)</f>
        <v>0</v>
      </c>
      <c r="I506">
        <f>IF(Table1[[#This Row],[my_ent_2]]=Table1[[#This Row],[their_ent_2]], 1, 0)</f>
        <v>0</v>
      </c>
      <c r="J506">
        <f>IF(Table1[[#This Row],[same_1]]=1 &amp; Table1[[#This Row],[same_2]]=1, 1, 0)</f>
        <v>0</v>
      </c>
      <c r="K506">
        <f>IF(ISNUMBER(SEARCH(Table1[[#This Row],[their_ent_1]],Table1[[#This Row],[my_ent_1]])), 1, 0)</f>
        <v>0</v>
      </c>
      <c r="L506">
        <f>IF(ISNUMBER(SEARCH(Table1[[#This Row],[their_ent_2]],Table1[[#This Row],[my_ent_2]])), 1, 0)</f>
        <v>0</v>
      </c>
    </row>
    <row r="507" spans="1:12" x14ac:dyDescent="0.3">
      <c r="A507" t="s">
        <v>1681</v>
      </c>
      <c r="B507" t="s">
        <v>163</v>
      </c>
      <c r="C507" t="s">
        <v>163</v>
      </c>
      <c r="D507" t="s">
        <v>1682</v>
      </c>
      <c r="E507" t="s">
        <v>198</v>
      </c>
      <c r="F507">
        <v>0</v>
      </c>
      <c r="G507">
        <v>505</v>
      </c>
      <c r="H507">
        <f>IF(Table1[[#This Row],[my_ent_1]]=Table1[[#This Row],[their_ent_1]], 1, 0)</f>
        <v>1</v>
      </c>
      <c r="I507">
        <f>IF(Table1[[#This Row],[my_ent_2]]=Table1[[#This Row],[their_ent_2]], 1, 0)</f>
        <v>0</v>
      </c>
      <c r="J507">
        <f>IF(Table1[[#This Row],[same_1]]=1 &amp; Table1[[#This Row],[same_2]]=1, 1, 0)</f>
        <v>0</v>
      </c>
      <c r="K507">
        <f>IF(ISNUMBER(SEARCH(Table1[[#This Row],[their_ent_1]],Table1[[#This Row],[my_ent_1]])), 1, 0)</f>
        <v>1</v>
      </c>
      <c r="L507">
        <f>IF(ISNUMBER(SEARCH(Table1[[#This Row],[their_ent_2]],Table1[[#This Row],[my_ent_2]])), 1, 0)</f>
        <v>0</v>
      </c>
    </row>
    <row r="508" spans="1:12" x14ac:dyDescent="0.3">
      <c r="A508" t="s">
        <v>1683</v>
      </c>
      <c r="B508" t="s">
        <v>1684</v>
      </c>
      <c r="C508" t="s">
        <v>1685</v>
      </c>
      <c r="D508" t="s">
        <v>59</v>
      </c>
      <c r="E508" t="s">
        <v>1265</v>
      </c>
      <c r="F508">
        <v>0</v>
      </c>
      <c r="G508">
        <v>506</v>
      </c>
      <c r="H508">
        <f>IF(Table1[[#This Row],[my_ent_1]]=Table1[[#This Row],[their_ent_1]], 1, 0)</f>
        <v>0</v>
      </c>
      <c r="I508">
        <f>IF(Table1[[#This Row],[my_ent_2]]=Table1[[#This Row],[their_ent_2]], 1, 0)</f>
        <v>0</v>
      </c>
      <c r="J508">
        <f>IF(Table1[[#This Row],[same_1]]=1 &amp; Table1[[#This Row],[same_2]]=1, 1, 0)</f>
        <v>0</v>
      </c>
      <c r="K508">
        <f>IF(ISNUMBER(SEARCH(Table1[[#This Row],[their_ent_1]],Table1[[#This Row],[my_ent_1]])), 1, 0)</f>
        <v>0</v>
      </c>
      <c r="L508">
        <f>IF(ISNUMBER(SEARCH(Table1[[#This Row],[their_ent_2]],Table1[[#This Row],[my_ent_2]])), 1, 0)</f>
        <v>0</v>
      </c>
    </row>
    <row r="509" spans="1:12" x14ac:dyDescent="0.3">
      <c r="A509" t="s">
        <v>1686</v>
      </c>
      <c r="B509" t="s">
        <v>323</v>
      </c>
      <c r="C509" t="s">
        <v>324</v>
      </c>
      <c r="D509" t="s">
        <v>115</v>
      </c>
      <c r="E509" t="s">
        <v>115</v>
      </c>
      <c r="F509">
        <v>0</v>
      </c>
      <c r="G509">
        <v>507</v>
      </c>
      <c r="H509">
        <f>IF(Table1[[#This Row],[my_ent_1]]=Table1[[#This Row],[their_ent_1]], 1, 0)</f>
        <v>0</v>
      </c>
      <c r="I509">
        <f>IF(Table1[[#This Row],[my_ent_2]]=Table1[[#This Row],[their_ent_2]], 1, 0)</f>
        <v>1</v>
      </c>
      <c r="J509">
        <f>IF(Table1[[#This Row],[same_1]]=1 &amp; Table1[[#This Row],[same_2]]=1, 1, 0)</f>
        <v>0</v>
      </c>
      <c r="K509">
        <f>IF(ISNUMBER(SEARCH(Table1[[#This Row],[their_ent_1]],Table1[[#This Row],[my_ent_1]])), 1, 0)</f>
        <v>1</v>
      </c>
      <c r="L509">
        <f>IF(ISNUMBER(SEARCH(Table1[[#This Row],[their_ent_2]],Table1[[#This Row],[my_ent_2]])), 1, 0)</f>
        <v>1</v>
      </c>
    </row>
    <row r="510" spans="1:12" x14ac:dyDescent="0.3">
      <c r="A510" t="s">
        <v>1687</v>
      </c>
      <c r="B510" t="s">
        <v>376</v>
      </c>
      <c r="C510" t="s">
        <v>485</v>
      </c>
      <c r="D510" t="s">
        <v>1688</v>
      </c>
      <c r="E510" t="s">
        <v>1689</v>
      </c>
      <c r="F510">
        <v>0</v>
      </c>
      <c r="G510">
        <v>508</v>
      </c>
      <c r="H510">
        <f>IF(Table1[[#This Row],[my_ent_1]]=Table1[[#This Row],[their_ent_1]], 1, 0)</f>
        <v>0</v>
      </c>
      <c r="I510">
        <f>IF(Table1[[#This Row],[my_ent_2]]=Table1[[#This Row],[their_ent_2]], 1, 0)</f>
        <v>0</v>
      </c>
      <c r="J510">
        <f>IF(Table1[[#This Row],[same_1]]=1 &amp; Table1[[#This Row],[same_2]]=1, 1, 0)</f>
        <v>0</v>
      </c>
      <c r="K510">
        <f>IF(ISNUMBER(SEARCH(Table1[[#This Row],[their_ent_1]],Table1[[#This Row],[my_ent_1]])), 1, 0)</f>
        <v>0</v>
      </c>
      <c r="L510">
        <f>IF(ISNUMBER(SEARCH(Table1[[#This Row],[their_ent_2]],Table1[[#This Row],[my_ent_2]])), 1, 0)</f>
        <v>0</v>
      </c>
    </row>
    <row r="511" spans="1:12" x14ac:dyDescent="0.3">
      <c r="A511" t="s">
        <v>1690</v>
      </c>
      <c r="B511" t="s">
        <v>1691</v>
      </c>
      <c r="C511" t="s">
        <v>1692</v>
      </c>
      <c r="D511" t="s">
        <v>78</v>
      </c>
      <c r="E511" t="s">
        <v>78</v>
      </c>
      <c r="F511">
        <v>0</v>
      </c>
      <c r="G511">
        <v>509</v>
      </c>
      <c r="H511">
        <f>IF(Table1[[#This Row],[my_ent_1]]=Table1[[#This Row],[their_ent_1]], 1, 0)</f>
        <v>0</v>
      </c>
      <c r="I511">
        <f>IF(Table1[[#This Row],[my_ent_2]]=Table1[[#This Row],[their_ent_2]], 1, 0)</f>
        <v>1</v>
      </c>
      <c r="J511">
        <f>IF(Table1[[#This Row],[same_1]]=1 &amp; Table1[[#This Row],[same_2]]=1, 1, 0)</f>
        <v>0</v>
      </c>
      <c r="K511">
        <f>IF(ISNUMBER(SEARCH(Table1[[#This Row],[their_ent_1]],Table1[[#This Row],[my_ent_1]])), 1, 0)</f>
        <v>1</v>
      </c>
      <c r="L511">
        <f>IF(ISNUMBER(SEARCH(Table1[[#This Row],[their_ent_2]],Table1[[#This Row],[my_ent_2]])), 1, 0)</f>
        <v>1</v>
      </c>
    </row>
    <row r="512" spans="1:12" x14ac:dyDescent="0.3">
      <c r="A512" t="s">
        <v>1693</v>
      </c>
      <c r="B512" t="s">
        <v>1694</v>
      </c>
      <c r="C512" t="s">
        <v>1695</v>
      </c>
      <c r="D512" t="s">
        <v>1695</v>
      </c>
      <c r="E512" t="s">
        <v>1696</v>
      </c>
      <c r="F512">
        <v>0</v>
      </c>
      <c r="G512">
        <v>510</v>
      </c>
      <c r="H512">
        <f>IF(Table1[[#This Row],[my_ent_1]]=Table1[[#This Row],[their_ent_1]], 1, 0)</f>
        <v>0</v>
      </c>
      <c r="I512">
        <f>IF(Table1[[#This Row],[my_ent_2]]=Table1[[#This Row],[their_ent_2]], 1, 0)</f>
        <v>0</v>
      </c>
      <c r="J512">
        <f>IF(Table1[[#This Row],[same_1]]=1 &amp; Table1[[#This Row],[same_2]]=1, 1, 0)</f>
        <v>0</v>
      </c>
      <c r="K512">
        <f>IF(ISNUMBER(SEARCH(Table1[[#This Row],[their_ent_1]],Table1[[#This Row],[my_ent_1]])), 1, 0)</f>
        <v>0</v>
      </c>
      <c r="L512">
        <f>IF(ISNUMBER(SEARCH(Table1[[#This Row],[their_ent_2]],Table1[[#This Row],[my_ent_2]])), 1, 0)</f>
        <v>0</v>
      </c>
    </row>
    <row r="513" spans="1:12" x14ac:dyDescent="0.3">
      <c r="A513" t="s">
        <v>416</v>
      </c>
      <c r="B513" t="s">
        <v>417</v>
      </c>
      <c r="C513" t="s">
        <v>418</v>
      </c>
      <c r="D513" t="s">
        <v>164</v>
      </c>
      <c r="E513" t="s">
        <v>419</v>
      </c>
      <c r="F513">
        <v>0</v>
      </c>
      <c r="G513">
        <v>511</v>
      </c>
      <c r="H513">
        <f>IF(Table1[[#This Row],[my_ent_1]]=Table1[[#This Row],[their_ent_1]], 1, 0)</f>
        <v>0</v>
      </c>
      <c r="I513">
        <f>IF(Table1[[#This Row],[my_ent_2]]=Table1[[#This Row],[their_ent_2]], 1, 0)</f>
        <v>0</v>
      </c>
      <c r="J513">
        <f>IF(Table1[[#This Row],[same_1]]=1 &amp; Table1[[#This Row],[same_2]]=1, 1, 0)</f>
        <v>0</v>
      </c>
      <c r="K513">
        <f>IF(ISNUMBER(SEARCH(Table1[[#This Row],[their_ent_1]],Table1[[#This Row],[my_ent_1]])), 1, 0)</f>
        <v>0</v>
      </c>
      <c r="L513">
        <f>IF(ISNUMBER(SEARCH(Table1[[#This Row],[their_ent_2]],Table1[[#This Row],[my_ent_2]])), 1, 0)</f>
        <v>0</v>
      </c>
    </row>
    <row r="514" spans="1:12" x14ac:dyDescent="0.3">
      <c r="A514" t="s">
        <v>1697</v>
      </c>
      <c r="B514" t="s">
        <v>20</v>
      </c>
      <c r="C514" t="s">
        <v>813</v>
      </c>
      <c r="D514" t="s">
        <v>812</v>
      </c>
      <c r="E514" t="s">
        <v>63</v>
      </c>
      <c r="F514">
        <v>0</v>
      </c>
      <c r="G514">
        <v>512</v>
      </c>
      <c r="H514">
        <f>IF(Table1[[#This Row],[my_ent_1]]=Table1[[#This Row],[their_ent_1]], 1, 0)</f>
        <v>0</v>
      </c>
      <c r="I514">
        <f>IF(Table1[[#This Row],[my_ent_2]]=Table1[[#This Row],[their_ent_2]], 1, 0)</f>
        <v>0</v>
      </c>
      <c r="J514">
        <f>IF(Table1[[#This Row],[same_1]]=1 &amp; Table1[[#This Row],[same_2]]=1, 1, 0)</f>
        <v>0</v>
      </c>
      <c r="K514">
        <f>IF(ISNUMBER(SEARCH(Table1[[#This Row],[their_ent_1]],Table1[[#This Row],[my_ent_1]])), 1, 0)</f>
        <v>0</v>
      </c>
      <c r="L514">
        <f>IF(ISNUMBER(SEARCH(Table1[[#This Row],[their_ent_2]],Table1[[#This Row],[my_ent_2]])), 1, 0)</f>
        <v>0</v>
      </c>
    </row>
    <row r="515" spans="1:12" x14ac:dyDescent="0.3">
      <c r="A515" t="s">
        <v>1698</v>
      </c>
      <c r="B515" t="s">
        <v>1544</v>
      </c>
      <c r="C515" t="s">
        <v>1544</v>
      </c>
      <c r="D515" t="s">
        <v>1699</v>
      </c>
      <c r="E515" t="s">
        <v>1546</v>
      </c>
      <c r="F515">
        <v>0</v>
      </c>
      <c r="G515">
        <v>513</v>
      </c>
      <c r="H515">
        <f>IF(Table1[[#This Row],[my_ent_1]]=Table1[[#This Row],[their_ent_1]], 1, 0)</f>
        <v>1</v>
      </c>
      <c r="I515">
        <f>IF(Table1[[#This Row],[my_ent_2]]=Table1[[#This Row],[their_ent_2]], 1, 0)</f>
        <v>0</v>
      </c>
      <c r="J515">
        <f>IF(Table1[[#This Row],[same_1]]=1 &amp; Table1[[#This Row],[same_2]]=1, 1, 0)</f>
        <v>0</v>
      </c>
      <c r="K515">
        <f>IF(ISNUMBER(SEARCH(Table1[[#This Row],[their_ent_1]],Table1[[#This Row],[my_ent_1]])), 1, 0)</f>
        <v>1</v>
      </c>
      <c r="L515">
        <f>IF(ISNUMBER(SEARCH(Table1[[#This Row],[their_ent_2]],Table1[[#This Row],[my_ent_2]])), 1, 0)</f>
        <v>1</v>
      </c>
    </row>
    <row r="516" spans="1:12" x14ac:dyDescent="0.3">
      <c r="A516" t="s">
        <v>1700</v>
      </c>
      <c r="B516" t="s">
        <v>1701</v>
      </c>
      <c r="C516" t="s">
        <v>1702</v>
      </c>
      <c r="D516" t="s">
        <v>1703</v>
      </c>
      <c r="E516" t="s">
        <v>1704</v>
      </c>
      <c r="F516">
        <v>0</v>
      </c>
      <c r="G516">
        <v>514</v>
      </c>
      <c r="H516">
        <f>IF(Table1[[#This Row],[my_ent_1]]=Table1[[#This Row],[their_ent_1]], 1, 0)</f>
        <v>0</v>
      </c>
      <c r="I516">
        <f>IF(Table1[[#This Row],[my_ent_2]]=Table1[[#This Row],[their_ent_2]], 1, 0)</f>
        <v>0</v>
      </c>
      <c r="J516">
        <f>IF(Table1[[#This Row],[same_1]]=1 &amp; Table1[[#This Row],[same_2]]=1, 1, 0)</f>
        <v>0</v>
      </c>
      <c r="K516">
        <f>IF(ISNUMBER(SEARCH(Table1[[#This Row],[their_ent_1]],Table1[[#This Row],[my_ent_1]])), 1, 0)</f>
        <v>0</v>
      </c>
      <c r="L516">
        <f>IF(ISNUMBER(SEARCH(Table1[[#This Row],[their_ent_2]],Table1[[#This Row],[my_ent_2]])), 1, 0)</f>
        <v>0</v>
      </c>
    </row>
    <row r="517" spans="1:12" x14ac:dyDescent="0.3">
      <c r="A517" t="s">
        <v>1705</v>
      </c>
      <c r="B517" t="s">
        <v>1706</v>
      </c>
      <c r="C517" t="s">
        <v>1707</v>
      </c>
      <c r="D517" t="s">
        <v>59</v>
      </c>
      <c r="E517" t="s">
        <v>1706</v>
      </c>
      <c r="F517">
        <v>0</v>
      </c>
      <c r="G517">
        <v>515</v>
      </c>
      <c r="H517">
        <f>IF(Table1[[#This Row],[my_ent_1]]=Table1[[#This Row],[their_ent_1]], 1, 0)</f>
        <v>0</v>
      </c>
      <c r="I517">
        <f>IF(Table1[[#This Row],[my_ent_2]]=Table1[[#This Row],[their_ent_2]], 1, 0)</f>
        <v>0</v>
      </c>
      <c r="J517">
        <f>IF(Table1[[#This Row],[same_1]]=1 &amp; Table1[[#This Row],[same_2]]=1, 1, 0)</f>
        <v>0</v>
      </c>
      <c r="K517">
        <f>IF(ISNUMBER(SEARCH(Table1[[#This Row],[their_ent_1]],Table1[[#This Row],[my_ent_1]])), 1, 0)</f>
        <v>0</v>
      </c>
      <c r="L517">
        <f>IF(ISNUMBER(SEARCH(Table1[[#This Row],[their_ent_2]],Table1[[#This Row],[my_ent_2]])), 1, 0)</f>
        <v>0</v>
      </c>
    </row>
    <row r="518" spans="1:12" x14ac:dyDescent="0.3">
      <c r="A518" t="s">
        <v>1708</v>
      </c>
      <c r="B518" t="s">
        <v>1709</v>
      </c>
      <c r="C518" t="s">
        <v>1710</v>
      </c>
      <c r="D518" t="s">
        <v>1710</v>
      </c>
      <c r="E518" t="s">
        <v>1711</v>
      </c>
      <c r="F518">
        <v>0</v>
      </c>
      <c r="G518">
        <v>516</v>
      </c>
      <c r="H518">
        <f>IF(Table1[[#This Row],[my_ent_1]]=Table1[[#This Row],[their_ent_1]], 1, 0)</f>
        <v>0</v>
      </c>
      <c r="I518">
        <f>IF(Table1[[#This Row],[my_ent_2]]=Table1[[#This Row],[their_ent_2]], 1, 0)</f>
        <v>0</v>
      </c>
      <c r="J518">
        <f>IF(Table1[[#This Row],[same_1]]=1 &amp; Table1[[#This Row],[same_2]]=1, 1, 0)</f>
        <v>0</v>
      </c>
      <c r="K518">
        <f>IF(ISNUMBER(SEARCH(Table1[[#This Row],[their_ent_1]],Table1[[#This Row],[my_ent_1]])), 1, 0)</f>
        <v>0</v>
      </c>
      <c r="L518">
        <f>IF(ISNUMBER(SEARCH(Table1[[#This Row],[their_ent_2]],Table1[[#This Row],[my_ent_2]])), 1, 0)</f>
        <v>0</v>
      </c>
    </row>
    <row r="519" spans="1:12" x14ac:dyDescent="0.3">
      <c r="A519" t="s">
        <v>1712</v>
      </c>
      <c r="B519" t="s">
        <v>1713</v>
      </c>
      <c r="C519" t="s">
        <v>1714</v>
      </c>
      <c r="D519" t="s">
        <v>36</v>
      </c>
      <c r="E519" t="s">
        <v>1715</v>
      </c>
      <c r="F519">
        <v>0</v>
      </c>
      <c r="G519">
        <v>517</v>
      </c>
      <c r="H519">
        <f>IF(Table1[[#This Row],[my_ent_1]]=Table1[[#This Row],[their_ent_1]], 1, 0)</f>
        <v>0</v>
      </c>
      <c r="I519">
        <f>IF(Table1[[#This Row],[my_ent_2]]=Table1[[#This Row],[their_ent_2]], 1, 0)</f>
        <v>0</v>
      </c>
      <c r="J519">
        <f>IF(Table1[[#This Row],[same_1]]=1 &amp; Table1[[#This Row],[same_2]]=1, 1, 0)</f>
        <v>0</v>
      </c>
      <c r="K519">
        <f>IF(ISNUMBER(SEARCH(Table1[[#This Row],[their_ent_1]],Table1[[#This Row],[my_ent_1]])), 1, 0)</f>
        <v>1</v>
      </c>
      <c r="L519">
        <f>IF(ISNUMBER(SEARCH(Table1[[#This Row],[their_ent_2]],Table1[[#This Row],[my_ent_2]])), 1, 0)</f>
        <v>0</v>
      </c>
    </row>
    <row r="520" spans="1:12" x14ac:dyDescent="0.3">
      <c r="A520" t="s">
        <v>1716</v>
      </c>
      <c r="B520" t="s">
        <v>20</v>
      </c>
      <c r="C520" t="s">
        <v>1717</v>
      </c>
      <c r="D520" t="s">
        <v>1718</v>
      </c>
      <c r="E520" t="s">
        <v>1719</v>
      </c>
      <c r="F520">
        <v>0</v>
      </c>
      <c r="G520">
        <v>518</v>
      </c>
      <c r="H520">
        <f>IF(Table1[[#This Row],[my_ent_1]]=Table1[[#This Row],[their_ent_1]], 1, 0)</f>
        <v>0</v>
      </c>
      <c r="I520">
        <f>IF(Table1[[#This Row],[my_ent_2]]=Table1[[#This Row],[their_ent_2]], 1, 0)</f>
        <v>0</v>
      </c>
      <c r="J520">
        <f>IF(Table1[[#This Row],[same_1]]=1 &amp; Table1[[#This Row],[same_2]]=1, 1, 0)</f>
        <v>0</v>
      </c>
      <c r="K520">
        <f>IF(ISNUMBER(SEARCH(Table1[[#This Row],[their_ent_1]],Table1[[#This Row],[my_ent_1]])), 1, 0)</f>
        <v>0</v>
      </c>
      <c r="L520">
        <f>IF(ISNUMBER(SEARCH(Table1[[#This Row],[their_ent_2]],Table1[[#This Row],[my_ent_2]])), 1, 0)</f>
        <v>0</v>
      </c>
    </row>
    <row r="521" spans="1:12" x14ac:dyDescent="0.3">
      <c r="A521" t="s">
        <v>1720</v>
      </c>
      <c r="B521" t="s">
        <v>707</v>
      </c>
      <c r="C521" t="s">
        <v>1721</v>
      </c>
      <c r="D521" t="s">
        <v>1722</v>
      </c>
      <c r="E521" t="s">
        <v>1723</v>
      </c>
      <c r="F521">
        <v>0</v>
      </c>
      <c r="G521">
        <v>519</v>
      </c>
      <c r="H521">
        <f>IF(Table1[[#This Row],[my_ent_1]]=Table1[[#This Row],[their_ent_1]], 1, 0)</f>
        <v>0</v>
      </c>
      <c r="I521">
        <f>IF(Table1[[#This Row],[my_ent_2]]=Table1[[#This Row],[their_ent_2]], 1, 0)</f>
        <v>0</v>
      </c>
      <c r="J521">
        <f>IF(Table1[[#This Row],[same_1]]=1 &amp; Table1[[#This Row],[same_2]]=1, 1, 0)</f>
        <v>0</v>
      </c>
      <c r="K521">
        <f>IF(ISNUMBER(SEARCH(Table1[[#This Row],[their_ent_1]],Table1[[#This Row],[my_ent_1]])), 1, 0)</f>
        <v>0</v>
      </c>
      <c r="L521">
        <f>IF(ISNUMBER(SEARCH(Table1[[#This Row],[their_ent_2]],Table1[[#This Row],[my_ent_2]])), 1, 0)</f>
        <v>0</v>
      </c>
    </row>
    <row r="522" spans="1:12" x14ac:dyDescent="0.3">
      <c r="A522" t="s">
        <v>1724</v>
      </c>
      <c r="B522" t="s">
        <v>897</v>
      </c>
      <c r="C522" t="s">
        <v>1725</v>
      </c>
      <c r="D522" t="s">
        <v>157</v>
      </c>
      <c r="E522" t="s">
        <v>897</v>
      </c>
      <c r="F522">
        <v>0</v>
      </c>
      <c r="G522">
        <v>520</v>
      </c>
      <c r="H522">
        <f>IF(Table1[[#This Row],[my_ent_1]]=Table1[[#This Row],[their_ent_1]], 1, 0)</f>
        <v>0</v>
      </c>
      <c r="I522">
        <f>IF(Table1[[#This Row],[my_ent_2]]=Table1[[#This Row],[their_ent_2]], 1, 0)</f>
        <v>0</v>
      </c>
      <c r="J522">
        <f>IF(Table1[[#This Row],[same_1]]=1 &amp; Table1[[#This Row],[same_2]]=1, 1, 0)</f>
        <v>0</v>
      </c>
      <c r="K522">
        <f>IF(ISNUMBER(SEARCH(Table1[[#This Row],[their_ent_1]],Table1[[#This Row],[my_ent_1]])), 1, 0)</f>
        <v>0</v>
      </c>
      <c r="L522">
        <f>IF(ISNUMBER(SEARCH(Table1[[#This Row],[their_ent_2]],Table1[[#This Row],[my_ent_2]])), 1, 0)</f>
        <v>0</v>
      </c>
    </row>
    <row r="523" spans="1:12" x14ac:dyDescent="0.3">
      <c r="A523" t="s">
        <v>1726</v>
      </c>
      <c r="B523" t="s">
        <v>1727</v>
      </c>
      <c r="C523" t="s">
        <v>619</v>
      </c>
      <c r="D523" t="s">
        <v>918</v>
      </c>
      <c r="E523" t="s">
        <v>918</v>
      </c>
      <c r="F523">
        <v>0</v>
      </c>
      <c r="G523">
        <v>521</v>
      </c>
      <c r="H523">
        <f>IF(Table1[[#This Row],[my_ent_1]]=Table1[[#This Row],[their_ent_1]], 1, 0)</f>
        <v>0</v>
      </c>
      <c r="I523">
        <f>IF(Table1[[#This Row],[my_ent_2]]=Table1[[#This Row],[their_ent_2]], 1, 0)</f>
        <v>1</v>
      </c>
      <c r="J523">
        <f>IF(Table1[[#This Row],[same_1]]=1 &amp; Table1[[#This Row],[same_2]]=1, 1, 0)</f>
        <v>0</v>
      </c>
      <c r="K523">
        <f>IF(ISNUMBER(SEARCH(Table1[[#This Row],[their_ent_1]],Table1[[#This Row],[my_ent_1]])), 1, 0)</f>
        <v>0</v>
      </c>
      <c r="L523">
        <f>IF(ISNUMBER(SEARCH(Table1[[#This Row],[their_ent_2]],Table1[[#This Row],[my_ent_2]])), 1, 0)</f>
        <v>1</v>
      </c>
    </row>
    <row r="524" spans="1:12" x14ac:dyDescent="0.3">
      <c r="A524" t="s">
        <v>1728</v>
      </c>
      <c r="B524" t="s">
        <v>238</v>
      </c>
      <c r="C524" t="s">
        <v>238</v>
      </c>
      <c r="D524" t="s">
        <v>11</v>
      </c>
      <c r="E524" t="s">
        <v>410</v>
      </c>
      <c r="F524">
        <v>0</v>
      </c>
      <c r="G524">
        <v>522</v>
      </c>
      <c r="H524">
        <f>IF(Table1[[#This Row],[my_ent_1]]=Table1[[#This Row],[their_ent_1]], 1, 0)</f>
        <v>1</v>
      </c>
      <c r="I524">
        <f>IF(Table1[[#This Row],[my_ent_2]]=Table1[[#This Row],[their_ent_2]], 1, 0)</f>
        <v>0</v>
      </c>
      <c r="J524">
        <f>IF(Table1[[#This Row],[same_1]]=1 &amp; Table1[[#This Row],[same_2]]=1, 1, 0)</f>
        <v>0</v>
      </c>
      <c r="K524">
        <f>IF(ISNUMBER(SEARCH(Table1[[#This Row],[their_ent_1]],Table1[[#This Row],[my_ent_1]])), 1, 0)</f>
        <v>1</v>
      </c>
      <c r="L524">
        <f>IF(ISNUMBER(SEARCH(Table1[[#This Row],[their_ent_2]],Table1[[#This Row],[my_ent_2]])), 1, 0)</f>
        <v>0</v>
      </c>
    </row>
    <row r="525" spans="1:12" x14ac:dyDescent="0.3">
      <c r="A525" t="s">
        <v>1729</v>
      </c>
      <c r="B525" t="s">
        <v>1730</v>
      </c>
      <c r="C525" t="s">
        <v>1730</v>
      </c>
      <c r="D525" t="s">
        <v>1731</v>
      </c>
      <c r="E525" t="s">
        <v>1732</v>
      </c>
      <c r="F525">
        <v>0</v>
      </c>
      <c r="G525">
        <v>523</v>
      </c>
      <c r="H525">
        <f>IF(Table1[[#This Row],[my_ent_1]]=Table1[[#This Row],[their_ent_1]], 1, 0)</f>
        <v>1</v>
      </c>
      <c r="I525">
        <f>IF(Table1[[#This Row],[my_ent_2]]=Table1[[#This Row],[their_ent_2]], 1, 0)</f>
        <v>0</v>
      </c>
      <c r="J525">
        <f>IF(Table1[[#This Row],[same_1]]=1 &amp; Table1[[#This Row],[same_2]]=1, 1, 0)</f>
        <v>0</v>
      </c>
      <c r="K525">
        <f>IF(ISNUMBER(SEARCH(Table1[[#This Row],[their_ent_1]],Table1[[#This Row],[my_ent_1]])), 1, 0)</f>
        <v>1</v>
      </c>
      <c r="L525">
        <f>IF(ISNUMBER(SEARCH(Table1[[#This Row],[their_ent_2]],Table1[[#This Row],[my_ent_2]])), 1, 0)</f>
        <v>0</v>
      </c>
    </row>
    <row r="526" spans="1:12" x14ac:dyDescent="0.3">
      <c r="A526" t="s">
        <v>1733</v>
      </c>
      <c r="B526" t="s">
        <v>1734</v>
      </c>
      <c r="C526" t="s">
        <v>1735</v>
      </c>
      <c r="D526" t="s">
        <v>1736</v>
      </c>
      <c r="E526" t="s">
        <v>1737</v>
      </c>
      <c r="F526">
        <v>0</v>
      </c>
      <c r="G526">
        <v>524</v>
      </c>
      <c r="H526">
        <f>IF(Table1[[#This Row],[my_ent_1]]=Table1[[#This Row],[their_ent_1]], 1, 0)</f>
        <v>0</v>
      </c>
      <c r="I526">
        <f>IF(Table1[[#This Row],[my_ent_2]]=Table1[[#This Row],[their_ent_2]], 1, 0)</f>
        <v>0</v>
      </c>
      <c r="J526">
        <f>IF(Table1[[#This Row],[same_1]]=1 &amp; Table1[[#This Row],[same_2]]=1, 1, 0)</f>
        <v>0</v>
      </c>
      <c r="K526">
        <f>IF(ISNUMBER(SEARCH(Table1[[#This Row],[their_ent_1]],Table1[[#This Row],[my_ent_1]])), 1, 0)</f>
        <v>1</v>
      </c>
      <c r="L526">
        <f>IF(ISNUMBER(SEARCH(Table1[[#This Row],[their_ent_2]],Table1[[#This Row],[my_ent_2]])), 1, 0)</f>
        <v>0</v>
      </c>
    </row>
    <row r="527" spans="1:12" x14ac:dyDescent="0.3">
      <c r="A527" t="s">
        <v>1738</v>
      </c>
      <c r="B527" t="s">
        <v>1739</v>
      </c>
      <c r="C527" t="s">
        <v>1740</v>
      </c>
      <c r="D527" t="s">
        <v>1741</v>
      </c>
      <c r="E527" t="s">
        <v>31</v>
      </c>
      <c r="F527">
        <v>0</v>
      </c>
      <c r="G527">
        <v>525</v>
      </c>
      <c r="H527">
        <f>IF(Table1[[#This Row],[my_ent_1]]=Table1[[#This Row],[their_ent_1]], 1, 0)</f>
        <v>0</v>
      </c>
      <c r="I527">
        <f>IF(Table1[[#This Row],[my_ent_2]]=Table1[[#This Row],[their_ent_2]], 1, 0)</f>
        <v>0</v>
      </c>
      <c r="J527">
        <f>IF(Table1[[#This Row],[same_1]]=1 &amp; Table1[[#This Row],[same_2]]=1, 1, 0)</f>
        <v>0</v>
      </c>
      <c r="K527">
        <f>IF(ISNUMBER(SEARCH(Table1[[#This Row],[their_ent_1]],Table1[[#This Row],[my_ent_1]])), 1, 0)</f>
        <v>0</v>
      </c>
      <c r="L527">
        <f>IF(ISNUMBER(SEARCH(Table1[[#This Row],[their_ent_2]],Table1[[#This Row],[my_ent_2]])), 1, 0)</f>
        <v>0</v>
      </c>
    </row>
    <row r="528" spans="1:12" x14ac:dyDescent="0.3">
      <c r="A528" t="s">
        <v>1742</v>
      </c>
      <c r="B528" t="s">
        <v>142</v>
      </c>
      <c r="C528" t="s">
        <v>1743</v>
      </c>
      <c r="D528" t="s">
        <v>1744</v>
      </c>
      <c r="E528" t="s">
        <v>894</v>
      </c>
      <c r="F528">
        <v>0</v>
      </c>
      <c r="G528">
        <v>526</v>
      </c>
      <c r="H528">
        <f>IF(Table1[[#This Row],[my_ent_1]]=Table1[[#This Row],[their_ent_1]], 1, 0)</f>
        <v>0</v>
      </c>
      <c r="I528">
        <f>IF(Table1[[#This Row],[my_ent_2]]=Table1[[#This Row],[their_ent_2]], 1, 0)</f>
        <v>0</v>
      </c>
      <c r="J528">
        <f>IF(Table1[[#This Row],[same_1]]=1 &amp; Table1[[#This Row],[same_2]]=1, 1, 0)</f>
        <v>0</v>
      </c>
      <c r="K528">
        <f>IF(ISNUMBER(SEARCH(Table1[[#This Row],[their_ent_1]],Table1[[#This Row],[my_ent_1]])), 1, 0)</f>
        <v>0</v>
      </c>
      <c r="L528">
        <f>IF(ISNUMBER(SEARCH(Table1[[#This Row],[their_ent_2]],Table1[[#This Row],[my_ent_2]])), 1, 0)</f>
        <v>0</v>
      </c>
    </row>
    <row r="529" spans="1:12" x14ac:dyDescent="0.3">
      <c r="A529" t="s">
        <v>1745</v>
      </c>
      <c r="B529" t="s">
        <v>142</v>
      </c>
      <c r="C529" t="s">
        <v>20</v>
      </c>
      <c r="D529" t="s">
        <v>44</v>
      </c>
      <c r="E529" t="s">
        <v>44</v>
      </c>
      <c r="F529">
        <v>0</v>
      </c>
      <c r="G529">
        <v>527</v>
      </c>
      <c r="H529">
        <f>IF(Table1[[#This Row],[my_ent_1]]=Table1[[#This Row],[their_ent_1]], 1, 0)</f>
        <v>0</v>
      </c>
      <c r="I529">
        <f>IF(Table1[[#This Row],[my_ent_2]]=Table1[[#This Row],[their_ent_2]], 1, 0)</f>
        <v>1</v>
      </c>
      <c r="J529">
        <f>IF(Table1[[#This Row],[same_1]]=1 &amp; Table1[[#This Row],[same_2]]=1, 1, 0)</f>
        <v>0</v>
      </c>
      <c r="K529">
        <f>IF(ISNUMBER(SEARCH(Table1[[#This Row],[their_ent_1]],Table1[[#This Row],[my_ent_1]])), 1, 0)</f>
        <v>0</v>
      </c>
      <c r="L529">
        <f>IF(ISNUMBER(SEARCH(Table1[[#This Row],[their_ent_2]],Table1[[#This Row],[my_ent_2]])), 1, 0)</f>
        <v>1</v>
      </c>
    </row>
    <row r="530" spans="1:12" x14ac:dyDescent="0.3">
      <c r="A530" t="s">
        <v>1746</v>
      </c>
      <c r="B530" t="s">
        <v>1747</v>
      </c>
      <c r="C530" t="s">
        <v>1748</v>
      </c>
      <c r="D530" t="s">
        <v>1749</v>
      </c>
      <c r="E530" t="s">
        <v>120</v>
      </c>
      <c r="F530">
        <v>0</v>
      </c>
      <c r="G530">
        <v>528</v>
      </c>
      <c r="H530">
        <f>IF(Table1[[#This Row],[my_ent_1]]=Table1[[#This Row],[their_ent_1]], 1, 0)</f>
        <v>0</v>
      </c>
      <c r="I530">
        <f>IF(Table1[[#This Row],[my_ent_2]]=Table1[[#This Row],[their_ent_2]], 1, 0)</f>
        <v>0</v>
      </c>
      <c r="J530">
        <f>IF(Table1[[#This Row],[same_1]]=1 &amp; Table1[[#This Row],[same_2]]=1, 1, 0)</f>
        <v>0</v>
      </c>
      <c r="K530">
        <f>IF(ISNUMBER(SEARCH(Table1[[#This Row],[their_ent_1]],Table1[[#This Row],[my_ent_1]])), 1, 0)</f>
        <v>0</v>
      </c>
      <c r="L530">
        <f>IF(ISNUMBER(SEARCH(Table1[[#This Row],[their_ent_2]],Table1[[#This Row],[my_ent_2]])), 1, 0)</f>
        <v>0</v>
      </c>
    </row>
    <row r="531" spans="1:12" x14ac:dyDescent="0.3">
      <c r="A531" t="s">
        <v>1750</v>
      </c>
      <c r="B531" t="s">
        <v>78</v>
      </c>
      <c r="C531" t="s">
        <v>1751</v>
      </c>
      <c r="D531" t="s">
        <v>1751</v>
      </c>
      <c r="E531" t="s">
        <v>241</v>
      </c>
      <c r="F531">
        <v>0</v>
      </c>
      <c r="G531">
        <v>529</v>
      </c>
      <c r="H531">
        <f>IF(Table1[[#This Row],[my_ent_1]]=Table1[[#This Row],[their_ent_1]], 1, 0)</f>
        <v>0</v>
      </c>
      <c r="I531">
        <f>IF(Table1[[#This Row],[my_ent_2]]=Table1[[#This Row],[their_ent_2]], 1, 0)</f>
        <v>0</v>
      </c>
      <c r="J531">
        <f>IF(Table1[[#This Row],[same_1]]=1 &amp; Table1[[#This Row],[same_2]]=1, 1, 0)</f>
        <v>0</v>
      </c>
      <c r="K531">
        <f>IF(ISNUMBER(SEARCH(Table1[[#This Row],[their_ent_1]],Table1[[#This Row],[my_ent_1]])), 1, 0)</f>
        <v>0</v>
      </c>
      <c r="L531">
        <f>IF(ISNUMBER(SEARCH(Table1[[#This Row],[their_ent_2]],Table1[[#This Row],[my_ent_2]])), 1, 0)</f>
        <v>0</v>
      </c>
    </row>
    <row r="532" spans="1:12" x14ac:dyDescent="0.3">
      <c r="A532" t="s">
        <v>1752</v>
      </c>
      <c r="B532" t="s">
        <v>84</v>
      </c>
      <c r="C532" t="s">
        <v>1093</v>
      </c>
      <c r="D532" t="s">
        <v>1753</v>
      </c>
      <c r="E532" t="s">
        <v>783</v>
      </c>
      <c r="F532">
        <v>0</v>
      </c>
      <c r="G532">
        <v>530</v>
      </c>
      <c r="H532">
        <f>IF(Table1[[#This Row],[my_ent_1]]=Table1[[#This Row],[their_ent_1]], 1, 0)</f>
        <v>0</v>
      </c>
      <c r="I532">
        <f>IF(Table1[[#This Row],[my_ent_2]]=Table1[[#This Row],[their_ent_2]], 1, 0)</f>
        <v>0</v>
      </c>
      <c r="J532">
        <f>IF(Table1[[#This Row],[same_1]]=1 &amp; Table1[[#This Row],[same_2]]=1, 1, 0)</f>
        <v>0</v>
      </c>
      <c r="K532">
        <f>IF(ISNUMBER(SEARCH(Table1[[#This Row],[their_ent_1]],Table1[[#This Row],[my_ent_1]])), 1, 0)</f>
        <v>0</v>
      </c>
      <c r="L532">
        <f>IF(ISNUMBER(SEARCH(Table1[[#This Row],[their_ent_2]],Table1[[#This Row],[my_ent_2]])), 1, 0)</f>
        <v>0</v>
      </c>
    </row>
    <row r="533" spans="1:12" x14ac:dyDescent="0.3">
      <c r="A533" t="s">
        <v>1754</v>
      </c>
      <c r="B533" t="s">
        <v>1755</v>
      </c>
      <c r="C533" t="s">
        <v>1756</v>
      </c>
      <c r="D533" t="s">
        <v>1757</v>
      </c>
      <c r="E533" t="s">
        <v>1758</v>
      </c>
      <c r="F533">
        <v>0</v>
      </c>
      <c r="G533">
        <v>531</v>
      </c>
      <c r="H533">
        <f>IF(Table1[[#This Row],[my_ent_1]]=Table1[[#This Row],[their_ent_1]], 1, 0)</f>
        <v>0</v>
      </c>
      <c r="I533">
        <f>IF(Table1[[#This Row],[my_ent_2]]=Table1[[#This Row],[their_ent_2]], 1, 0)</f>
        <v>0</v>
      </c>
      <c r="J533">
        <f>IF(Table1[[#This Row],[same_1]]=1 &amp; Table1[[#This Row],[same_2]]=1, 1, 0)</f>
        <v>0</v>
      </c>
      <c r="K533">
        <f>IF(ISNUMBER(SEARCH(Table1[[#This Row],[their_ent_1]],Table1[[#This Row],[my_ent_1]])), 1, 0)</f>
        <v>0</v>
      </c>
      <c r="L533">
        <f>IF(ISNUMBER(SEARCH(Table1[[#This Row],[their_ent_2]],Table1[[#This Row],[my_ent_2]])), 1, 0)</f>
        <v>0</v>
      </c>
    </row>
    <row r="534" spans="1:12" x14ac:dyDescent="0.3">
      <c r="A534" t="s">
        <v>1759</v>
      </c>
      <c r="B534" t="s">
        <v>381</v>
      </c>
      <c r="C534" t="s">
        <v>1760</v>
      </c>
      <c r="D534" t="s">
        <v>1761</v>
      </c>
      <c r="E534" t="s">
        <v>1132</v>
      </c>
      <c r="F534">
        <v>0</v>
      </c>
      <c r="G534">
        <v>532</v>
      </c>
      <c r="H534">
        <f>IF(Table1[[#This Row],[my_ent_1]]=Table1[[#This Row],[their_ent_1]], 1, 0)</f>
        <v>0</v>
      </c>
      <c r="I534">
        <f>IF(Table1[[#This Row],[my_ent_2]]=Table1[[#This Row],[their_ent_2]], 1, 0)</f>
        <v>0</v>
      </c>
      <c r="J534">
        <f>IF(Table1[[#This Row],[same_1]]=1 &amp; Table1[[#This Row],[same_2]]=1, 1, 0)</f>
        <v>0</v>
      </c>
      <c r="K534">
        <f>IF(ISNUMBER(SEARCH(Table1[[#This Row],[their_ent_1]],Table1[[#This Row],[my_ent_1]])), 1, 0)</f>
        <v>0</v>
      </c>
      <c r="L534">
        <f>IF(ISNUMBER(SEARCH(Table1[[#This Row],[their_ent_2]],Table1[[#This Row],[my_ent_2]])), 1, 0)</f>
        <v>0</v>
      </c>
    </row>
    <row r="535" spans="1:12" x14ac:dyDescent="0.3">
      <c r="A535" t="s">
        <v>1762</v>
      </c>
      <c r="B535" t="s">
        <v>1763</v>
      </c>
      <c r="C535" t="s">
        <v>1763</v>
      </c>
      <c r="D535" t="s">
        <v>1764</v>
      </c>
      <c r="E535" t="s">
        <v>1696</v>
      </c>
      <c r="F535">
        <v>0</v>
      </c>
      <c r="G535">
        <v>533</v>
      </c>
      <c r="H535">
        <f>IF(Table1[[#This Row],[my_ent_1]]=Table1[[#This Row],[their_ent_1]], 1, 0)</f>
        <v>1</v>
      </c>
      <c r="I535">
        <f>IF(Table1[[#This Row],[my_ent_2]]=Table1[[#This Row],[their_ent_2]], 1, 0)</f>
        <v>0</v>
      </c>
      <c r="J535">
        <f>IF(Table1[[#This Row],[same_1]]=1 &amp; Table1[[#This Row],[same_2]]=1, 1, 0)</f>
        <v>0</v>
      </c>
      <c r="K535">
        <f>IF(ISNUMBER(SEARCH(Table1[[#This Row],[their_ent_1]],Table1[[#This Row],[my_ent_1]])), 1, 0)</f>
        <v>1</v>
      </c>
      <c r="L535">
        <f>IF(ISNUMBER(SEARCH(Table1[[#This Row],[their_ent_2]],Table1[[#This Row],[my_ent_2]])), 1, 0)</f>
        <v>1</v>
      </c>
    </row>
    <row r="536" spans="1:12" x14ac:dyDescent="0.3">
      <c r="A536" t="s">
        <v>1765</v>
      </c>
      <c r="B536" t="s">
        <v>1766</v>
      </c>
      <c r="C536" t="s">
        <v>1767</v>
      </c>
      <c r="D536" t="s">
        <v>1767</v>
      </c>
      <c r="E536" t="s">
        <v>1768</v>
      </c>
      <c r="F536">
        <v>0</v>
      </c>
      <c r="G536">
        <v>534</v>
      </c>
      <c r="H536">
        <f>IF(Table1[[#This Row],[my_ent_1]]=Table1[[#This Row],[their_ent_1]], 1, 0)</f>
        <v>0</v>
      </c>
      <c r="I536">
        <f>IF(Table1[[#This Row],[my_ent_2]]=Table1[[#This Row],[their_ent_2]], 1, 0)</f>
        <v>0</v>
      </c>
      <c r="J536">
        <f>IF(Table1[[#This Row],[same_1]]=1 &amp; Table1[[#This Row],[same_2]]=1, 1, 0)</f>
        <v>0</v>
      </c>
      <c r="K536">
        <f>IF(ISNUMBER(SEARCH(Table1[[#This Row],[their_ent_1]],Table1[[#This Row],[my_ent_1]])), 1, 0)</f>
        <v>0</v>
      </c>
      <c r="L536">
        <f>IF(ISNUMBER(SEARCH(Table1[[#This Row],[their_ent_2]],Table1[[#This Row],[my_ent_2]])), 1, 0)</f>
        <v>0</v>
      </c>
    </row>
    <row r="537" spans="1:12" x14ac:dyDescent="0.3">
      <c r="A537" t="s">
        <v>1769</v>
      </c>
      <c r="B537" t="s">
        <v>634</v>
      </c>
      <c r="C537" t="s">
        <v>634</v>
      </c>
      <c r="D537" t="s">
        <v>1770</v>
      </c>
      <c r="E537" t="s">
        <v>1771</v>
      </c>
      <c r="F537">
        <v>0</v>
      </c>
      <c r="G537">
        <v>535</v>
      </c>
      <c r="H537">
        <f>IF(Table1[[#This Row],[my_ent_1]]=Table1[[#This Row],[their_ent_1]], 1, 0)</f>
        <v>1</v>
      </c>
      <c r="I537">
        <f>IF(Table1[[#This Row],[my_ent_2]]=Table1[[#This Row],[their_ent_2]], 1, 0)</f>
        <v>0</v>
      </c>
      <c r="J537">
        <f>IF(Table1[[#This Row],[same_1]]=1 &amp; Table1[[#This Row],[same_2]]=1, 1, 0)</f>
        <v>0</v>
      </c>
      <c r="K537">
        <f>IF(ISNUMBER(SEARCH(Table1[[#This Row],[their_ent_1]],Table1[[#This Row],[my_ent_1]])), 1, 0)</f>
        <v>1</v>
      </c>
      <c r="L537">
        <f>IF(ISNUMBER(SEARCH(Table1[[#This Row],[their_ent_2]],Table1[[#This Row],[my_ent_2]])), 1, 0)</f>
        <v>0</v>
      </c>
    </row>
    <row r="538" spans="1:12" x14ac:dyDescent="0.3">
      <c r="A538" t="s">
        <v>1772</v>
      </c>
      <c r="B538" t="s">
        <v>153</v>
      </c>
      <c r="C538" t="s">
        <v>1773</v>
      </c>
      <c r="D538" t="s">
        <v>1773</v>
      </c>
      <c r="E538" t="s">
        <v>1774</v>
      </c>
      <c r="F538">
        <v>0</v>
      </c>
      <c r="G538">
        <v>536</v>
      </c>
      <c r="H538">
        <f>IF(Table1[[#This Row],[my_ent_1]]=Table1[[#This Row],[their_ent_1]], 1, 0)</f>
        <v>0</v>
      </c>
      <c r="I538">
        <f>IF(Table1[[#This Row],[my_ent_2]]=Table1[[#This Row],[their_ent_2]], 1, 0)</f>
        <v>0</v>
      </c>
      <c r="J538">
        <f>IF(Table1[[#This Row],[same_1]]=1 &amp; Table1[[#This Row],[same_2]]=1, 1, 0)</f>
        <v>0</v>
      </c>
      <c r="K538">
        <f>IF(ISNUMBER(SEARCH(Table1[[#This Row],[their_ent_1]],Table1[[#This Row],[my_ent_1]])), 1, 0)</f>
        <v>0</v>
      </c>
      <c r="L538">
        <f>IF(ISNUMBER(SEARCH(Table1[[#This Row],[their_ent_2]],Table1[[#This Row],[my_ent_2]])), 1, 0)</f>
        <v>0</v>
      </c>
    </row>
    <row r="539" spans="1:12" x14ac:dyDescent="0.3">
      <c r="A539" t="s">
        <v>1775</v>
      </c>
      <c r="B539" t="s">
        <v>450</v>
      </c>
      <c r="C539" t="s">
        <v>44</v>
      </c>
      <c r="D539" t="s">
        <v>84</v>
      </c>
      <c r="E539" t="s">
        <v>1776</v>
      </c>
      <c r="F539">
        <v>0</v>
      </c>
      <c r="G539">
        <v>537</v>
      </c>
      <c r="H539">
        <f>IF(Table1[[#This Row],[my_ent_1]]=Table1[[#This Row],[their_ent_1]], 1, 0)</f>
        <v>0</v>
      </c>
      <c r="I539">
        <f>IF(Table1[[#This Row],[my_ent_2]]=Table1[[#This Row],[their_ent_2]], 1, 0)</f>
        <v>0</v>
      </c>
      <c r="J539">
        <f>IF(Table1[[#This Row],[same_1]]=1 &amp; Table1[[#This Row],[same_2]]=1, 1, 0)</f>
        <v>0</v>
      </c>
      <c r="K539">
        <f>IF(ISNUMBER(SEARCH(Table1[[#This Row],[their_ent_1]],Table1[[#This Row],[my_ent_1]])), 1, 0)</f>
        <v>0</v>
      </c>
      <c r="L539">
        <f>IF(ISNUMBER(SEARCH(Table1[[#This Row],[their_ent_2]],Table1[[#This Row],[my_ent_2]])), 1, 0)</f>
        <v>0</v>
      </c>
    </row>
    <row r="540" spans="1:12" x14ac:dyDescent="0.3">
      <c r="A540" t="s">
        <v>1777</v>
      </c>
      <c r="B540" t="s">
        <v>1530</v>
      </c>
      <c r="C540" t="s">
        <v>1530</v>
      </c>
      <c r="D540" t="s">
        <v>1778</v>
      </c>
      <c r="E540" t="s">
        <v>1779</v>
      </c>
      <c r="F540">
        <v>0</v>
      </c>
      <c r="G540">
        <v>538</v>
      </c>
      <c r="H540">
        <f>IF(Table1[[#This Row],[my_ent_1]]=Table1[[#This Row],[their_ent_1]], 1, 0)</f>
        <v>1</v>
      </c>
      <c r="I540">
        <f>IF(Table1[[#This Row],[my_ent_2]]=Table1[[#This Row],[their_ent_2]], 1, 0)</f>
        <v>0</v>
      </c>
      <c r="J540">
        <f>IF(Table1[[#This Row],[same_1]]=1 &amp; Table1[[#This Row],[same_2]]=1, 1, 0)</f>
        <v>0</v>
      </c>
      <c r="K540">
        <f>IF(ISNUMBER(SEARCH(Table1[[#This Row],[their_ent_1]],Table1[[#This Row],[my_ent_1]])), 1, 0)</f>
        <v>1</v>
      </c>
      <c r="L540">
        <f>IF(ISNUMBER(SEARCH(Table1[[#This Row],[their_ent_2]],Table1[[#This Row],[my_ent_2]])), 1, 0)</f>
        <v>1</v>
      </c>
    </row>
    <row r="541" spans="1:12" x14ac:dyDescent="0.3">
      <c r="A541" t="s">
        <v>1780</v>
      </c>
      <c r="B541" t="s">
        <v>1781</v>
      </c>
      <c r="C541" t="s">
        <v>1781</v>
      </c>
      <c r="D541" t="s">
        <v>1782</v>
      </c>
      <c r="E541" t="s">
        <v>329</v>
      </c>
      <c r="F541">
        <v>0</v>
      </c>
      <c r="G541">
        <v>539</v>
      </c>
      <c r="H541">
        <f>IF(Table1[[#This Row],[my_ent_1]]=Table1[[#This Row],[their_ent_1]], 1, 0)</f>
        <v>1</v>
      </c>
      <c r="I541">
        <f>IF(Table1[[#This Row],[my_ent_2]]=Table1[[#This Row],[their_ent_2]], 1, 0)</f>
        <v>0</v>
      </c>
      <c r="J541">
        <f>IF(Table1[[#This Row],[same_1]]=1 &amp; Table1[[#This Row],[same_2]]=1, 1, 0)</f>
        <v>0</v>
      </c>
      <c r="K541">
        <f>IF(ISNUMBER(SEARCH(Table1[[#This Row],[their_ent_1]],Table1[[#This Row],[my_ent_1]])), 1, 0)</f>
        <v>1</v>
      </c>
      <c r="L541">
        <f>IF(ISNUMBER(SEARCH(Table1[[#This Row],[their_ent_2]],Table1[[#This Row],[my_ent_2]])), 1, 0)</f>
        <v>0</v>
      </c>
    </row>
    <row r="542" spans="1:12" x14ac:dyDescent="0.3">
      <c r="A542" t="s">
        <v>1783</v>
      </c>
      <c r="B542" t="s">
        <v>1784</v>
      </c>
      <c r="C542" t="s">
        <v>1785</v>
      </c>
      <c r="D542" t="s">
        <v>1785</v>
      </c>
      <c r="E542" t="s">
        <v>143</v>
      </c>
      <c r="F542">
        <v>0</v>
      </c>
      <c r="G542">
        <v>540</v>
      </c>
      <c r="H542">
        <f>IF(Table1[[#This Row],[my_ent_1]]=Table1[[#This Row],[their_ent_1]], 1, 0)</f>
        <v>0</v>
      </c>
      <c r="I542">
        <f>IF(Table1[[#This Row],[my_ent_2]]=Table1[[#This Row],[their_ent_2]], 1, 0)</f>
        <v>0</v>
      </c>
      <c r="J542">
        <f>IF(Table1[[#This Row],[same_1]]=1 &amp; Table1[[#This Row],[same_2]]=1, 1, 0)</f>
        <v>0</v>
      </c>
      <c r="K542">
        <f>IF(ISNUMBER(SEARCH(Table1[[#This Row],[their_ent_1]],Table1[[#This Row],[my_ent_1]])), 1, 0)</f>
        <v>0</v>
      </c>
      <c r="L542">
        <f>IF(ISNUMBER(SEARCH(Table1[[#This Row],[their_ent_2]],Table1[[#This Row],[my_ent_2]])), 1, 0)</f>
        <v>0</v>
      </c>
    </row>
    <row r="543" spans="1:12" x14ac:dyDescent="0.3">
      <c r="A543" t="s">
        <v>1786</v>
      </c>
      <c r="B543" t="s">
        <v>1787</v>
      </c>
      <c r="C543" t="s">
        <v>1788</v>
      </c>
      <c r="D543" t="s">
        <v>1788</v>
      </c>
      <c r="E543" t="s">
        <v>1789</v>
      </c>
      <c r="F543">
        <v>0</v>
      </c>
      <c r="G543">
        <v>541</v>
      </c>
      <c r="H543">
        <f>IF(Table1[[#This Row],[my_ent_1]]=Table1[[#This Row],[their_ent_1]], 1, 0)</f>
        <v>0</v>
      </c>
      <c r="I543">
        <f>IF(Table1[[#This Row],[my_ent_2]]=Table1[[#This Row],[their_ent_2]], 1, 0)</f>
        <v>0</v>
      </c>
      <c r="J543">
        <f>IF(Table1[[#This Row],[same_1]]=1 &amp; Table1[[#This Row],[same_2]]=1, 1, 0)</f>
        <v>0</v>
      </c>
      <c r="K543">
        <f>IF(ISNUMBER(SEARCH(Table1[[#This Row],[their_ent_1]],Table1[[#This Row],[my_ent_1]])), 1, 0)</f>
        <v>0</v>
      </c>
      <c r="L543">
        <f>IF(ISNUMBER(SEARCH(Table1[[#This Row],[their_ent_2]],Table1[[#This Row],[my_ent_2]])), 1, 0)</f>
        <v>0</v>
      </c>
    </row>
    <row r="544" spans="1:12" x14ac:dyDescent="0.3">
      <c r="A544" t="s">
        <v>1790</v>
      </c>
      <c r="B544" t="s">
        <v>353</v>
      </c>
      <c r="C544" t="s">
        <v>1791</v>
      </c>
      <c r="D544" t="s">
        <v>78</v>
      </c>
      <c r="E544" t="s">
        <v>1792</v>
      </c>
      <c r="F544">
        <v>0</v>
      </c>
      <c r="G544">
        <v>542</v>
      </c>
      <c r="H544">
        <f>IF(Table1[[#This Row],[my_ent_1]]=Table1[[#This Row],[their_ent_1]], 1, 0)</f>
        <v>0</v>
      </c>
      <c r="I544">
        <f>IF(Table1[[#This Row],[my_ent_2]]=Table1[[#This Row],[their_ent_2]], 1, 0)</f>
        <v>0</v>
      </c>
      <c r="J544">
        <f>IF(Table1[[#This Row],[same_1]]=1 &amp; Table1[[#This Row],[same_2]]=1, 1, 0)</f>
        <v>0</v>
      </c>
      <c r="K544">
        <f>IF(ISNUMBER(SEARCH(Table1[[#This Row],[their_ent_1]],Table1[[#This Row],[my_ent_1]])), 1, 0)</f>
        <v>0</v>
      </c>
      <c r="L544">
        <f>IF(ISNUMBER(SEARCH(Table1[[#This Row],[their_ent_2]],Table1[[#This Row],[my_ent_2]])), 1, 0)</f>
        <v>0</v>
      </c>
    </row>
    <row r="545" spans="1:12" x14ac:dyDescent="0.3">
      <c r="A545" t="s">
        <v>1793</v>
      </c>
      <c r="B545" t="s">
        <v>1794</v>
      </c>
      <c r="C545" t="s">
        <v>932</v>
      </c>
      <c r="D545" t="s">
        <v>1795</v>
      </c>
      <c r="E545" t="s">
        <v>1796</v>
      </c>
      <c r="F545">
        <v>0</v>
      </c>
      <c r="G545">
        <v>543</v>
      </c>
      <c r="H545">
        <f>IF(Table1[[#This Row],[my_ent_1]]=Table1[[#This Row],[their_ent_1]], 1, 0)</f>
        <v>0</v>
      </c>
      <c r="I545">
        <f>IF(Table1[[#This Row],[my_ent_2]]=Table1[[#This Row],[their_ent_2]], 1, 0)</f>
        <v>0</v>
      </c>
      <c r="J545">
        <f>IF(Table1[[#This Row],[same_1]]=1 &amp; Table1[[#This Row],[same_2]]=1, 1, 0)</f>
        <v>0</v>
      </c>
      <c r="K545">
        <f>IF(ISNUMBER(SEARCH(Table1[[#This Row],[their_ent_1]],Table1[[#This Row],[my_ent_1]])), 1, 0)</f>
        <v>0</v>
      </c>
      <c r="L545">
        <f>IF(ISNUMBER(SEARCH(Table1[[#This Row],[their_ent_2]],Table1[[#This Row],[my_ent_2]])), 1, 0)</f>
        <v>0</v>
      </c>
    </row>
    <row r="546" spans="1:12" x14ac:dyDescent="0.3">
      <c r="A546" t="s">
        <v>1797</v>
      </c>
      <c r="B546" t="s">
        <v>1798</v>
      </c>
      <c r="C546" t="s">
        <v>1799</v>
      </c>
      <c r="D546" t="s">
        <v>1800</v>
      </c>
      <c r="E546" t="s">
        <v>279</v>
      </c>
      <c r="F546">
        <v>0</v>
      </c>
      <c r="G546">
        <v>544</v>
      </c>
      <c r="H546">
        <f>IF(Table1[[#This Row],[my_ent_1]]=Table1[[#This Row],[their_ent_1]], 1, 0)</f>
        <v>0</v>
      </c>
      <c r="I546">
        <f>IF(Table1[[#This Row],[my_ent_2]]=Table1[[#This Row],[their_ent_2]], 1, 0)</f>
        <v>0</v>
      </c>
      <c r="J546">
        <f>IF(Table1[[#This Row],[same_1]]=1 &amp; Table1[[#This Row],[same_2]]=1, 1, 0)</f>
        <v>0</v>
      </c>
      <c r="K546">
        <f>IF(ISNUMBER(SEARCH(Table1[[#This Row],[their_ent_1]],Table1[[#This Row],[my_ent_1]])), 1, 0)</f>
        <v>0</v>
      </c>
      <c r="L546">
        <f>IF(ISNUMBER(SEARCH(Table1[[#This Row],[their_ent_2]],Table1[[#This Row],[my_ent_2]])), 1, 0)</f>
        <v>1</v>
      </c>
    </row>
    <row r="547" spans="1:12" x14ac:dyDescent="0.3">
      <c r="A547" t="s">
        <v>1801</v>
      </c>
      <c r="B547" t="s">
        <v>1440</v>
      </c>
      <c r="C547" t="s">
        <v>1440</v>
      </c>
      <c r="D547" t="s">
        <v>1802</v>
      </c>
      <c r="E547" t="s">
        <v>78</v>
      </c>
      <c r="F547">
        <v>0</v>
      </c>
      <c r="G547">
        <v>545</v>
      </c>
      <c r="H547">
        <f>IF(Table1[[#This Row],[my_ent_1]]=Table1[[#This Row],[their_ent_1]], 1, 0)</f>
        <v>1</v>
      </c>
      <c r="I547">
        <f>IF(Table1[[#This Row],[my_ent_2]]=Table1[[#This Row],[their_ent_2]], 1, 0)</f>
        <v>0</v>
      </c>
      <c r="J547">
        <f>IF(Table1[[#This Row],[same_1]]=1 &amp; Table1[[#This Row],[same_2]]=1, 1, 0)</f>
        <v>0</v>
      </c>
      <c r="K547">
        <f>IF(ISNUMBER(SEARCH(Table1[[#This Row],[their_ent_1]],Table1[[#This Row],[my_ent_1]])), 1, 0)</f>
        <v>1</v>
      </c>
      <c r="L547">
        <f>IF(ISNUMBER(SEARCH(Table1[[#This Row],[their_ent_2]],Table1[[#This Row],[my_ent_2]])), 1, 0)</f>
        <v>0</v>
      </c>
    </row>
    <row r="548" spans="1:12" x14ac:dyDescent="0.3">
      <c r="A548" t="s">
        <v>1803</v>
      </c>
      <c r="B548" t="s">
        <v>1804</v>
      </c>
      <c r="C548" t="s">
        <v>243</v>
      </c>
      <c r="D548" t="s">
        <v>1805</v>
      </c>
      <c r="E548" t="s">
        <v>1806</v>
      </c>
      <c r="F548">
        <v>0</v>
      </c>
      <c r="G548">
        <v>546</v>
      </c>
      <c r="H548">
        <f>IF(Table1[[#This Row],[my_ent_1]]=Table1[[#This Row],[their_ent_1]], 1, 0)</f>
        <v>0</v>
      </c>
      <c r="I548">
        <f>IF(Table1[[#This Row],[my_ent_2]]=Table1[[#This Row],[their_ent_2]], 1, 0)</f>
        <v>0</v>
      </c>
      <c r="J548">
        <f>IF(Table1[[#This Row],[same_1]]=1 &amp; Table1[[#This Row],[same_2]]=1, 1, 0)</f>
        <v>0</v>
      </c>
      <c r="K548">
        <f>IF(ISNUMBER(SEARCH(Table1[[#This Row],[their_ent_1]],Table1[[#This Row],[my_ent_1]])), 1, 0)</f>
        <v>0</v>
      </c>
      <c r="L548">
        <f>IF(ISNUMBER(SEARCH(Table1[[#This Row],[their_ent_2]],Table1[[#This Row],[my_ent_2]])), 1, 0)</f>
        <v>0</v>
      </c>
    </row>
    <row r="549" spans="1:12" x14ac:dyDescent="0.3">
      <c r="A549" t="s">
        <v>1807</v>
      </c>
      <c r="B549" t="s">
        <v>1808</v>
      </c>
      <c r="C549" t="s">
        <v>1808</v>
      </c>
      <c r="D549" t="s">
        <v>1809</v>
      </c>
      <c r="E549" t="s">
        <v>1810</v>
      </c>
      <c r="F549">
        <v>0</v>
      </c>
      <c r="G549">
        <v>547</v>
      </c>
      <c r="H549">
        <f>IF(Table1[[#This Row],[my_ent_1]]=Table1[[#This Row],[their_ent_1]], 1, 0)</f>
        <v>1</v>
      </c>
      <c r="I549">
        <f>IF(Table1[[#This Row],[my_ent_2]]=Table1[[#This Row],[their_ent_2]], 1, 0)</f>
        <v>0</v>
      </c>
      <c r="J549">
        <f>IF(Table1[[#This Row],[same_1]]=1 &amp; Table1[[#This Row],[same_2]]=1, 1, 0)</f>
        <v>0</v>
      </c>
      <c r="K549">
        <f>IF(ISNUMBER(SEARCH(Table1[[#This Row],[their_ent_1]],Table1[[#This Row],[my_ent_1]])), 1, 0)</f>
        <v>1</v>
      </c>
      <c r="L549">
        <f>IF(ISNUMBER(SEARCH(Table1[[#This Row],[their_ent_2]],Table1[[#This Row],[my_ent_2]])), 1, 0)</f>
        <v>0</v>
      </c>
    </row>
    <row r="550" spans="1:12" x14ac:dyDescent="0.3">
      <c r="A550" t="s">
        <v>1811</v>
      </c>
      <c r="B550" t="s">
        <v>1812</v>
      </c>
      <c r="C550" t="s">
        <v>1813</v>
      </c>
      <c r="D550" t="s">
        <v>1814</v>
      </c>
      <c r="E550" t="s">
        <v>1815</v>
      </c>
      <c r="F550">
        <v>0</v>
      </c>
      <c r="G550">
        <v>548</v>
      </c>
      <c r="H550">
        <f>IF(Table1[[#This Row],[my_ent_1]]=Table1[[#This Row],[their_ent_1]], 1, 0)</f>
        <v>0</v>
      </c>
      <c r="I550">
        <f>IF(Table1[[#This Row],[my_ent_2]]=Table1[[#This Row],[their_ent_2]], 1, 0)</f>
        <v>0</v>
      </c>
      <c r="J550">
        <f>IF(Table1[[#This Row],[same_1]]=1 &amp; Table1[[#This Row],[same_2]]=1, 1, 0)</f>
        <v>0</v>
      </c>
      <c r="K550">
        <f>IF(ISNUMBER(SEARCH(Table1[[#This Row],[their_ent_1]],Table1[[#This Row],[my_ent_1]])), 1, 0)</f>
        <v>0</v>
      </c>
      <c r="L550">
        <f>IF(ISNUMBER(SEARCH(Table1[[#This Row],[their_ent_2]],Table1[[#This Row],[my_ent_2]])), 1, 0)</f>
        <v>0</v>
      </c>
    </row>
    <row r="551" spans="1:12" x14ac:dyDescent="0.3">
      <c r="A551" t="s">
        <v>1816</v>
      </c>
      <c r="B551" t="s">
        <v>1817</v>
      </c>
      <c r="C551" t="s">
        <v>1818</v>
      </c>
      <c r="D551" t="s">
        <v>1819</v>
      </c>
      <c r="E551" t="s">
        <v>1820</v>
      </c>
      <c r="F551">
        <v>0</v>
      </c>
      <c r="G551">
        <v>549</v>
      </c>
      <c r="H551">
        <f>IF(Table1[[#This Row],[my_ent_1]]=Table1[[#This Row],[their_ent_1]], 1, 0)</f>
        <v>0</v>
      </c>
      <c r="I551">
        <f>IF(Table1[[#This Row],[my_ent_2]]=Table1[[#This Row],[their_ent_2]], 1, 0)</f>
        <v>0</v>
      </c>
      <c r="J551">
        <f>IF(Table1[[#This Row],[same_1]]=1 &amp; Table1[[#This Row],[same_2]]=1, 1, 0)</f>
        <v>0</v>
      </c>
      <c r="K551">
        <f>IF(ISNUMBER(SEARCH(Table1[[#This Row],[their_ent_1]],Table1[[#This Row],[my_ent_1]])), 1, 0)</f>
        <v>0</v>
      </c>
      <c r="L551">
        <f>IF(ISNUMBER(SEARCH(Table1[[#This Row],[their_ent_2]],Table1[[#This Row],[my_ent_2]])), 1, 0)</f>
        <v>0</v>
      </c>
    </row>
    <row r="552" spans="1:12" x14ac:dyDescent="0.3">
      <c r="A552" t="s">
        <v>1821</v>
      </c>
      <c r="B552" t="s">
        <v>103</v>
      </c>
      <c r="C552" t="s">
        <v>1822</v>
      </c>
      <c r="D552" t="s">
        <v>29</v>
      </c>
      <c r="E552" t="s">
        <v>273</v>
      </c>
      <c r="F552">
        <v>0</v>
      </c>
      <c r="G552">
        <v>550</v>
      </c>
      <c r="H552">
        <f>IF(Table1[[#This Row],[my_ent_1]]=Table1[[#This Row],[their_ent_1]], 1, 0)</f>
        <v>0</v>
      </c>
      <c r="I552">
        <f>IF(Table1[[#This Row],[my_ent_2]]=Table1[[#This Row],[their_ent_2]], 1, 0)</f>
        <v>0</v>
      </c>
      <c r="J552">
        <f>IF(Table1[[#This Row],[same_1]]=1 &amp; Table1[[#This Row],[same_2]]=1, 1, 0)</f>
        <v>0</v>
      </c>
      <c r="K552">
        <f>IF(ISNUMBER(SEARCH(Table1[[#This Row],[their_ent_1]],Table1[[#This Row],[my_ent_1]])), 1, 0)</f>
        <v>0</v>
      </c>
      <c r="L552">
        <f>IF(ISNUMBER(SEARCH(Table1[[#This Row],[their_ent_2]],Table1[[#This Row],[my_ent_2]])), 1, 0)</f>
        <v>0</v>
      </c>
    </row>
    <row r="553" spans="1:12" x14ac:dyDescent="0.3">
      <c r="A553" t="s">
        <v>1823</v>
      </c>
      <c r="B553" t="s">
        <v>1770</v>
      </c>
      <c r="C553" t="s">
        <v>1824</v>
      </c>
      <c r="D553" t="s">
        <v>1825</v>
      </c>
      <c r="E553" t="s">
        <v>1826</v>
      </c>
      <c r="F553">
        <v>0</v>
      </c>
      <c r="G553">
        <v>551</v>
      </c>
      <c r="H553">
        <f>IF(Table1[[#This Row],[my_ent_1]]=Table1[[#This Row],[their_ent_1]], 1, 0)</f>
        <v>0</v>
      </c>
      <c r="I553">
        <f>IF(Table1[[#This Row],[my_ent_2]]=Table1[[#This Row],[their_ent_2]], 1, 0)</f>
        <v>0</v>
      </c>
      <c r="J553">
        <f>IF(Table1[[#This Row],[same_1]]=1 &amp; Table1[[#This Row],[same_2]]=1, 1, 0)</f>
        <v>0</v>
      </c>
      <c r="K553">
        <f>IF(ISNUMBER(SEARCH(Table1[[#This Row],[their_ent_1]],Table1[[#This Row],[my_ent_1]])), 1, 0)</f>
        <v>0</v>
      </c>
      <c r="L553">
        <f>IF(ISNUMBER(SEARCH(Table1[[#This Row],[their_ent_2]],Table1[[#This Row],[my_ent_2]])), 1, 0)</f>
        <v>0</v>
      </c>
    </row>
    <row r="554" spans="1:12" x14ac:dyDescent="0.3">
      <c r="A554" t="s">
        <v>1827</v>
      </c>
      <c r="B554" t="s">
        <v>1828</v>
      </c>
      <c r="C554" t="s">
        <v>1828</v>
      </c>
      <c r="D554" t="s">
        <v>946</v>
      </c>
      <c r="E554" t="s">
        <v>945</v>
      </c>
      <c r="F554">
        <v>0</v>
      </c>
      <c r="G554">
        <v>552</v>
      </c>
      <c r="H554">
        <f>IF(Table1[[#This Row],[my_ent_1]]=Table1[[#This Row],[their_ent_1]], 1, 0)</f>
        <v>1</v>
      </c>
      <c r="I554">
        <f>IF(Table1[[#This Row],[my_ent_2]]=Table1[[#This Row],[their_ent_2]], 1, 0)</f>
        <v>0</v>
      </c>
      <c r="J554">
        <f>IF(Table1[[#This Row],[same_1]]=1 &amp; Table1[[#This Row],[same_2]]=1, 1, 0)</f>
        <v>0</v>
      </c>
      <c r="K554">
        <f>IF(ISNUMBER(SEARCH(Table1[[#This Row],[their_ent_1]],Table1[[#This Row],[my_ent_1]])), 1, 0)</f>
        <v>1</v>
      </c>
      <c r="L554">
        <f>IF(ISNUMBER(SEARCH(Table1[[#This Row],[their_ent_2]],Table1[[#This Row],[my_ent_2]])), 1, 0)</f>
        <v>0</v>
      </c>
    </row>
    <row r="555" spans="1:12" x14ac:dyDescent="0.3">
      <c r="A555" t="s">
        <v>1829</v>
      </c>
      <c r="B555" t="s">
        <v>1830</v>
      </c>
      <c r="C555" t="s">
        <v>1831</v>
      </c>
      <c r="D555" t="s">
        <v>1832</v>
      </c>
      <c r="E555" t="s">
        <v>1833</v>
      </c>
      <c r="F555">
        <v>0</v>
      </c>
      <c r="G555">
        <v>553</v>
      </c>
      <c r="H555">
        <f>IF(Table1[[#This Row],[my_ent_1]]=Table1[[#This Row],[their_ent_1]], 1, 0)</f>
        <v>0</v>
      </c>
      <c r="I555">
        <f>IF(Table1[[#This Row],[my_ent_2]]=Table1[[#This Row],[their_ent_2]], 1, 0)</f>
        <v>0</v>
      </c>
      <c r="J555">
        <f>IF(Table1[[#This Row],[same_1]]=1 &amp; Table1[[#This Row],[same_2]]=1, 1, 0)</f>
        <v>0</v>
      </c>
      <c r="K555">
        <f>IF(ISNUMBER(SEARCH(Table1[[#This Row],[their_ent_1]],Table1[[#This Row],[my_ent_1]])), 1, 0)</f>
        <v>0</v>
      </c>
      <c r="L555">
        <f>IF(ISNUMBER(SEARCH(Table1[[#This Row],[their_ent_2]],Table1[[#This Row],[my_ent_2]])), 1, 0)</f>
        <v>0</v>
      </c>
    </row>
    <row r="556" spans="1:12" x14ac:dyDescent="0.3">
      <c r="A556" t="s">
        <v>1834</v>
      </c>
      <c r="B556" t="s">
        <v>1835</v>
      </c>
      <c r="C556" t="s">
        <v>1836</v>
      </c>
      <c r="D556" t="s">
        <v>710</v>
      </c>
      <c r="E556" t="s">
        <v>68</v>
      </c>
      <c r="F556">
        <v>0</v>
      </c>
      <c r="G556">
        <v>554</v>
      </c>
      <c r="H556">
        <f>IF(Table1[[#This Row],[my_ent_1]]=Table1[[#This Row],[their_ent_1]], 1, 0)</f>
        <v>0</v>
      </c>
      <c r="I556">
        <f>IF(Table1[[#This Row],[my_ent_2]]=Table1[[#This Row],[their_ent_2]], 1, 0)</f>
        <v>0</v>
      </c>
      <c r="J556">
        <f>IF(Table1[[#This Row],[same_1]]=1 &amp; Table1[[#This Row],[same_2]]=1, 1, 0)</f>
        <v>0</v>
      </c>
      <c r="K556">
        <f>IF(ISNUMBER(SEARCH(Table1[[#This Row],[their_ent_1]],Table1[[#This Row],[my_ent_1]])), 1, 0)</f>
        <v>0</v>
      </c>
      <c r="L556">
        <f>IF(ISNUMBER(SEARCH(Table1[[#This Row],[their_ent_2]],Table1[[#This Row],[my_ent_2]])), 1, 0)</f>
        <v>0</v>
      </c>
    </row>
    <row r="557" spans="1:12" x14ac:dyDescent="0.3">
      <c r="A557" t="s">
        <v>1837</v>
      </c>
      <c r="B557" t="s">
        <v>1838</v>
      </c>
      <c r="C557" t="s">
        <v>498</v>
      </c>
      <c r="D557" t="s">
        <v>1839</v>
      </c>
      <c r="E557" t="s">
        <v>1839</v>
      </c>
      <c r="F557">
        <v>0</v>
      </c>
      <c r="G557">
        <v>555</v>
      </c>
      <c r="H557">
        <f>IF(Table1[[#This Row],[my_ent_1]]=Table1[[#This Row],[their_ent_1]], 1, 0)</f>
        <v>0</v>
      </c>
      <c r="I557">
        <f>IF(Table1[[#This Row],[my_ent_2]]=Table1[[#This Row],[their_ent_2]], 1, 0)</f>
        <v>1</v>
      </c>
      <c r="J557">
        <f>IF(Table1[[#This Row],[same_1]]=1 &amp; Table1[[#This Row],[same_2]]=1, 1, 0)</f>
        <v>0</v>
      </c>
      <c r="K557">
        <f>IF(ISNUMBER(SEARCH(Table1[[#This Row],[their_ent_1]],Table1[[#This Row],[my_ent_1]])), 1, 0)</f>
        <v>0</v>
      </c>
      <c r="L557">
        <f>IF(ISNUMBER(SEARCH(Table1[[#This Row],[their_ent_2]],Table1[[#This Row],[my_ent_2]])), 1, 0)</f>
        <v>1</v>
      </c>
    </row>
    <row r="558" spans="1:12" x14ac:dyDescent="0.3">
      <c r="A558" t="s">
        <v>1840</v>
      </c>
      <c r="B558" t="s">
        <v>323</v>
      </c>
      <c r="C558" t="s">
        <v>140</v>
      </c>
      <c r="D558" t="s">
        <v>127</v>
      </c>
      <c r="E558" t="s">
        <v>205</v>
      </c>
      <c r="F558">
        <v>0</v>
      </c>
      <c r="G558">
        <v>556</v>
      </c>
      <c r="H558">
        <f>IF(Table1[[#This Row],[my_ent_1]]=Table1[[#This Row],[their_ent_1]], 1, 0)</f>
        <v>0</v>
      </c>
      <c r="I558">
        <f>IF(Table1[[#This Row],[my_ent_2]]=Table1[[#This Row],[their_ent_2]], 1, 0)</f>
        <v>0</v>
      </c>
      <c r="J558">
        <f>IF(Table1[[#This Row],[same_1]]=1 &amp; Table1[[#This Row],[same_2]]=1, 1, 0)</f>
        <v>0</v>
      </c>
      <c r="K558">
        <f>IF(ISNUMBER(SEARCH(Table1[[#This Row],[their_ent_1]],Table1[[#This Row],[my_ent_1]])), 1, 0)</f>
        <v>0</v>
      </c>
      <c r="L558">
        <f>IF(ISNUMBER(SEARCH(Table1[[#This Row],[their_ent_2]],Table1[[#This Row],[my_ent_2]])), 1, 0)</f>
        <v>0</v>
      </c>
    </row>
    <row r="559" spans="1:12" x14ac:dyDescent="0.3">
      <c r="A559" t="s">
        <v>1841</v>
      </c>
      <c r="B559" t="s">
        <v>140</v>
      </c>
      <c r="C559" t="s">
        <v>127</v>
      </c>
      <c r="D559" t="s">
        <v>127</v>
      </c>
      <c r="E559" t="s">
        <v>402</v>
      </c>
      <c r="F559">
        <v>0</v>
      </c>
      <c r="G559">
        <v>557</v>
      </c>
      <c r="H559">
        <f>IF(Table1[[#This Row],[my_ent_1]]=Table1[[#This Row],[their_ent_1]], 1, 0)</f>
        <v>0</v>
      </c>
      <c r="I559">
        <f>IF(Table1[[#This Row],[my_ent_2]]=Table1[[#This Row],[their_ent_2]], 1, 0)</f>
        <v>0</v>
      </c>
      <c r="J559">
        <f>IF(Table1[[#This Row],[same_1]]=1 &amp; Table1[[#This Row],[same_2]]=1, 1, 0)</f>
        <v>0</v>
      </c>
      <c r="K559">
        <f>IF(ISNUMBER(SEARCH(Table1[[#This Row],[their_ent_1]],Table1[[#This Row],[my_ent_1]])), 1, 0)</f>
        <v>0</v>
      </c>
      <c r="L559">
        <f>IF(ISNUMBER(SEARCH(Table1[[#This Row],[their_ent_2]],Table1[[#This Row],[my_ent_2]])), 1, 0)</f>
        <v>0</v>
      </c>
    </row>
    <row r="560" spans="1:12" x14ac:dyDescent="0.3">
      <c r="A560" t="s">
        <v>1842</v>
      </c>
      <c r="B560" t="s">
        <v>163</v>
      </c>
      <c r="C560" t="s">
        <v>1843</v>
      </c>
      <c r="D560" t="s">
        <v>412</v>
      </c>
      <c r="E560" t="s">
        <v>412</v>
      </c>
      <c r="F560">
        <v>0</v>
      </c>
      <c r="G560">
        <v>558</v>
      </c>
      <c r="H560">
        <f>IF(Table1[[#This Row],[my_ent_1]]=Table1[[#This Row],[their_ent_1]], 1, 0)</f>
        <v>0</v>
      </c>
      <c r="I560">
        <f>IF(Table1[[#This Row],[my_ent_2]]=Table1[[#This Row],[their_ent_2]], 1, 0)</f>
        <v>1</v>
      </c>
      <c r="J560">
        <f>IF(Table1[[#This Row],[same_1]]=1 &amp; Table1[[#This Row],[same_2]]=1, 1, 0)</f>
        <v>0</v>
      </c>
      <c r="K560">
        <f>IF(ISNUMBER(SEARCH(Table1[[#This Row],[their_ent_1]],Table1[[#This Row],[my_ent_1]])), 1, 0)</f>
        <v>0</v>
      </c>
      <c r="L560">
        <f>IF(ISNUMBER(SEARCH(Table1[[#This Row],[their_ent_2]],Table1[[#This Row],[my_ent_2]])), 1, 0)</f>
        <v>1</v>
      </c>
    </row>
    <row r="561" spans="1:12" x14ac:dyDescent="0.3">
      <c r="A561" t="s">
        <v>1844</v>
      </c>
      <c r="B561" t="s">
        <v>1740</v>
      </c>
      <c r="C561" t="s">
        <v>1845</v>
      </c>
      <c r="D561" t="s">
        <v>1845</v>
      </c>
      <c r="E561" t="s">
        <v>1846</v>
      </c>
      <c r="F561">
        <v>0</v>
      </c>
      <c r="G561">
        <v>559</v>
      </c>
      <c r="H561">
        <f>IF(Table1[[#This Row],[my_ent_1]]=Table1[[#This Row],[their_ent_1]], 1, 0)</f>
        <v>0</v>
      </c>
      <c r="I561">
        <f>IF(Table1[[#This Row],[my_ent_2]]=Table1[[#This Row],[their_ent_2]], 1, 0)</f>
        <v>0</v>
      </c>
      <c r="J561">
        <f>IF(Table1[[#This Row],[same_1]]=1 &amp; Table1[[#This Row],[same_2]]=1, 1, 0)</f>
        <v>0</v>
      </c>
      <c r="K561">
        <f>IF(ISNUMBER(SEARCH(Table1[[#This Row],[their_ent_1]],Table1[[#This Row],[my_ent_1]])), 1, 0)</f>
        <v>0</v>
      </c>
      <c r="L561">
        <f>IF(ISNUMBER(SEARCH(Table1[[#This Row],[their_ent_2]],Table1[[#This Row],[my_ent_2]])), 1, 0)</f>
        <v>0</v>
      </c>
    </row>
    <row r="562" spans="1:12" x14ac:dyDescent="0.3">
      <c r="A562" t="s">
        <v>1847</v>
      </c>
      <c r="B562" t="s">
        <v>26</v>
      </c>
      <c r="C562" t="s">
        <v>94</v>
      </c>
      <c r="D562" t="s">
        <v>1848</v>
      </c>
      <c r="E562" t="s">
        <v>26</v>
      </c>
      <c r="F562">
        <v>0</v>
      </c>
      <c r="G562">
        <v>560</v>
      </c>
      <c r="H562">
        <f>IF(Table1[[#This Row],[my_ent_1]]=Table1[[#This Row],[their_ent_1]], 1, 0)</f>
        <v>0</v>
      </c>
      <c r="I562">
        <f>IF(Table1[[#This Row],[my_ent_2]]=Table1[[#This Row],[their_ent_2]], 1, 0)</f>
        <v>0</v>
      </c>
      <c r="J562">
        <f>IF(Table1[[#This Row],[same_1]]=1 &amp; Table1[[#This Row],[same_2]]=1, 1, 0)</f>
        <v>0</v>
      </c>
      <c r="K562">
        <f>IF(ISNUMBER(SEARCH(Table1[[#This Row],[their_ent_1]],Table1[[#This Row],[my_ent_1]])), 1, 0)</f>
        <v>0</v>
      </c>
      <c r="L562">
        <f>IF(ISNUMBER(SEARCH(Table1[[#This Row],[their_ent_2]],Table1[[#This Row],[my_ent_2]])), 1, 0)</f>
        <v>0</v>
      </c>
    </row>
    <row r="563" spans="1:12" x14ac:dyDescent="0.3">
      <c r="A563" t="s">
        <v>1849</v>
      </c>
      <c r="B563" t="s">
        <v>1850</v>
      </c>
      <c r="C563" t="s">
        <v>1851</v>
      </c>
      <c r="D563" t="s">
        <v>1852</v>
      </c>
      <c r="E563" t="s">
        <v>1853</v>
      </c>
      <c r="F563">
        <v>0</v>
      </c>
      <c r="G563">
        <v>561</v>
      </c>
      <c r="H563">
        <f>IF(Table1[[#This Row],[my_ent_1]]=Table1[[#This Row],[their_ent_1]], 1, 0)</f>
        <v>0</v>
      </c>
      <c r="I563">
        <f>IF(Table1[[#This Row],[my_ent_2]]=Table1[[#This Row],[their_ent_2]], 1, 0)</f>
        <v>0</v>
      </c>
      <c r="J563">
        <f>IF(Table1[[#This Row],[same_1]]=1 &amp; Table1[[#This Row],[same_2]]=1, 1, 0)</f>
        <v>0</v>
      </c>
      <c r="K563">
        <f>IF(ISNUMBER(SEARCH(Table1[[#This Row],[their_ent_1]],Table1[[#This Row],[my_ent_1]])), 1, 0)</f>
        <v>0</v>
      </c>
      <c r="L563">
        <f>IF(ISNUMBER(SEARCH(Table1[[#This Row],[their_ent_2]],Table1[[#This Row],[my_ent_2]])), 1, 0)</f>
        <v>0</v>
      </c>
    </row>
    <row r="564" spans="1:12" x14ac:dyDescent="0.3">
      <c r="A564" t="s">
        <v>1854</v>
      </c>
      <c r="B564" t="s">
        <v>1753</v>
      </c>
      <c r="C564" t="s">
        <v>643</v>
      </c>
      <c r="D564" t="s">
        <v>59</v>
      </c>
      <c r="E564" t="s">
        <v>1855</v>
      </c>
      <c r="F564">
        <v>0</v>
      </c>
      <c r="G564">
        <v>562</v>
      </c>
      <c r="H564">
        <f>IF(Table1[[#This Row],[my_ent_1]]=Table1[[#This Row],[their_ent_1]], 1, 0)</f>
        <v>0</v>
      </c>
      <c r="I564">
        <f>IF(Table1[[#This Row],[my_ent_2]]=Table1[[#This Row],[their_ent_2]], 1, 0)</f>
        <v>0</v>
      </c>
      <c r="J564">
        <f>IF(Table1[[#This Row],[same_1]]=1 &amp; Table1[[#This Row],[same_2]]=1, 1, 0)</f>
        <v>0</v>
      </c>
      <c r="K564">
        <f>IF(ISNUMBER(SEARCH(Table1[[#This Row],[their_ent_1]],Table1[[#This Row],[my_ent_1]])), 1, 0)</f>
        <v>0</v>
      </c>
      <c r="L564">
        <f>IF(ISNUMBER(SEARCH(Table1[[#This Row],[their_ent_2]],Table1[[#This Row],[my_ent_2]])), 1, 0)</f>
        <v>0</v>
      </c>
    </row>
    <row r="565" spans="1:12" x14ac:dyDescent="0.3">
      <c r="A565" t="s">
        <v>1856</v>
      </c>
      <c r="B565" t="s">
        <v>1857</v>
      </c>
      <c r="C565" t="s">
        <v>1857</v>
      </c>
      <c r="D565" t="s">
        <v>1858</v>
      </c>
      <c r="E565" t="s">
        <v>1859</v>
      </c>
      <c r="F565">
        <v>0</v>
      </c>
      <c r="G565">
        <v>563</v>
      </c>
      <c r="H565">
        <f>IF(Table1[[#This Row],[my_ent_1]]=Table1[[#This Row],[their_ent_1]], 1, 0)</f>
        <v>1</v>
      </c>
      <c r="I565">
        <f>IF(Table1[[#This Row],[my_ent_2]]=Table1[[#This Row],[their_ent_2]], 1, 0)</f>
        <v>0</v>
      </c>
      <c r="J565">
        <f>IF(Table1[[#This Row],[same_1]]=1 &amp; Table1[[#This Row],[same_2]]=1, 1, 0)</f>
        <v>0</v>
      </c>
      <c r="K565">
        <f>IF(ISNUMBER(SEARCH(Table1[[#This Row],[their_ent_1]],Table1[[#This Row],[my_ent_1]])), 1, 0)</f>
        <v>1</v>
      </c>
      <c r="L565">
        <f>IF(ISNUMBER(SEARCH(Table1[[#This Row],[their_ent_2]],Table1[[#This Row],[my_ent_2]])), 1, 0)</f>
        <v>1</v>
      </c>
    </row>
    <row r="566" spans="1:12" x14ac:dyDescent="0.3">
      <c r="A566" t="s">
        <v>1860</v>
      </c>
      <c r="B566" t="s">
        <v>1861</v>
      </c>
      <c r="C566" t="s">
        <v>1862</v>
      </c>
      <c r="D566" t="s">
        <v>1863</v>
      </c>
      <c r="E566" t="s">
        <v>1864</v>
      </c>
      <c r="F566">
        <v>0</v>
      </c>
      <c r="G566">
        <v>564</v>
      </c>
      <c r="H566">
        <f>IF(Table1[[#This Row],[my_ent_1]]=Table1[[#This Row],[their_ent_1]], 1, 0)</f>
        <v>0</v>
      </c>
      <c r="I566">
        <f>IF(Table1[[#This Row],[my_ent_2]]=Table1[[#This Row],[their_ent_2]], 1, 0)</f>
        <v>0</v>
      </c>
      <c r="J566">
        <f>IF(Table1[[#This Row],[same_1]]=1 &amp; Table1[[#This Row],[same_2]]=1, 1, 0)</f>
        <v>0</v>
      </c>
      <c r="K566">
        <f>IF(ISNUMBER(SEARCH(Table1[[#This Row],[their_ent_1]],Table1[[#This Row],[my_ent_1]])), 1, 0)</f>
        <v>1</v>
      </c>
      <c r="L566">
        <f>IF(ISNUMBER(SEARCH(Table1[[#This Row],[their_ent_2]],Table1[[#This Row],[my_ent_2]])), 1, 0)</f>
        <v>1</v>
      </c>
    </row>
    <row r="567" spans="1:12" x14ac:dyDescent="0.3">
      <c r="A567" t="s">
        <v>1865</v>
      </c>
      <c r="B567" t="s">
        <v>1866</v>
      </c>
      <c r="C567" t="s">
        <v>686</v>
      </c>
      <c r="D567" t="s">
        <v>685</v>
      </c>
      <c r="E567" t="s">
        <v>198</v>
      </c>
      <c r="F567">
        <v>0</v>
      </c>
      <c r="G567">
        <v>565</v>
      </c>
      <c r="H567">
        <f>IF(Table1[[#This Row],[my_ent_1]]=Table1[[#This Row],[their_ent_1]], 1, 0)</f>
        <v>0</v>
      </c>
      <c r="I567">
        <f>IF(Table1[[#This Row],[my_ent_2]]=Table1[[#This Row],[their_ent_2]], 1, 0)</f>
        <v>0</v>
      </c>
      <c r="J567">
        <f>IF(Table1[[#This Row],[same_1]]=1 &amp; Table1[[#This Row],[same_2]]=1, 1, 0)</f>
        <v>0</v>
      </c>
      <c r="K567">
        <f>IF(ISNUMBER(SEARCH(Table1[[#This Row],[their_ent_1]],Table1[[#This Row],[my_ent_1]])), 1, 0)</f>
        <v>0</v>
      </c>
      <c r="L567">
        <f>IF(ISNUMBER(SEARCH(Table1[[#This Row],[their_ent_2]],Table1[[#This Row],[my_ent_2]])), 1, 0)</f>
        <v>0</v>
      </c>
    </row>
    <row r="568" spans="1:12" x14ac:dyDescent="0.3">
      <c r="A568" t="s">
        <v>1867</v>
      </c>
      <c r="B568" t="s">
        <v>381</v>
      </c>
      <c r="C568" t="s">
        <v>1868</v>
      </c>
      <c r="D568" t="s">
        <v>863</v>
      </c>
      <c r="E568" t="s">
        <v>381</v>
      </c>
      <c r="F568">
        <v>0</v>
      </c>
      <c r="G568">
        <v>566</v>
      </c>
      <c r="H568">
        <f>IF(Table1[[#This Row],[my_ent_1]]=Table1[[#This Row],[their_ent_1]], 1, 0)</f>
        <v>0</v>
      </c>
      <c r="I568">
        <f>IF(Table1[[#This Row],[my_ent_2]]=Table1[[#This Row],[their_ent_2]], 1, 0)</f>
        <v>0</v>
      </c>
      <c r="J568">
        <f>IF(Table1[[#This Row],[same_1]]=1 &amp; Table1[[#This Row],[same_2]]=1, 1, 0)</f>
        <v>0</v>
      </c>
      <c r="K568">
        <f>IF(ISNUMBER(SEARCH(Table1[[#This Row],[their_ent_1]],Table1[[#This Row],[my_ent_1]])), 1, 0)</f>
        <v>0</v>
      </c>
      <c r="L568">
        <f>IF(ISNUMBER(SEARCH(Table1[[#This Row],[their_ent_2]],Table1[[#This Row],[my_ent_2]])), 1, 0)</f>
        <v>0</v>
      </c>
    </row>
    <row r="569" spans="1:12" x14ac:dyDescent="0.3">
      <c r="A569" t="s">
        <v>1869</v>
      </c>
      <c r="B569" t="s">
        <v>1870</v>
      </c>
      <c r="C569" t="s">
        <v>1870</v>
      </c>
      <c r="D569" t="s">
        <v>1871</v>
      </c>
      <c r="E569" t="s">
        <v>945</v>
      </c>
      <c r="F569">
        <v>0</v>
      </c>
      <c r="G569">
        <v>567</v>
      </c>
      <c r="H569">
        <f>IF(Table1[[#This Row],[my_ent_1]]=Table1[[#This Row],[their_ent_1]], 1, 0)</f>
        <v>1</v>
      </c>
      <c r="I569">
        <f>IF(Table1[[#This Row],[my_ent_2]]=Table1[[#This Row],[their_ent_2]], 1, 0)</f>
        <v>0</v>
      </c>
      <c r="J569">
        <f>IF(Table1[[#This Row],[same_1]]=1 &amp; Table1[[#This Row],[same_2]]=1, 1, 0)</f>
        <v>0</v>
      </c>
      <c r="K569">
        <f>IF(ISNUMBER(SEARCH(Table1[[#This Row],[their_ent_1]],Table1[[#This Row],[my_ent_1]])), 1, 0)</f>
        <v>1</v>
      </c>
      <c r="L569">
        <f>IF(ISNUMBER(SEARCH(Table1[[#This Row],[their_ent_2]],Table1[[#This Row],[my_ent_2]])), 1, 0)</f>
        <v>0</v>
      </c>
    </row>
    <row r="570" spans="1:12" x14ac:dyDescent="0.3">
      <c r="A570" t="s">
        <v>1872</v>
      </c>
      <c r="B570" t="s">
        <v>1873</v>
      </c>
      <c r="C570" t="s">
        <v>1874</v>
      </c>
      <c r="D570" t="s">
        <v>1875</v>
      </c>
      <c r="E570" t="s">
        <v>1876</v>
      </c>
      <c r="F570">
        <v>0</v>
      </c>
      <c r="G570">
        <v>568</v>
      </c>
      <c r="H570">
        <f>IF(Table1[[#This Row],[my_ent_1]]=Table1[[#This Row],[their_ent_1]], 1, 0)</f>
        <v>0</v>
      </c>
      <c r="I570">
        <f>IF(Table1[[#This Row],[my_ent_2]]=Table1[[#This Row],[their_ent_2]], 1, 0)</f>
        <v>0</v>
      </c>
      <c r="J570">
        <f>IF(Table1[[#This Row],[same_1]]=1 &amp; Table1[[#This Row],[same_2]]=1, 1, 0)</f>
        <v>0</v>
      </c>
      <c r="K570">
        <f>IF(ISNUMBER(SEARCH(Table1[[#This Row],[their_ent_1]],Table1[[#This Row],[my_ent_1]])), 1, 0)</f>
        <v>0</v>
      </c>
      <c r="L570">
        <f>IF(ISNUMBER(SEARCH(Table1[[#This Row],[their_ent_2]],Table1[[#This Row],[my_ent_2]])), 1, 0)</f>
        <v>0</v>
      </c>
    </row>
    <row r="571" spans="1:12" x14ac:dyDescent="0.3">
      <c r="A571" t="s">
        <v>1877</v>
      </c>
      <c r="B571" t="s">
        <v>1878</v>
      </c>
      <c r="C571" t="s">
        <v>1878</v>
      </c>
      <c r="D571" t="s">
        <v>1879</v>
      </c>
      <c r="E571" t="s">
        <v>1880</v>
      </c>
      <c r="F571">
        <v>0</v>
      </c>
      <c r="G571">
        <v>569</v>
      </c>
      <c r="H571">
        <f>IF(Table1[[#This Row],[my_ent_1]]=Table1[[#This Row],[their_ent_1]], 1, 0)</f>
        <v>1</v>
      </c>
      <c r="I571">
        <f>IF(Table1[[#This Row],[my_ent_2]]=Table1[[#This Row],[their_ent_2]], 1, 0)</f>
        <v>0</v>
      </c>
      <c r="J571">
        <f>IF(Table1[[#This Row],[same_1]]=1 &amp; Table1[[#This Row],[same_2]]=1, 1, 0)</f>
        <v>0</v>
      </c>
      <c r="K571">
        <f>IF(ISNUMBER(SEARCH(Table1[[#This Row],[their_ent_1]],Table1[[#This Row],[my_ent_1]])), 1, 0)</f>
        <v>1</v>
      </c>
      <c r="L571">
        <f>IF(ISNUMBER(SEARCH(Table1[[#This Row],[their_ent_2]],Table1[[#This Row],[my_ent_2]])), 1, 0)</f>
        <v>0</v>
      </c>
    </row>
    <row r="572" spans="1:12" x14ac:dyDescent="0.3">
      <c r="A572" t="s">
        <v>1881</v>
      </c>
      <c r="B572" t="s">
        <v>1882</v>
      </c>
      <c r="C572" t="s">
        <v>1743</v>
      </c>
      <c r="D572" t="s">
        <v>30</v>
      </c>
      <c r="E572" t="s">
        <v>1883</v>
      </c>
      <c r="F572">
        <v>0</v>
      </c>
      <c r="G572">
        <v>570</v>
      </c>
      <c r="H572">
        <f>IF(Table1[[#This Row],[my_ent_1]]=Table1[[#This Row],[their_ent_1]], 1, 0)</f>
        <v>0</v>
      </c>
      <c r="I572">
        <f>IF(Table1[[#This Row],[my_ent_2]]=Table1[[#This Row],[their_ent_2]], 1, 0)</f>
        <v>0</v>
      </c>
      <c r="J572">
        <f>IF(Table1[[#This Row],[same_1]]=1 &amp; Table1[[#This Row],[same_2]]=1, 1, 0)</f>
        <v>0</v>
      </c>
      <c r="K572">
        <f>IF(ISNUMBER(SEARCH(Table1[[#This Row],[their_ent_1]],Table1[[#This Row],[my_ent_1]])), 1, 0)</f>
        <v>0</v>
      </c>
      <c r="L572">
        <f>IF(ISNUMBER(SEARCH(Table1[[#This Row],[their_ent_2]],Table1[[#This Row],[my_ent_2]])), 1, 0)</f>
        <v>0</v>
      </c>
    </row>
    <row r="573" spans="1:12" x14ac:dyDescent="0.3">
      <c r="A573" t="s">
        <v>1884</v>
      </c>
      <c r="B573" t="s">
        <v>1885</v>
      </c>
      <c r="C573" t="s">
        <v>1885</v>
      </c>
      <c r="D573" t="s">
        <v>1886</v>
      </c>
      <c r="E573" t="s">
        <v>1887</v>
      </c>
      <c r="F573">
        <v>0</v>
      </c>
      <c r="G573">
        <v>571</v>
      </c>
      <c r="H573">
        <f>IF(Table1[[#This Row],[my_ent_1]]=Table1[[#This Row],[their_ent_1]], 1, 0)</f>
        <v>1</v>
      </c>
      <c r="I573">
        <f>IF(Table1[[#This Row],[my_ent_2]]=Table1[[#This Row],[their_ent_2]], 1, 0)</f>
        <v>0</v>
      </c>
      <c r="J573">
        <f>IF(Table1[[#This Row],[same_1]]=1 &amp; Table1[[#This Row],[same_2]]=1, 1, 0)</f>
        <v>0</v>
      </c>
      <c r="K573">
        <f>IF(ISNUMBER(SEARCH(Table1[[#This Row],[their_ent_1]],Table1[[#This Row],[my_ent_1]])), 1, 0)</f>
        <v>1</v>
      </c>
      <c r="L573">
        <f>IF(ISNUMBER(SEARCH(Table1[[#This Row],[their_ent_2]],Table1[[#This Row],[my_ent_2]])), 1, 0)</f>
        <v>1</v>
      </c>
    </row>
    <row r="574" spans="1:12" x14ac:dyDescent="0.3">
      <c r="A574" t="s">
        <v>1888</v>
      </c>
      <c r="B574" t="s">
        <v>1889</v>
      </c>
      <c r="C574" t="s">
        <v>112</v>
      </c>
      <c r="D574" t="s">
        <v>1579</v>
      </c>
      <c r="E574" t="s">
        <v>1674</v>
      </c>
      <c r="F574">
        <v>0</v>
      </c>
      <c r="G574">
        <v>572</v>
      </c>
      <c r="H574">
        <f>IF(Table1[[#This Row],[my_ent_1]]=Table1[[#This Row],[their_ent_1]], 1, 0)</f>
        <v>0</v>
      </c>
      <c r="I574">
        <f>IF(Table1[[#This Row],[my_ent_2]]=Table1[[#This Row],[their_ent_2]], 1, 0)</f>
        <v>0</v>
      </c>
      <c r="J574">
        <f>IF(Table1[[#This Row],[same_1]]=1 &amp; Table1[[#This Row],[same_2]]=1, 1, 0)</f>
        <v>0</v>
      </c>
      <c r="K574">
        <f>IF(ISNUMBER(SEARCH(Table1[[#This Row],[their_ent_1]],Table1[[#This Row],[my_ent_1]])), 1, 0)</f>
        <v>1</v>
      </c>
      <c r="L574">
        <f>IF(ISNUMBER(SEARCH(Table1[[#This Row],[their_ent_2]],Table1[[#This Row],[my_ent_2]])), 1, 0)</f>
        <v>1</v>
      </c>
    </row>
    <row r="575" spans="1:12" x14ac:dyDescent="0.3">
      <c r="A575" t="s">
        <v>1890</v>
      </c>
      <c r="B575" t="s">
        <v>1891</v>
      </c>
      <c r="C575" t="s">
        <v>1891</v>
      </c>
      <c r="D575" t="s">
        <v>1892</v>
      </c>
      <c r="E575" t="s">
        <v>1893</v>
      </c>
      <c r="F575">
        <v>0</v>
      </c>
      <c r="G575">
        <v>573</v>
      </c>
      <c r="H575">
        <f>IF(Table1[[#This Row],[my_ent_1]]=Table1[[#This Row],[their_ent_1]], 1, 0)</f>
        <v>1</v>
      </c>
      <c r="I575">
        <f>IF(Table1[[#This Row],[my_ent_2]]=Table1[[#This Row],[their_ent_2]], 1, 0)</f>
        <v>0</v>
      </c>
      <c r="J575">
        <f>IF(Table1[[#This Row],[same_1]]=1 &amp; Table1[[#This Row],[same_2]]=1, 1, 0)</f>
        <v>0</v>
      </c>
      <c r="K575">
        <f>IF(ISNUMBER(SEARCH(Table1[[#This Row],[their_ent_1]],Table1[[#This Row],[my_ent_1]])), 1, 0)</f>
        <v>1</v>
      </c>
      <c r="L575">
        <f>IF(ISNUMBER(SEARCH(Table1[[#This Row],[their_ent_2]],Table1[[#This Row],[my_ent_2]])), 1, 0)</f>
        <v>0</v>
      </c>
    </row>
    <row r="576" spans="1:12" x14ac:dyDescent="0.3">
      <c r="A576" t="s">
        <v>1894</v>
      </c>
      <c r="B576" t="s">
        <v>1895</v>
      </c>
      <c r="C576" t="s">
        <v>1895</v>
      </c>
      <c r="D576" t="s">
        <v>1896</v>
      </c>
      <c r="E576" t="s">
        <v>1897</v>
      </c>
      <c r="F576">
        <v>0</v>
      </c>
      <c r="G576">
        <v>574</v>
      </c>
      <c r="H576">
        <f>IF(Table1[[#This Row],[my_ent_1]]=Table1[[#This Row],[their_ent_1]], 1, 0)</f>
        <v>1</v>
      </c>
      <c r="I576">
        <f>IF(Table1[[#This Row],[my_ent_2]]=Table1[[#This Row],[their_ent_2]], 1, 0)</f>
        <v>0</v>
      </c>
      <c r="J576">
        <f>IF(Table1[[#This Row],[same_1]]=1 &amp; Table1[[#This Row],[same_2]]=1, 1, 0)</f>
        <v>0</v>
      </c>
      <c r="K576">
        <f>IF(ISNUMBER(SEARCH(Table1[[#This Row],[their_ent_1]],Table1[[#This Row],[my_ent_1]])), 1, 0)</f>
        <v>1</v>
      </c>
      <c r="L576">
        <f>IF(ISNUMBER(SEARCH(Table1[[#This Row],[their_ent_2]],Table1[[#This Row],[my_ent_2]])), 1, 0)</f>
        <v>1</v>
      </c>
    </row>
    <row r="577" spans="1:12" x14ac:dyDescent="0.3">
      <c r="A577" t="s">
        <v>1898</v>
      </c>
      <c r="B577" t="s">
        <v>1899</v>
      </c>
      <c r="C577" t="s">
        <v>485</v>
      </c>
      <c r="D577" t="s">
        <v>485</v>
      </c>
      <c r="E577" t="s">
        <v>1900</v>
      </c>
      <c r="F577">
        <v>0</v>
      </c>
      <c r="G577">
        <v>575</v>
      </c>
      <c r="H577">
        <f>IF(Table1[[#This Row],[my_ent_1]]=Table1[[#This Row],[their_ent_1]], 1, 0)</f>
        <v>0</v>
      </c>
      <c r="I577">
        <f>IF(Table1[[#This Row],[my_ent_2]]=Table1[[#This Row],[their_ent_2]], 1, 0)</f>
        <v>0</v>
      </c>
      <c r="J577">
        <f>IF(Table1[[#This Row],[same_1]]=1 &amp; Table1[[#This Row],[same_2]]=1, 1, 0)</f>
        <v>0</v>
      </c>
      <c r="K577">
        <f>IF(ISNUMBER(SEARCH(Table1[[#This Row],[their_ent_1]],Table1[[#This Row],[my_ent_1]])), 1, 0)</f>
        <v>0</v>
      </c>
      <c r="L577">
        <f>IF(ISNUMBER(SEARCH(Table1[[#This Row],[their_ent_2]],Table1[[#This Row],[my_ent_2]])), 1, 0)</f>
        <v>0</v>
      </c>
    </row>
    <row r="578" spans="1:12" x14ac:dyDescent="0.3">
      <c r="A578" t="s">
        <v>1901</v>
      </c>
      <c r="B578" t="s">
        <v>1902</v>
      </c>
      <c r="C578" t="s">
        <v>1902</v>
      </c>
      <c r="D578" t="s">
        <v>1903</v>
      </c>
      <c r="E578" t="s">
        <v>68</v>
      </c>
      <c r="F578">
        <v>0</v>
      </c>
      <c r="G578">
        <v>576</v>
      </c>
      <c r="H578">
        <f>IF(Table1[[#This Row],[my_ent_1]]=Table1[[#This Row],[their_ent_1]], 1, 0)</f>
        <v>1</v>
      </c>
      <c r="I578">
        <f>IF(Table1[[#This Row],[my_ent_2]]=Table1[[#This Row],[their_ent_2]], 1, 0)</f>
        <v>0</v>
      </c>
      <c r="J578">
        <f>IF(Table1[[#This Row],[same_1]]=1 &amp; Table1[[#This Row],[same_2]]=1, 1, 0)</f>
        <v>0</v>
      </c>
      <c r="K578">
        <f>IF(ISNUMBER(SEARCH(Table1[[#This Row],[their_ent_1]],Table1[[#This Row],[my_ent_1]])), 1, 0)</f>
        <v>1</v>
      </c>
      <c r="L578">
        <f>IF(ISNUMBER(SEARCH(Table1[[#This Row],[their_ent_2]],Table1[[#This Row],[my_ent_2]])), 1, 0)</f>
        <v>0</v>
      </c>
    </row>
    <row r="579" spans="1:12" x14ac:dyDescent="0.3">
      <c r="A579" t="s">
        <v>1904</v>
      </c>
      <c r="B579" t="s">
        <v>1905</v>
      </c>
      <c r="C579" t="s">
        <v>165</v>
      </c>
      <c r="D579" t="s">
        <v>1906</v>
      </c>
      <c r="E579" t="s">
        <v>1905</v>
      </c>
      <c r="F579">
        <v>0</v>
      </c>
      <c r="G579">
        <v>577</v>
      </c>
      <c r="H579">
        <f>IF(Table1[[#This Row],[my_ent_1]]=Table1[[#This Row],[their_ent_1]], 1, 0)</f>
        <v>0</v>
      </c>
      <c r="I579">
        <f>IF(Table1[[#This Row],[my_ent_2]]=Table1[[#This Row],[their_ent_2]], 1, 0)</f>
        <v>0</v>
      </c>
      <c r="J579">
        <f>IF(Table1[[#This Row],[same_1]]=1 &amp; Table1[[#This Row],[same_2]]=1, 1, 0)</f>
        <v>0</v>
      </c>
      <c r="K579">
        <f>IF(ISNUMBER(SEARCH(Table1[[#This Row],[their_ent_1]],Table1[[#This Row],[my_ent_1]])), 1, 0)</f>
        <v>0</v>
      </c>
      <c r="L579">
        <f>IF(ISNUMBER(SEARCH(Table1[[#This Row],[their_ent_2]],Table1[[#This Row],[my_ent_2]])), 1, 0)</f>
        <v>0</v>
      </c>
    </row>
    <row r="580" spans="1:12" x14ac:dyDescent="0.3">
      <c r="A580" t="s">
        <v>1907</v>
      </c>
      <c r="B580" t="s">
        <v>1908</v>
      </c>
      <c r="C580" t="s">
        <v>1909</v>
      </c>
      <c r="D580" t="s">
        <v>142</v>
      </c>
      <c r="E580" t="s">
        <v>1910</v>
      </c>
      <c r="F580">
        <v>0</v>
      </c>
      <c r="G580">
        <v>578</v>
      </c>
      <c r="H580">
        <f>IF(Table1[[#This Row],[my_ent_1]]=Table1[[#This Row],[their_ent_1]], 1, 0)</f>
        <v>0</v>
      </c>
      <c r="I580">
        <f>IF(Table1[[#This Row],[my_ent_2]]=Table1[[#This Row],[their_ent_2]], 1, 0)</f>
        <v>0</v>
      </c>
      <c r="J580">
        <f>IF(Table1[[#This Row],[same_1]]=1 &amp; Table1[[#This Row],[same_2]]=1, 1, 0)</f>
        <v>0</v>
      </c>
      <c r="K580">
        <f>IF(ISNUMBER(SEARCH(Table1[[#This Row],[their_ent_1]],Table1[[#This Row],[my_ent_1]])), 1, 0)</f>
        <v>0</v>
      </c>
      <c r="L580">
        <f>IF(ISNUMBER(SEARCH(Table1[[#This Row],[their_ent_2]],Table1[[#This Row],[my_ent_2]])), 1, 0)</f>
        <v>0</v>
      </c>
    </row>
    <row r="581" spans="1:12" x14ac:dyDescent="0.3">
      <c r="A581" t="s">
        <v>1911</v>
      </c>
      <c r="B581" t="s">
        <v>1912</v>
      </c>
      <c r="C581" t="s">
        <v>1913</v>
      </c>
      <c r="D581" t="s">
        <v>1914</v>
      </c>
      <c r="E581" t="s">
        <v>1912</v>
      </c>
      <c r="F581">
        <v>0</v>
      </c>
      <c r="G581">
        <v>579</v>
      </c>
      <c r="H581">
        <f>IF(Table1[[#This Row],[my_ent_1]]=Table1[[#This Row],[their_ent_1]], 1, 0)</f>
        <v>0</v>
      </c>
      <c r="I581">
        <f>IF(Table1[[#This Row],[my_ent_2]]=Table1[[#This Row],[their_ent_2]], 1, 0)</f>
        <v>0</v>
      </c>
      <c r="J581">
        <f>IF(Table1[[#This Row],[same_1]]=1 &amp; Table1[[#This Row],[same_2]]=1, 1, 0)</f>
        <v>0</v>
      </c>
      <c r="K581">
        <f>IF(ISNUMBER(SEARCH(Table1[[#This Row],[their_ent_1]],Table1[[#This Row],[my_ent_1]])), 1, 0)</f>
        <v>0</v>
      </c>
      <c r="L581">
        <f>IF(ISNUMBER(SEARCH(Table1[[#This Row],[their_ent_2]],Table1[[#This Row],[my_ent_2]])), 1, 0)</f>
        <v>0</v>
      </c>
    </row>
    <row r="582" spans="1:12" x14ac:dyDescent="0.3">
      <c r="A582" t="s">
        <v>1915</v>
      </c>
      <c r="B582" t="s">
        <v>1916</v>
      </c>
      <c r="C582" t="s">
        <v>1916</v>
      </c>
      <c r="D582" t="s">
        <v>353</v>
      </c>
      <c r="E582" t="s">
        <v>847</v>
      </c>
      <c r="F582">
        <v>0</v>
      </c>
      <c r="G582">
        <v>580</v>
      </c>
      <c r="H582">
        <f>IF(Table1[[#This Row],[my_ent_1]]=Table1[[#This Row],[their_ent_1]], 1, 0)</f>
        <v>1</v>
      </c>
      <c r="I582">
        <f>IF(Table1[[#This Row],[my_ent_2]]=Table1[[#This Row],[their_ent_2]], 1, 0)</f>
        <v>0</v>
      </c>
      <c r="J582">
        <f>IF(Table1[[#This Row],[same_1]]=1 &amp; Table1[[#This Row],[same_2]]=1, 1, 0)</f>
        <v>0</v>
      </c>
      <c r="K582">
        <f>IF(ISNUMBER(SEARCH(Table1[[#This Row],[their_ent_1]],Table1[[#This Row],[my_ent_1]])), 1, 0)</f>
        <v>1</v>
      </c>
      <c r="L582">
        <f>IF(ISNUMBER(SEARCH(Table1[[#This Row],[their_ent_2]],Table1[[#This Row],[my_ent_2]])), 1, 0)</f>
        <v>0</v>
      </c>
    </row>
    <row r="583" spans="1:12" x14ac:dyDescent="0.3">
      <c r="A583" t="s">
        <v>1917</v>
      </c>
      <c r="B583" t="s">
        <v>1918</v>
      </c>
      <c r="C583" t="s">
        <v>1919</v>
      </c>
      <c r="D583" t="s">
        <v>1920</v>
      </c>
      <c r="E583" t="s">
        <v>835</v>
      </c>
      <c r="F583">
        <v>0</v>
      </c>
      <c r="G583">
        <v>581</v>
      </c>
      <c r="H583">
        <f>IF(Table1[[#This Row],[my_ent_1]]=Table1[[#This Row],[their_ent_1]], 1, 0)</f>
        <v>0</v>
      </c>
      <c r="I583">
        <f>IF(Table1[[#This Row],[my_ent_2]]=Table1[[#This Row],[their_ent_2]], 1, 0)</f>
        <v>0</v>
      </c>
      <c r="J583">
        <f>IF(Table1[[#This Row],[same_1]]=1 &amp; Table1[[#This Row],[same_2]]=1, 1, 0)</f>
        <v>0</v>
      </c>
      <c r="K583">
        <f>IF(ISNUMBER(SEARCH(Table1[[#This Row],[their_ent_1]],Table1[[#This Row],[my_ent_1]])), 1, 0)</f>
        <v>1</v>
      </c>
      <c r="L583">
        <f>IF(ISNUMBER(SEARCH(Table1[[#This Row],[their_ent_2]],Table1[[#This Row],[my_ent_2]])), 1, 0)</f>
        <v>1</v>
      </c>
    </row>
    <row r="584" spans="1:12" x14ac:dyDescent="0.3">
      <c r="A584" t="s">
        <v>1921</v>
      </c>
      <c r="B584" t="s">
        <v>1922</v>
      </c>
      <c r="C584" t="s">
        <v>1922</v>
      </c>
      <c r="D584" t="s">
        <v>1923</v>
      </c>
      <c r="E584" t="s">
        <v>1924</v>
      </c>
      <c r="F584">
        <v>0</v>
      </c>
      <c r="G584">
        <v>582</v>
      </c>
      <c r="H584">
        <f>IF(Table1[[#This Row],[my_ent_1]]=Table1[[#This Row],[their_ent_1]], 1, 0)</f>
        <v>1</v>
      </c>
      <c r="I584">
        <f>IF(Table1[[#This Row],[my_ent_2]]=Table1[[#This Row],[their_ent_2]], 1, 0)</f>
        <v>0</v>
      </c>
      <c r="J584">
        <f>IF(Table1[[#This Row],[same_1]]=1 &amp; Table1[[#This Row],[same_2]]=1, 1, 0)</f>
        <v>0</v>
      </c>
      <c r="K584">
        <f>IF(ISNUMBER(SEARCH(Table1[[#This Row],[their_ent_1]],Table1[[#This Row],[my_ent_1]])), 1, 0)</f>
        <v>1</v>
      </c>
      <c r="L584">
        <f>IF(ISNUMBER(SEARCH(Table1[[#This Row],[their_ent_2]],Table1[[#This Row],[my_ent_2]])), 1, 0)</f>
        <v>1</v>
      </c>
    </row>
    <row r="585" spans="1:12" x14ac:dyDescent="0.3">
      <c r="A585" t="s">
        <v>1925</v>
      </c>
      <c r="B585" t="s">
        <v>1926</v>
      </c>
      <c r="C585" t="s">
        <v>1927</v>
      </c>
      <c r="D585" t="s">
        <v>1928</v>
      </c>
      <c r="E585" t="s">
        <v>1929</v>
      </c>
      <c r="F585">
        <v>0</v>
      </c>
      <c r="G585">
        <v>583</v>
      </c>
      <c r="H585">
        <f>IF(Table1[[#This Row],[my_ent_1]]=Table1[[#This Row],[their_ent_1]], 1, 0)</f>
        <v>0</v>
      </c>
      <c r="I585">
        <f>IF(Table1[[#This Row],[my_ent_2]]=Table1[[#This Row],[their_ent_2]], 1, 0)</f>
        <v>0</v>
      </c>
      <c r="J585">
        <f>IF(Table1[[#This Row],[same_1]]=1 &amp; Table1[[#This Row],[same_2]]=1, 1, 0)</f>
        <v>0</v>
      </c>
      <c r="K585">
        <f>IF(ISNUMBER(SEARCH(Table1[[#This Row],[their_ent_1]],Table1[[#This Row],[my_ent_1]])), 1, 0)</f>
        <v>0</v>
      </c>
      <c r="L585">
        <f>IF(ISNUMBER(SEARCH(Table1[[#This Row],[their_ent_2]],Table1[[#This Row],[my_ent_2]])), 1, 0)</f>
        <v>0</v>
      </c>
    </row>
    <row r="586" spans="1:12" x14ac:dyDescent="0.3">
      <c r="A586" t="s">
        <v>1930</v>
      </c>
      <c r="B586" t="s">
        <v>1931</v>
      </c>
      <c r="C586" t="s">
        <v>1932</v>
      </c>
      <c r="D586" t="s">
        <v>1933</v>
      </c>
      <c r="E586" t="s">
        <v>1934</v>
      </c>
      <c r="F586">
        <v>0</v>
      </c>
      <c r="G586">
        <v>584</v>
      </c>
      <c r="H586">
        <f>IF(Table1[[#This Row],[my_ent_1]]=Table1[[#This Row],[their_ent_1]], 1, 0)</f>
        <v>0</v>
      </c>
      <c r="I586">
        <f>IF(Table1[[#This Row],[my_ent_2]]=Table1[[#This Row],[their_ent_2]], 1, 0)</f>
        <v>0</v>
      </c>
      <c r="J586">
        <f>IF(Table1[[#This Row],[same_1]]=1 &amp; Table1[[#This Row],[same_2]]=1, 1, 0)</f>
        <v>0</v>
      </c>
      <c r="K586">
        <f>IF(ISNUMBER(SEARCH(Table1[[#This Row],[their_ent_1]],Table1[[#This Row],[my_ent_1]])), 1, 0)</f>
        <v>0</v>
      </c>
      <c r="L586">
        <f>IF(ISNUMBER(SEARCH(Table1[[#This Row],[their_ent_2]],Table1[[#This Row],[my_ent_2]])), 1, 0)</f>
        <v>0</v>
      </c>
    </row>
    <row r="587" spans="1:12" x14ac:dyDescent="0.3">
      <c r="A587" t="s">
        <v>1935</v>
      </c>
      <c r="B587" t="s">
        <v>1936</v>
      </c>
      <c r="C587" t="s">
        <v>1937</v>
      </c>
      <c r="D587" t="s">
        <v>1938</v>
      </c>
      <c r="E587" t="s">
        <v>1939</v>
      </c>
      <c r="F587">
        <v>0</v>
      </c>
      <c r="G587">
        <v>585</v>
      </c>
      <c r="H587">
        <f>IF(Table1[[#This Row],[my_ent_1]]=Table1[[#This Row],[their_ent_1]], 1, 0)</f>
        <v>0</v>
      </c>
      <c r="I587">
        <f>IF(Table1[[#This Row],[my_ent_2]]=Table1[[#This Row],[their_ent_2]], 1, 0)</f>
        <v>0</v>
      </c>
      <c r="J587">
        <f>IF(Table1[[#This Row],[same_1]]=1 &amp; Table1[[#This Row],[same_2]]=1, 1, 0)</f>
        <v>0</v>
      </c>
      <c r="K587">
        <f>IF(ISNUMBER(SEARCH(Table1[[#This Row],[their_ent_1]],Table1[[#This Row],[my_ent_1]])), 1, 0)</f>
        <v>0</v>
      </c>
      <c r="L587">
        <f>IF(ISNUMBER(SEARCH(Table1[[#This Row],[their_ent_2]],Table1[[#This Row],[my_ent_2]])), 1, 0)</f>
        <v>0</v>
      </c>
    </row>
    <row r="588" spans="1:12" x14ac:dyDescent="0.3">
      <c r="A588" t="s">
        <v>1940</v>
      </c>
      <c r="B588" t="s">
        <v>1941</v>
      </c>
      <c r="C588" t="s">
        <v>1941</v>
      </c>
      <c r="D588" t="s">
        <v>1673</v>
      </c>
      <c r="E588" t="s">
        <v>1942</v>
      </c>
      <c r="F588">
        <v>0</v>
      </c>
      <c r="G588">
        <v>586</v>
      </c>
      <c r="H588">
        <f>IF(Table1[[#This Row],[my_ent_1]]=Table1[[#This Row],[their_ent_1]], 1, 0)</f>
        <v>1</v>
      </c>
      <c r="I588">
        <f>IF(Table1[[#This Row],[my_ent_2]]=Table1[[#This Row],[their_ent_2]], 1, 0)</f>
        <v>0</v>
      </c>
      <c r="J588">
        <f>IF(Table1[[#This Row],[same_1]]=1 &amp; Table1[[#This Row],[same_2]]=1, 1, 0)</f>
        <v>0</v>
      </c>
      <c r="K588">
        <f>IF(ISNUMBER(SEARCH(Table1[[#This Row],[their_ent_1]],Table1[[#This Row],[my_ent_1]])), 1, 0)</f>
        <v>1</v>
      </c>
      <c r="L588">
        <f>IF(ISNUMBER(SEARCH(Table1[[#This Row],[their_ent_2]],Table1[[#This Row],[my_ent_2]])), 1, 0)</f>
        <v>0</v>
      </c>
    </row>
    <row r="589" spans="1:12" x14ac:dyDescent="0.3">
      <c r="A589" t="s">
        <v>1943</v>
      </c>
      <c r="B589" t="s">
        <v>1944</v>
      </c>
      <c r="C589" t="s">
        <v>1944</v>
      </c>
      <c r="D589" t="s">
        <v>1945</v>
      </c>
      <c r="E589" t="s">
        <v>1946</v>
      </c>
      <c r="F589">
        <v>0</v>
      </c>
      <c r="G589">
        <v>587</v>
      </c>
      <c r="H589">
        <f>IF(Table1[[#This Row],[my_ent_1]]=Table1[[#This Row],[their_ent_1]], 1, 0)</f>
        <v>1</v>
      </c>
      <c r="I589">
        <f>IF(Table1[[#This Row],[my_ent_2]]=Table1[[#This Row],[their_ent_2]], 1, 0)</f>
        <v>0</v>
      </c>
      <c r="J589">
        <f>IF(Table1[[#This Row],[same_1]]=1 &amp; Table1[[#This Row],[same_2]]=1, 1, 0)</f>
        <v>0</v>
      </c>
      <c r="K589">
        <f>IF(ISNUMBER(SEARCH(Table1[[#This Row],[their_ent_1]],Table1[[#This Row],[my_ent_1]])), 1, 0)</f>
        <v>1</v>
      </c>
      <c r="L589">
        <f>IF(ISNUMBER(SEARCH(Table1[[#This Row],[their_ent_2]],Table1[[#This Row],[my_ent_2]])), 1, 0)</f>
        <v>1</v>
      </c>
    </row>
    <row r="590" spans="1:12" x14ac:dyDescent="0.3">
      <c r="A590" t="s">
        <v>1947</v>
      </c>
      <c r="B590" t="s">
        <v>1948</v>
      </c>
      <c r="C590" t="s">
        <v>1949</v>
      </c>
      <c r="D590" t="s">
        <v>1949</v>
      </c>
      <c r="E590" t="s">
        <v>1950</v>
      </c>
      <c r="F590">
        <v>0</v>
      </c>
      <c r="G590">
        <v>588</v>
      </c>
      <c r="H590">
        <f>IF(Table1[[#This Row],[my_ent_1]]=Table1[[#This Row],[their_ent_1]], 1, 0)</f>
        <v>0</v>
      </c>
      <c r="I590">
        <f>IF(Table1[[#This Row],[my_ent_2]]=Table1[[#This Row],[their_ent_2]], 1, 0)</f>
        <v>0</v>
      </c>
      <c r="J590">
        <f>IF(Table1[[#This Row],[same_1]]=1 &amp; Table1[[#This Row],[same_2]]=1, 1, 0)</f>
        <v>0</v>
      </c>
      <c r="K590">
        <f>IF(ISNUMBER(SEARCH(Table1[[#This Row],[their_ent_1]],Table1[[#This Row],[my_ent_1]])), 1, 0)</f>
        <v>0</v>
      </c>
      <c r="L590">
        <f>IF(ISNUMBER(SEARCH(Table1[[#This Row],[their_ent_2]],Table1[[#This Row],[my_ent_2]])), 1, 0)</f>
        <v>0</v>
      </c>
    </row>
    <row r="591" spans="1:12" x14ac:dyDescent="0.3">
      <c r="A591" t="s">
        <v>1951</v>
      </c>
      <c r="B591" t="s">
        <v>44</v>
      </c>
      <c r="C591" t="s">
        <v>1952</v>
      </c>
      <c r="D591" t="s">
        <v>1632</v>
      </c>
      <c r="E591" t="s">
        <v>1023</v>
      </c>
      <c r="F591">
        <v>0</v>
      </c>
      <c r="G591">
        <v>589</v>
      </c>
      <c r="H591">
        <f>IF(Table1[[#This Row],[my_ent_1]]=Table1[[#This Row],[their_ent_1]], 1, 0)</f>
        <v>0</v>
      </c>
      <c r="I591">
        <f>IF(Table1[[#This Row],[my_ent_2]]=Table1[[#This Row],[their_ent_2]], 1, 0)</f>
        <v>0</v>
      </c>
      <c r="J591">
        <f>IF(Table1[[#This Row],[same_1]]=1 &amp; Table1[[#This Row],[same_2]]=1, 1, 0)</f>
        <v>0</v>
      </c>
      <c r="K591">
        <f>IF(ISNUMBER(SEARCH(Table1[[#This Row],[their_ent_1]],Table1[[#This Row],[my_ent_1]])), 1, 0)</f>
        <v>0</v>
      </c>
      <c r="L591">
        <f>IF(ISNUMBER(SEARCH(Table1[[#This Row],[their_ent_2]],Table1[[#This Row],[my_ent_2]])), 1, 0)</f>
        <v>0</v>
      </c>
    </row>
    <row r="592" spans="1:12" x14ac:dyDescent="0.3">
      <c r="A592" t="s">
        <v>1953</v>
      </c>
      <c r="B592" t="s">
        <v>1509</v>
      </c>
      <c r="C592" t="s">
        <v>1510</v>
      </c>
      <c r="D592" t="s">
        <v>381</v>
      </c>
      <c r="E592" t="s">
        <v>381</v>
      </c>
      <c r="F592">
        <v>0</v>
      </c>
      <c r="G592">
        <v>590</v>
      </c>
      <c r="H592">
        <f>IF(Table1[[#This Row],[my_ent_1]]=Table1[[#This Row],[their_ent_1]], 1, 0)</f>
        <v>0</v>
      </c>
      <c r="I592">
        <f>IF(Table1[[#This Row],[my_ent_2]]=Table1[[#This Row],[their_ent_2]], 1, 0)</f>
        <v>1</v>
      </c>
      <c r="J592">
        <f>IF(Table1[[#This Row],[same_1]]=1 &amp; Table1[[#This Row],[same_2]]=1, 1, 0)</f>
        <v>0</v>
      </c>
      <c r="K592">
        <f>IF(ISNUMBER(SEARCH(Table1[[#This Row],[their_ent_1]],Table1[[#This Row],[my_ent_1]])), 1, 0)</f>
        <v>1</v>
      </c>
      <c r="L592">
        <f>IF(ISNUMBER(SEARCH(Table1[[#This Row],[their_ent_2]],Table1[[#This Row],[my_ent_2]])), 1, 0)</f>
        <v>1</v>
      </c>
    </row>
    <row r="593" spans="1:12" x14ac:dyDescent="0.3">
      <c r="A593" t="s">
        <v>1954</v>
      </c>
      <c r="B593" t="s">
        <v>1955</v>
      </c>
      <c r="C593" t="s">
        <v>1956</v>
      </c>
      <c r="D593" t="s">
        <v>1957</v>
      </c>
      <c r="E593" t="s">
        <v>1958</v>
      </c>
      <c r="F593">
        <v>0</v>
      </c>
      <c r="G593">
        <v>591</v>
      </c>
      <c r="H593">
        <f>IF(Table1[[#This Row],[my_ent_1]]=Table1[[#This Row],[their_ent_1]], 1, 0)</f>
        <v>0</v>
      </c>
      <c r="I593">
        <f>IF(Table1[[#This Row],[my_ent_2]]=Table1[[#This Row],[their_ent_2]], 1, 0)</f>
        <v>0</v>
      </c>
      <c r="J593">
        <f>IF(Table1[[#This Row],[same_1]]=1 &amp; Table1[[#This Row],[same_2]]=1, 1, 0)</f>
        <v>0</v>
      </c>
      <c r="K593">
        <f>IF(ISNUMBER(SEARCH(Table1[[#This Row],[their_ent_1]],Table1[[#This Row],[my_ent_1]])), 1, 0)</f>
        <v>0</v>
      </c>
      <c r="L593">
        <f>IF(ISNUMBER(SEARCH(Table1[[#This Row],[their_ent_2]],Table1[[#This Row],[my_ent_2]])), 1, 0)</f>
        <v>0</v>
      </c>
    </row>
    <row r="594" spans="1:12" x14ac:dyDescent="0.3">
      <c r="A594" t="s">
        <v>1959</v>
      </c>
      <c r="B594" t="s">
        <v>1960</v>
      </c>
      <c r="C594" t="s">
        <v>1960</v>
      </c>
      <c r="D594" t="s">
        <v>1961</v>
      </c>
      <c r="E594" t="s">
        <v>1962</v>
      </c>
      <c r="F594">
        <v>0</v>
      </c>
      <c r="G594">
        <v>592</v>
      </c>
      <c r="H594">
        <f>IF(Table1[[#This Row],[my_ent_1]]=Table1[[#This Row],[their_ent_1]], 1, 0)</f>
        <v>1</v>
      </c>
      <c r="I594">
        <f>IF(Table1[[#This Row],[my_ent_2]]=Table1[[#This Row],[their_ent_2]], 1, 0)</f>
        <v>0</v>
      </c>
      <c r="J594">
        <f>IF(Table1[[#This Row],[same_1]]=1 &amp; Table1[[#This Row],[same_2]]=1, 1, 0)</f>
        <v>0</v>
      </c>
      <c r="K594">
        <f>IF(ISNUMBER(SEARCH(Table1[[#This Row],[their_ent_1]],Table1[[#This Row],[my_ent_1]])), 1, 0)</f>
        <v>1</v>
      </c>
      <c r="L594">
        <f>IF(ISNUMBER(SEARCH(Table1[[#This Row],[their_ent_2]],Table1[[#This Row],[my_ent_2]])), 1, 0)</f>
        <v>0</v>
      </c>
    </row>
    <row r="595" spans="1:12" x14ac:dyDescent="0.3">
      <c r="A595" t="s">
        <v>1963</v>
      </c>
      <c r="B595" t="s">
        <v>1093</v>
      </c>
      <c r="C595" t="s">
        <v>513</v>
      </c>
      <c r="D595" t="s">
        <v>1964</v>
      </c>
      <c r="E595" t="s">
        <v>1965</v>
      </c>
      <c r="F595">
        <v>0</v>
      </c>
      <c r="G595">
        <v>593</v>
      </c>
      <c r="H595">
        <f>IF(Table1[[#This Row],[my_ent_1]]=Table1[[#This Row],[their_ent_1]], 1, 0)</f>
        <v>0</v>
      </c>
      <c r="I595">
        <f>IF(Table1[[#This Row],[my_ent_2]]=Table1[[#This Row],[their_ent_2]], 1, 0)</f>
        <v>0</v>
      </c>
      <c r="J595">
        <f>IF(Table1[[#This Row],[same_1]]=1 &amp; Table1[[#This Row],[same_2]]=1, 1, 0)</f>
        <v>0</v>
      </c>
      <c r="K595">
        <f>IF(ISNUMBER(SEARCH(Table1[[#This Row],[their_ent_1]],Table1[[#This Row],[my_ent_1]])), 1, 0)</f>
        <v>0</v>
      </c>
      <c r="L595">
        <f>IF(ISNUMBER(SEARCH(Table1[[#This Row],[their_ent_2]],Table1[[#This Row],[my_ent_2]])), 1, 0)</f>
        <v>1</v>
      </c>
    </row>
    <row r="596" spans="1:12" x14ac:dyDescent="0.3">
      <c r="A596" t="s">
        <v>1966</v>
      </c>
      <c r="B596" t="s">
        <v>20</v>
      </c>
      <c r="C596" t="s">
        <v>407</v>
      </c>
      <c r="D596" t="s">
        <v>1664</v>
      </c>
      <c r="E596" t="s">
        <v>1664</v>
      </c>
      <c r="F596">
        <v>0</v>
      </c>
      <c r="G596">
        <v>594</v>
      </c>
      <c r="H596">
        <f>IF(Table1[[#This Row],[my_ent_1]]=Table1[[#This Row],[their_ent_1]], 1, 0)</f>
        <v>0</v>
      </c>
      <c r="I596">
        <f>IF(Table1[[#This Row],[my_ent_2]]=Table1[[#This Row],[their_ent_2]], 1, 0)</f>
        <v>1</v>
      </c>
      <c r="J596">
        <f>IF(Table1[[#This Row],[same_1]]=1 &amp; Table1[[#This Row],[same_2]]=1, 1, 0)</f>
        <v>0</v>
      </c>
      <c r="K596">
        <f>IF(ISNUMBER(SEARCH(Table1[[#This Row],[their_ent_1]],Table1[[#This Row],[my_ent_1]])), 1, 0)</f>
        <v>0</v>
      </c>
      <c r="L596">
        <f>IF(ISNUMBER(SEARCH(Table1[[#This Row],[their_ent_2]],Table1[[#This Row],[my_ent_2]])), 1, 0)</f>
        <v>1</v>
      </c>
    </row>
    <row r="597" spans="1:12" x14ac:dyDescent="0.3">
      <c r="A597" t="s">
        <v>1967</v>
      </c>
      <c r="B597" t="s">
        <v>1968</v>
      </c>
      <c r="C597" t="s">
        <v>1969</v>
      </c>
      <c r="D597" t="s">
        <v>1970</v>
      </c>
      <c r="E597" t="s">
        <v>1970</v>
      </c>
      <c r="F597">
        <v>0</v>
      </c>
      <c r="G597">
        <v>595</v>
      </c>
      <c r="H597">
        <f>IF(Table1[[#This Row],[my_ent_1]]=Table1[[#This Row],[their_ent_1]], 1, 0)</f>
        <v>0</v>
      </c>
      <c r="I597">
        <f>IF(Table1[[#This Row],[my_ent_2]]=Table1[[#This Row],[their_ent_2]], 1, 0)</f>
        <v>1</v>
      </c>
      <c r="J597">
        <f>IF(Table1[[#This Row],[same_1]]=1 &amp; Table1[[#This Row],[same_2]]=1, 1, 0)</f>
        <v>0</v>
      </c>
      <c r="K597">
        <f>IF(ISNUMBER(SEARCH(Table1[[#This Row],[their_ent_1]],Table1[[#This Row],[my_ent_1]])), 1, 0)</f>
        <v>1</v>
      </c>
      <c r="L597">
        <f>IF(ISNUMBER(SEARCH(Table1[[#This Row],[their_ent_2]],Table1[[#This Row],[my_ent_2]])), 1, 0)</f>
        <v>1</v>
      </c>
    </row>
    <row r="598" spans="1:12" x14ac:dyDescent="0.3">
      <c r="A598" t="s">
        <v>1971</v>
      </c>
      <c r="B598" t="s">
        <v>678</v>
      </c>
      <c r="C598" t="s">
        <v>1972</v>
      </c>
      <c r="D598" t="s">
        <v>1628</v>
      </c>
      <c r="E598" t="s">
        <v>1973</v>
      </c>
      <c r="F598">
        <v>0</v>
      </c>
      <c r="G598">
        <v>596</v>
      </c>
      <c r="H598">
        <f>IF(Table1[[#This Row],[my_ent_1]]=Table1[[#This Row],[their_ent_1]], 1, 0)</f>
        <v>0</v>
      </c>
      <c r="I598">
        <f>IF(Table1[[#This Row],[my_ent_2]]=Table1[[#This Row],[their_ent_2]], 1, 0)</f>
        <v>0</v>
      </c>
      <c r="J598">
        <f>IF(Table1[[#This Row],[same_1]]=1 &amp; Table1[[#This Row],[same_2]]=1, 1, 0)</f>
        <v>0</v>
      </c>
      <c r="K598">
        <f>IF(ISNUMBER(SEARCH(Table1[[#This Row],[their_ent_1]],Table1[[#This Row],[my_ent_1]])), 1, 0)</f>
        <v>0</v>
      </c>
      <c r="L598">
        <f>IF(ISNUMBER(SEARCH(Table1[[#This Row],[their_ent_2]],Table1[[#This Row],[my_ent_2]])), 1, 0)</f>
        <v>0</v>
      </c>
    </row>
    <row r="599" spans="1:12" x14ac:dyDescent="0.3">
      <c r="A599" t="s">
        <v>1974</v>
      </c>
      <c r="B599" t="s">
        <v>1975</v>
      </c>
      <c r="C599" t="s">
        <v>1510</v>
      </c>
      <c r="D599" t="s">
        <v>1976</v>
      </c>
      <c r="E599" t="s">
        <v>1976</v>
      </c>
      <c r="F599">
        <v>0</v>
      </c>
      <c r="G599">
        <v>597</v>
      </c>
      <c r="H599">
        <f>IF(Table1[[#This Row],[my_ent_1]]=Table1[[#This Row],[their_ent_1]], 1, 0)</f>
        <v>0</v>
      </c>
      <c r="I599">
        <f>IF(Table1[[#This Row],[my_ent_2]]=Table1[[#This Row],[their_ent_2]], 1, 0)</f>
        <v>1</v>
      </c>
      <c r="J599">
        <f>IF(Table1[[#This Row],[same_1]]=1 &amp; Table1[[#This Row],[same_2]]=1, 1, 0)</f>
        <v>0</v>
      </c>
      <c r="K599">
        <f>IF(ISNUMBER(SEARCH(Table1[[#This Row],[their_ent_1]],Table1[[#This Row],[my_ent_1]])), 1, 0)</f>
        <v>0</v>
      </c>
      <c r="L599">
        <f>IF(ISNUMBER(SEARCH(Table1[[#This Row],[their_ent_2]],Table1[[#This Row],[my_ent_2]])), 1, 0)</f>
        <v>1</v>
      </c>
    </row>
    <row r="600" spans="1:12" x14ac:dyDescent="0.3">
      <c r="A600" t="s">
        <v>1977</v>
      </c>
      <c r="B600" t="s">
        <v>173</v>
      </c>
      <c r="C600" t="s">
        <v>494</v>
      </c>
      <c r="D600" t="s">
        <v>1978</v>
      </c>
      <c r="E600" t="s">
        <v>173</v>
      </c>
      <c r="F600">
        <v>0</v>
      </c>
      <c r="G600">
        <v>598</v>
      </c>
      <c r="H600">
        <f>IF(Table1[[#This Row],[my_ent_1]]=Table1[[#This Row],[their_ent_1]], 1, 0)</f>
        <v>0</v>
      </c>
      <c r="I600">
        <f>IF(Table1[[#This Row],[my_ent_2]]=Table1[[#This Row],[their_ent_2]], 1, 0)</f>
        <v>0</v>
      </c>
      <c r="J600">
        <f>IF(Table1[[#This Row],[same_1]]=1 &amp; Table1[[#This Row],[same_2]]=1, 1, 0)</f>
        <v>0</v>
      </c>
      <c r="K600">
        <f>IF(ISNUMBER(SEARCH(Table1[[#This Row],[their_ent_1]],Table1[[#This Row],[my_ent_1]])), 1, 0)</f>
        <v>0</v>
      </c>
      <c r="L600">
        <f>IF(ISNUMBER(SEARCH(Table1[[#This Row],[their_ent_2]],Table1[[#This Row],[my_ent_2]])), 1, 0)</f>
        <v>0</v>
      </c>
    </row>
    <row r="601" spans="1:12" x14ac:dyDescent="0.3">
      <c r="A601" t="s">
        <v>1979</v>
      </c>
      <c r="B601" t="s">
        <v>1980</v>
      </c>
      <c r="C601" t="s">
        <v>1981</v>
      </c>
      <c r="D601" t="s">
        <v>1981</v>
      </c>
      <c r="E601" t="s">
        <v>1843</v>
      </c>
      <c r="F601">
        <v>0</v>
      </c>
      <c r="G601">
        <v>599</v>
      </c>
      <c r="H601">
        <f>IF(Table1[[#This Row],[my_ent_1]]=Table1[[#This Row],[their_ent_1]], 1, 0)</f>
        <v>0</v>
      </c>
      <c r="I601">
        <f>IF(Table1[[#This Row],[my_ent_2]]=Table1[[#This Row],[their_ent_2]], 1, 0)</f>
        <v>0</v>
      </c>
      <c r="J601">
        <f>IF(Table1[[#This Row],[same_1]]=1 &amp; Table1[[#This Row],[same_2]]=1, 1, 0)</f>
        <v>0</v>
      </c>
      <c r="K601">
        <f>IF(ISNUMBER(SEARCH(Table1[[#This Row],[their_ent_1]],Table1[[#This Row],[my_ent_1]])), 1, 0)</f>
        <v>0</v>
      </c>
      <c r="L601">
        <f>IF(ISNUMBER(SEARCH(Table1[[#This Row],[their_ent_2]],Table1[[#This Row],[my_ent_2]])), 1, 0)</f>
        <v>0</v>
      </c>
    </row>
    <row r="602" spans="1:12" x14ac:dyDescent="0.3">
      <c r="A602" t="s">
        <v>1982</v>
      </c>
      <c r="B602" t="s">
        <v>241</v>
      </c>
      <c r="C602" t="s">
        <v>241</v>
      </c>
      <c r="D602" t="s">
        <v>51</v>
      </c>
      <c r="E602" t="s">
        <v>1983</v>
      </c>
      <c r="F602">
        <v>0</v>
      </c>
      <c r="G602">
        <v>600</v>
      </c>
      <c r="H602">
        <f>IF(Table1[[#This Row],[my_ent_1]]=Table1[[#This Row],[their_ent_1]], 1, 0)</f>
        <v>1</v>
      </c>
      <c r="I602">
        <f>IF(Table1[[#This Row],[my_ent_2]]=Table1[[#This Row],[their_ent_2]], 1, 0)</f>
        <v>0</v>
      </c>
      <c r="J602">
        <f>IF(Table1[[#This Row],[same_1]]=1 &amp; Table1[[#This Row],[same_2]]=1, 1, 0)</f>
        <v>0</v>
      </c>
      <c r="K602">
        <f>IF(ISNUMBER(SEARCH(Table1[[#This Row],[their_ent_1]],Table1[[#This Row],[my_ent_1]])), 1, 0)</f>
        <v>1</v>
      </c>
      <c r="L602">
        <f>IF(ISNUMBER(SEARCH(Table1[[#This Row],[their_ent_2]],Table1[[#This Row],[my_ent_2]])), 1, 0)</f>
        <v>0</v>
      </c>
    </row>
    <row r="603" spans="1:12" x14ac:dyDescent="0.3">
      <c r="A603" t="s">
        <v>1984</v>
      </c>
      <c r="B603" t="s">
        <v>44</v>
      </c>
      <c r="C603" t="s">
        <v>1985</v>
      </c>
      <c r="D603" t="s">
        <v>28</v>
      </c>
      <c r="E603" t="s">
        <v>1986</v>
      </c>
      <c r="F603">
        <v>0</v>
      </c>
      <c r="G603">
        <v>601</v>
      </c>
      <c r="H603">
        <f>IF(Table1[[#This Row],[my_ent_1]]=Table1[[#This Row],[their_ent_1]], 1, 0)</f>
        <v>0</v>
      </c>
      <c r="I603">
        <f>IF(Table1[[#This Row],[my_ent_2]]=Table1[[#This Row],[their_ent_2]], 1, 0)</f>
        <v>0</v>
      </c>
      <c r="J603">
        <f>IF(Table1[[#This Row],[same_1]]=1 &amp; Table1[[#This Row],[same_2]]=1, 1, 0)</f>
        <v>0</v>
      </c>
      <c r="K603">
        <f>IF(ISNUMBER(SEARCH(Table1[[#This Row],[their_ent_1]],Table1[[#This Row],[my_ent_1]])), 1, 0)</f>
        <v>0</v>
      </c>
      <c r="L603">
        <f>IF(ISNUMBER(SEARCH(Table1[[#This Row],[their_ent_2]],Table1[[#This Row],[my_ent_2]])), 1, 0)</f>
        <v>0</v>
      </c>
    </row>
    <row r="604" spans="1:12" x14ac:dyDescent="0.3">
      <c r="A604" t="s">
        <v>1987</v>
      </c>
      <c r="B604" t="s">
        <v>1988</v>
      </c>
      <c r="C604" t="s">
        <v>1989</v>
      </c>
      <c r="D604" t="s">
        <v>1990</v>
      </c>
      <c r="E604" t="s">
        <v>1991</v>
      </c>
      <c r="F604">
        <v>0</v>
      </c>
      <c r="G604">
        <v>602</v>
      </c>
      <c r="H604">
        <f>IF(Table1[[#This Row],[my_ent_1]]=Table1[[#This Row],[their_ent_1]], 1, 0)</f>
        <v>0</v>
      </c>
      <c r="I604">
        <f>IF(Table1[[#This Row],[my_ent_2]]=Table1[[#This Row],[their_ent_2]], 1, 0)</f>
        <v>0</v>
      </c>
      <c r="J604">
        <f>IF(Table1[[#This Row],[same_1]]=1 &amp; Table1[[#This Row],[same_2]]=1, 1, 0)</f>
        <v>0</v>
      </c>
      <c r="K604">
        <f>IF(ISNUMBER(SEARCH(Table1[[#This Row],[their_ent_1]],Table1[[#This Row],[my_ent_1]])), 1, 0)</f>
        <v>0</v>
      </c>
      <c r="L604">
        <f>IF(ISNUMBER(SEARCH(Table1[[#This Row],[their_ent_2]],Table1[[#This Row],[my_ent_2]])), 1, 0)</f>
        <v>0</v>
      </c>
    </row>
    <row r="605" spans="1:12" x14ac:dyDescent="0.3">
      <c r="A605" t="s">
        <v>1992</v>
      </c>
      <c r="B605" t="s">
        <v>1993</v>
      </c>
      <c r="C605" t="s">
        <v>1994</v>
      </c>
      <c r="D605" t="s">
        <v>900</v>
      </c>
      <c r="E605" t="s">
        <v>1995</v>
      </c>
      <c r="F605">
        <v>0</v>
      </c>
      <c r="G605">
        <v>603</v>
      </c>
      <c r="H605">
        <f>IF(Table1[[#This Row],[my_ent_1]]=Table1[[#This Row],[their_ent_1]], 1, 0)</f>
        <v>0</v>
      </c>
      <c r="I605">
        <f>IF(Table1[[#This Row],[my_ent_2]]=Table1[[#This Row],[their_ent_2]], 1, 0)</f>
        <v>0</v>
      </c>
      <c r="J605">
        <f>IF(Table1[[#This Row],[same_1]]=1 &amp; Table1[[#This Row],[same_2]]=1, 1, 0)</f>
        <v>0</v>
      </c>
      <c r="K605">
        <f>IF(ISNUMBER(SEARCH(Table1[[#This Row],[their_ent_1]],Table1[[#This Row],[my_ent_1]])), 1, 0)</f>
        <v>0</v>
      </c>
      <c r="L605">
        <f>IF(ISNUMBER(SEARCH(Table1[[#This Row],[their_ent_2]],Table1[[#This Row],[my_ent_2]])), 1, 0)</f>
        <v>0</v>
      </c>
    </row>
    <row r="606" spans="1:12" x14ac:dyDescent="0.3">
      <c r="A606" t="s">
        <v>1996</v>
      </c>
      <c r="B606" t="s">
        <v>1997</v>
      </c>
      <c r="C606" t="s">
        <v>271</v>
      </c>
      <c r="D606" t="s">
        <v>1998</v>
      </c>
      <c r="E606" t="s">
        <v>1998</v>
      </c>
      <c r="F606">
        <v>0</v>
      </c>
      <c r="G606">
        <v>604</v>
      </c>
      <c r="H606">
        <f>IF(Table1[[#This Row],[my_ent_1]]=Table1[[#This Row],[their_ent_1]], 1, 0)</f>
        <v>0</v>
      </c>
      <c r="I606">
        <f>IF(Table1[[#This Row],[my_ent_2]]=Table1[[#This Row],[their_ent_2]], 1, 0)</f>
        <v>1</v>
      </c>
      <c r="J606">
        <f>IF(Table1[[#This Row],[same_1]]=1 &amp; Table1[[#This Row],[same_2]]=1, 1, 0)</f>
        <v>0</v>
      </c>
      <c r="K606">
        <f>IF(ISNUMBER(SEARCH(Table1[[#This Row],[their_ent_1]],Table1[[#This Row],[my_ent_1]])), 1, 0)</f>
        <v>1</v>
      </c>
      <c r="L606">
        <f>IF(ISNUMBER(SEARCH(Table1[[#This Row],[their_ent_2]],Table1[[#This Row],[my_ent_2]])), 1, 0)</f>
        <v>1</v>
      </c>
    </row>
    <row r="607" spans="1:12" x14ac:dyDescent="0.3">
      <c r="A607" t="s">
        <v>1999</v>
      </c>
      <c r="B607" t="s">
        <v>2000</v>
      </c>
      <c r="C607" t="s">
        <v>2000</v>
      </c>
      <c r="D607" t="s">
        <v>2001</v>
      </c>
      <c r="E607" t="s">
        <v>2002</v>
      </c>
      <c r="F607">
        <v>0</v>
      </c>
      <c r="G607">
        <v>605</v>
      </c>
      <c r="H607">
        <f>IF(Table1[[#This Row],[my_ent_1]]=Table1[[#This Row],[their_ent_1]], 1, 0)</f>
        <v>1</v>
      </c>
      <c r="I607">
        <f>IF(Table1[[#This Row],[my_ent_2]]=Table1[[#This Row],[their_ent_2]], 1, 0)</f>
        <v>0</v>
      </c>
      <c r="J607">
        <f>IF(Table1[[#This Row],[same_1]]=1 &amp; Table1[[#This Row],[same_2]]=1, 1, 0)</f>
        <v>0</v>
      </c>
      <c r="K607">
        <f>IF(ISNUMBER(SEARCH(Table1[[#This Row],[their_ent_1]],Table1[[#This Row],[my_ent_1]])), 1, 0)</f>
        <v>1</v>
      </c>
      <c r="L607">
        <f>IF(ISNUMBER(SEARCH(Table1[[#This Row],[their_ent_2]],Table1[[#This Row],[my_ent_2]])), 1, 0)</f>
        <v>0</v>
      </c>
    </row>
    <row r="608" spans="1:12" x14ac:dyDescent="0.3">
      <c r="A608" t="s">
        <v>2003</v>
      </c>
      <c r="B608" t="s">
        <v>2004</v>
      </c>
      <c r="C608" t="s">
        <v>2005</v>
      </c>
      <c r="D608" t="s">
        <v>2006</v>
      </c>
      <c r="E608" t="s">
        <v>2006</v>
      </c>
      <c r="F608">
        <v>0</v>
      </c>
      <c r="G608">
        <v>606</v>
      </c>
      <c r="H608">
        <f>IF(Table1[[#This Row],[my_ent_1]]=Table1[[#This Row],[their_ent_1]], 1, 0)</f>
        <v>0</v>
      </c>
      <c r="I608">
        <f>IF(Table1[[#This Row],[my_ent_2]]=Table1[[#This Row],[their_ent_2]], 1, 0)</f>
        <v>1</v>
      </c>
      <c r="J608">
        <f>IF(Table1[[#This Row],[same_1]]=1 &amp; Table1[[#This Row],[same_2]]=1, 1, 0)</f>
        <v>0</v>
      </c>
      <c r="K608">
        <f>IF(ISNUMBER(SEARCH(Table1[[#This Row],[their_ent_1]],Table1[[#This Row],[my_ent_1]])), 1, 0)</f>
        <v>0</v>
      </c>
      <c r="L608">
        <f>IF(ISNUMBER(SEARCH(Table1[[#This Row],[their_ent_2]],Table1[[#This Row],[my_ent_2]])), 1, 0)</f>
        <v>1</v>
      </c>
    </row>
    <row r="609" spans="1:12" x14ac:dyDescent="0.3">
      <c r="A609" t="s">
        <v>2007</v>
      </c>
      <c r="B609" t="s">
        <v>202</v>
      </c>
      <c r="C609" t="s">
        <v>353</v>
      </c>
      <c r="D609" t="s">
        <v>2008</v>
      </c>
      <c r="E609" t="s">
        <v>2009</v>
      </c>
      <c r="F609">
        <v>0</v>
      </c>
      <c r="G609">
        <v>607</v>
      </c>
      <c r="H609">
        <f>IF(Table1[[#This Row],[my_ent_1]]=Table1[[#This Row],[their_ent_1]], 1, 0)</f>
        <v>0</v>
      </c>
      <c r="I609">
        <f>IF(Table1[[#This Row],[my_ent_2]]=Table1[[#This Row],[their_ent_2]], 1, 0)</f>
        <v>0</v>
      </c>
      <c r="J609">
        <f>IF(Table1[[#This Row],[same_1]]=1 &amp; Table1[[#This Row],[same_2]]=1, 1, 0)</f>
        <v>0</v>
      </c>
      <c r="K609">
        <f>IF(ISNUMBER(SEARCH(Table1[[#This Row],[their_ent_1]],Table1[[#This Row],[my_ent_1]])), 1, 0)</f>
        <v>1</v>
      </c>
      <c r="L609">
        <f>IF(ISNUMBER(SEARCH(Table1[[#This Row],[their_ent_2]],Table1[[#This Row],[my_ent_2]])), 1, 0)</f>
        <v>1</v>
      </c>
    </row>
    <row r="610" spans="1:12" x14ac:dyDescent="0.3">
      <c r="A610" t="s">
        <v>2010</v>
      </c>
      <c r="B610" t="s">
        <v>2011</v>
      </c>
      <c r="C610" t="s">
        <v>2012</v>
      </c>
      <c r="D610" t="s">
        <v>2013</v>
      </c>
      <c r="E610" t="s">
        <v>2014</v>
      </c>
      <c r="F610">
        <v>0</v>
      </c>
      <c r="G610">
        <v>608</v>
      </c>
      <c r="H610">
        <f>IF(Table1[[#This Row],[my_ent_1]]=Table1[[#This Row],[their_ent_1]], 1, 0)</f>
        <v>0</v>
      </c>
      <c r="I610">
        <f>IF(Table1[[#This Row],[my_ent_2]]=Table1[[#This Row],[their_ent_2]], 1, 0)</f>
        <v>0</v>
      </c>
      <c r="J610">
        <f>IF(Table1[[#This Row],[same_1]]=1 &amp; Table1[[#This Row],[same_2]]=1, 1, 0)</f>
        <v>0</v>
      </c>
      <c r="K610">
        <f>IF(ISNUMBER(SEARCH(Table1[[#This Row],[their_ent_1]],Table1[[#This Row],[my_ent_1]])), 1, 0)</f>
        <v>1</v>
      </c>
      <c r="L610">
        <f>IF(ISNUMBER(SEARCH(Table1[[#This Row],[their_ent_2]],Table1[[#This Row],[my_ent_2]])), 1, 0)</f>
        <v>1</v>
      </c>
    </row>
    <row r="611" spans="1:12" x14ac:dyDescent="0.3">
      <c r="A611" t="s">
        <v>2015</v>
      </c>
      <c r="B611" t="s">
        <v>2016</v>
      </c>
      <c r="C611" t="s">
        <v>2016</v>
      </c>
      <c r="D611" t="s">
        <v>59</v>
      </c>
      <c r="E611" t="s">
        <v>2017</v>
      </c>
      <c r="F611">
        <v>0</v>
      </c>
      <c r="G611">
        <v>609</v>
      </c>
      <c r="H611">
        <f>IF(Table1[[#This Row],[my_ent_1]]=Table1[[#This Row],[their_ent_1]], 1, 0)</f>
        <v>1</v>
      </c>
      <c r="I611">
        <f>IF(Table1[[#This Row],[my_ent_2]]=Table1[[#This Row],[their_ent_2]], 1, 0)</f>
        <v>0</v>
      </c>
      <c r="J611">
        <f>IF(Table1[[#This Row],[same_1]]=1 &amp; Table1[[#This Row],[same_2]]=1, 1, 0)</f>
        <v>0</v>
      </c>
      <c r="K611">
        <f>IF(ISNUMBER(SEARCH(Table1[[#This Row],[their_ent_1]],Table1[[#This Row],[my_ent_1]])), 1, 0)</f>
        <v>1</v>
      </c>
      <c r="L611">
        <f>IF(ISNUMBER(SEARCH(Table1[[#This Row],[their_ent_2]],Table1[[#This Row],[my_ent_2]])), 1, 0)</f>
        <v>0</v>
      </c>
    </row>
    <row r="612" spans="1:12" x14ac:dyDescent="0.3">
      <c r="A612" t="s">
        <v>2018</v>
      </c>
      <c r="B612" t="s">
        <v>2019</v>
      </c>
      <c r="C612" t="s">
        <v>451</v>
      </c>
      <c r="D612" t="s">
        <v>2020</v>
      </c>
      <c r="E612" t="s">
        <v>392</v>
      </c>
      <c r="F612">
        <v>0</v>
      </c>
      <c r="G612">
        <v>610</v>
      </c>
      <c r="H612">
        <f>IF(Table1[[#This Row],[my_ent_1]]=Table1[[#This Row],[their_ent_1]], 1, 0)</f>
        <v>0</v>
      </c>
      <c r="I612">
        <f>IF(Table1[[#This Row],[my_ent_2]]=Table1[[#This Row],[their_ent_2]], 1, 0)</f>
        <v>0</v>
      </c>
      <c r="J612">
        <f>IF(Table1[[#This Row],[same_1]]=1 &amp; Table1[[#This Row],[same_2]]=1, 1, 0)</f>
        <v>0</v>
      </c>
      <c r="K612">
        <f>IF(ISNUMBER(SEARCH(Table1[[#This Row],[their_ent_1]],Table1[[#This Row],[my_ent_1]])), 1, 0)</f>
        <v>0</v>
      </c>
      <c r="L612">
        <f>IF(ISNUMBER(SEARCH(Table1[[#This Row],[their_ent_2]],Table1[[#This Row],[my_ent_2]])), 1, 0)</f>
        <v>0</v>
      </c>
    </row>
    <row r="613" spans="1:12" x14ac:dyDescent="0.3">
      <c r="A613" t="s">
        <v>2021</v>
      </c>
      <c r="B613" t="s">
        <v>175</v>
      </c>
      <c r="C613" t="s">
        <v>176</v>
      </c>
      <c r="D613" t="s">
        <v>450</v>
      </c>
      <c r="E613" t="s">
        <v>2022</v>
      </c>
      <c r="F613">
        <v>0</v>
      </c>
      <c r="G613">
        <v>611</v>
      </c>
      <c r="H613">
        <f>IF(Table1[[#This Row],[my_ent_1]]=Table1[[#This Row],[their_ent_1]], 1, 0)</f>
        <v>0</v>
      </c>
      <c r="I613">
        <f>IF(Table1[[#This Row],[my_ent_2]]=Table1[[#This Row],[their_ent_2]], 1, 0)</f>
        <v>0</v>
      </c>
      <c r="J613">
        <f>IF(Table1[[#This Row],[same_1]]=1 &amp; Table1[[#This Row],[same_2]]=1, 1, 0)</f>
        <v>0</v>
      </c>
      <c r="K613">
        <f>IF(ISNUMBER(SEARCH(Table1[[#This Row],[their_ent_1]],Table1[[#This Row],[my_ent_1]])), 1, 0)</f>
        <v>1</v>
      </c>
      <c r="L613">
        <f>IF(ISNUMBER(SEARCH(Table1[[#This Row],[their_ent_2]],Table1[[#This Row],[my_ent_2]])), 1, 0)</f>
        <v>0</v>
      </c>
    </row>
    <row r="614" spans="1:12" x14ac:dyDescent="0.3">
      <c r="A614" t="s">
        <v>2023</v>
      </c>
      <c r="B614" t="s">
        <v>2024</v>
      </c>
      <c r="C614" t="s">
        <v>2025</v>
      </c>
      <c r="D614" t="s">
        <v>2026</v>
      </c>
      <c r="E614" t="s">
        <v>2027</v>
      </c>
      <c r="F614">
        <v>0</v>
      </c>
      <c r="G614">
        <v>612</v>
      </c>
      <c r="H614">
        <f>IF(Table1[[#This Row],[my_ent_1]]=Table1[[#This Row],[their_ent_1]], 1, 0)</f>
        <v>0</v>
      </c>
      <c r="I614">
        <f>IF(Table1[[#This Row],[my_ent_2]]=Table1[[#This Row],[their_ent_2]], 1, 0)</f>
        <v>0</v>
      </c>
      <c r="J614">
        <f>IF(Table1[[#This Row],[same_1]]=1 &amp; Table1[[#This Row],[same_2]]=1, 1, 0)</f>
        <v>0</v>
      </c>
      <c r="K614">
        <f>IF(ISNUMBER(SEARCH(Table1[[#This Row],[their_ent_1]],Table1[[#This Row],[my_ent_1]])), 1, 0)</f>
        <v>1</v>
      </c>
      <c r="L614">
        <f>IF(ISNUMBER(SEARCH(Table1[[#This Row],[their_ent_2]],Table1[[#This Row],[my_ent_2]])), 1, 0)</f>
        <v>0</v>
      </c>
    </row>
    <row r="615" spans="1:12" x14ac:dyDescent="0.3">
      <c r="A615" t="s">
        <v>2028</v>
      </c>
      <c r="B615" t="s">
        <v>2029</v>
      </c>
      <c r="C615" t="s">
        <v>1434</v>
      </c>
      <c r="D615" t="s">
        <v>2030</v>
      </c>
      <c r="E615" t="s">
        <v>2031</v>
      </c>
      <c r="F615">
        <v>0</v>
      </c>
      <c r="G615">
        <v>613</v>
      </c>
      <c r="H615">
        <f>IF(Table1[[#This Row],[my_ent_1]]=Table1[[#This Row],[their_ent_1]], 1, 0)</f>
        <v>0</v>
      </c>
      <c r="I615">
        <f>IF(Table1[[#This Row],[my_ent_2]]=Table1[[#This Row],[their_ent_2]], 1, 0)</f>
        <v>0</v>
      </c>
      <c r="J615">
        <f>IF(Table1[[#This Row],[same_1]]=1 &amp; Table1[[#This Row],[same_2]]=1, 1, 0)</f>
        <v>0</v>
      </c>
      <c r="K615">
        <f>IF(ISNUMBER(SEARCH(Table1[[#This Row],[their_ent_1]],Table1[[#This Row],[my_ent_1]])), 1, 0)</f>
        <v>0</v>
      </c>
      <c r="L615">
        <f>IF(ISNUMBER(SEARCH(Table1[[#This Row],[their_ent_2]],Table1[[#This Row],[my_ent_2]])), 1, 0)</f>
        <v>0</v>
      </c>
    </row>
    <row r="616" spans="1:12" x14ac:dyDescent="0.3">
      <c r="A616" t="s">
        <v>2032</v>
      </c>
      <c r="B616" t="s">
        <v>51</v>
      </c>
      <c r="C616" t="s">
        <v>2033</v>
      </c>
      <c r="D616" t="s">
        <v>1980</v>
      </c>
      <c r="E616" t="s">
        <v>2034</v>
      </c>
      <c r="F616">
        <v>0</v>
      </c>
      <c r="G616">
        <v>614</v>
      </c>
      <c r="H616">
        <f>IF(Table1[[#This Row],[my_ent_1]]=Table1[[#This Row],[their_ent_1]], 1, 0)</f>
        <v>0</v>
      </c>
      <c r="I616">
        <f>IF(Table1[[#This Row],[my_ent_2]]=Table1[[#This Row],[their_ent_2]], 1, 0)</f>
        <v>0</v>
      </c>
      <c r="J616">
        <f>IF(Table1[[#This Row],[same_1]]=1 &amp; Table1[[#This Row],[same_2]]=1, 1, 0)</f>
        <v>0</v>
      </c>
      <c r="K616">
        <f>IF(ISNUMBER(SEARCH(Table1[[#This Row],[their_ent_1]],Table1[[#This Row],[my_ent_1]])), 1, 0)</f>
        <v>0</v>
      </c>
      <c r="L616">
        <f>IF(ISNUMBER(SEARCH(Table1[[#This Row],[their_ent_2]],Table1[[#This Row],[my_ent_2]])), 1, 0)</f>
        <v>0</v>
      </c>
    </row>
    <row r="617" spans="1:12" x14ac:dyDescent="0.3">
      <c r="A617" t="s">
        <v>2035</v>
      </c>
      <c r="B617" t="s">
        <v>2036</v>
      </c>
      <c r="C617" t="s">
        <v>353</v>
      </c>
      <c r="D617" t="s">
        <v>2037</v>
      </c>
      <c r="E617" t="s">
        <v>725</v>
      </c>
      <c r="F617">
        <v>0</v>
      </c>
      <c r="G617">
        <v>615</v>
      </c>
      <c r="H617">
        <f>IF(Table1[[#This Row],[my_ent_1]]=Table1[[#This Row],[their_ent_1]], 1, 0)</f>
        <v>0</v>
      </c>
      <c r="I617">
        <f>IF(Table1[[#This Row],[my_ent_2]]=Table1[[#This Row],[their_ent_2]], 1, 0)</f>
        <v>0</v>
      </c>
      <c r="J617">
        <f>IF(Table1[[#This Row],[same_1]]=1 &amp; Table1[[#This Row],[same_2]]=1, 1, 0)</f>
        <v>0</v>
      </c>
      <c r="K617">
        <f>IF(ISNUMBER(SEARCH(Table1[[#This Row],[their_ent_1]],Table1[[#This Row],[my_ent_1]])), 1, 0)</f>
        <v>0</v>
      </c>
      <c r="L617">
        <f>IF(ISNUMBER(SEARCH(Table1[[#This Row],[their_ent_2]],Table1[[#This Row],[my_ent_2]])), 1, 0)</f>
        <v>0</v>
      </c>
    </row>
    <row r="618" spans="1:12" x14ac:dyDescent="0.3">
      <c r="A618" t="s">
        <v>2038</v>
      </c>
      <c r="B618" t="s">
        <v>2039</v>
      </c>
      <c r="C618" t="s">
        <v>2039</v>
      </c>
      <c r="D618" t="s">
        <v>2040</v>
      </c>
      <c r="E618" t="s">
        <v>2041</v>
      </c>
      <c r="F618">
        <v>0</v>
      </c>
      <c r="G618">
        <v>616</v>
      </c>
      <c r="H618">
        <f>IF(Table1[[#This Row],[my_ent_1]]=Table1[[#This Row],[their_ent_1]], 1, 0)</f>
        <v>1</v>
      </c>
      <c r="I618">
        <f>IF(Table1[[#This Row],[my_ent_2]]=Table1[[#This Row],[their_ent_2]], 1, 0)</f>
        <v>0</v>
      </c>
      <c r="J618">
        <f>IF(Table1[[#This Row],[same_1]]=1 &amp; Table1[[#This Row],[same_2]]=1, 1, 0)</f>
        <v>0</v>
      </c>
      <c r="K618">
        <f>IF(ISNUMBER(SEARCH(Table1[[#This Row],[their_ent_1]],Table1[[#This Row],[my_ent_1]])), 1, 0)</f>
        <v>1</v>
      </c>
      <c r="L618">
        <f>IF(ISNUMBER(SEARCH(Table1[[#This Row],[their_ent_2]],Table1[[#This Row],[my_ent_2]])), 1, 0)</f>
        <v>0</v>
      </c>
    </row>
    <row r="619" spans="1:12" x14ac:dyDescent="0.3">
      <c r="A619" t="s">
        <v>2042</v>
      </c>
      <c r="B619" t="s">
        <v>2043</v>
      </c>
      <c r="C619" t="s">
        <v>2044</v>
      </c>
      <c r="D619" t="s">
        <v>2045</v>
      </c>
      <c r="E619" t="s">
        <v>2046</v>
      </c>
      <c r="F619">
        <v>0</v>
      </c>
      <c r="G619">
        <v>617</v>
      </c>
      <c r="H619">
        <f>IF(Table1[[#This Row],[my_ent_1]]=Table1[[#This Row],[their_ent_1]], 1, 0)</f>
        <v>0</v>
      </c>
      <c r="I619">
        <f>IF(Table1[[#This Row],[my_ent_2]]=Table1[[#This Row],[their_ent_2]], 1, 0)</f>
        <v>0</v>
      </c>
      <c r="J619">
        <f>IF(Table1[[#This Row],[same_1]]=1 &amp; Table1[[#This Row],[same_2]]=1, 1, 0)</f>
        <v>0</v>
      </c>
      <c r="K619">
        <f>IF(ISNUMBER(SEARCH(Table1[[#This Row],[their_ent_1]],Table1[[#This Row],[my_ent_1]])), 1, 0)</f>
        <v>1</v>
      </c>
      <c r="L619">
        <f>IF(ISNUMBER(SEARCH(Table1[[#This Row],[their_ent_2]],Table1[[#This Row],[my_ent_2]])), 1, 0)</f>
        <v>0</v>
      </c>
    </row>
    <row r="620" spans="1:12" x14ac:dyDescent="0.3">
      <c r="A620" t="s">
        <v>2047</v>
      </c>
      <c r="B620" t="s">
        <v>2048</v>
      </c>
      <c r="C620" t="s">
        <v>2049</v>
      </c>
      <c r="D620" t="s">
        <v>2050</v>
      </c>
      <c r="E620" t="s">
        <v>2051</v>
      </c>
      <c r="F620">
        <v>0</v>
      </c>
      <c r="G620">
        <v>618</v>
      </c>
      <c r="H620">
        <f>IF(Table1[[#This Row],[my_ent_1]]=Table1[[#This Row],[their_ent_1]], 1, 0)</f>
        <v>0</v>
      </c>
      <c r="I620">
        <f>IF(Table1[[#This Row],[my_ent_2]]=Table1[[#This Row],[their_ent_2]], 1, 0)</f>
        <v>0</v>
      </c>
      <c r="J620">
        <f>IF(Table1[[#This Row],[same_1]]=1 &amp; Table1[[#This Row],[same_2]]=1, 1, 0)</f>
        <v>0</v>
      </c>
      <c r="K620">
        <f>IF(ISNUMBER(SEARCH(Table1[[#This Row],[their_ent_1]],Table1[[#This Row],[my_ent_1]])), 1, 0)</f>
        <v>0</v>
      </c>
      <c r="L620">
        <f>IF(ISNUMBER(SEARCH(Table1[[#This Row],[their_ent_2]],Table1[[#This Row],[my_ent_2]])), 1, 0)</f>
        <v>0</v>
      </c>
    </row>
    <row r="621" spans="1:12" x14ac:dyDescent="0.3">
      <c r="A621" t="s">
        <v>2052</v>
      </c>
      <c r="B621" t="s">
        <v>1361</v>
      </c>
      <c r="C621" t="s">
        <v>44</v>
      </c>
      <c r="D621" t="s">
        <v>2053</v>
      </c>
      <c r="E621" t="s">
        <v>2054</v>
      </c>
      <c r="F621">
        <v>0</v>
      </c>
      <c r="G621">
        <v>619</v>
      </c>
      <c r="H621">
        <f>IF(Table1[[#This Row],[my_ent_1]]=Table1[[#This Row],[their_ent_1]], 1, 0)</f>
        <v>0</v>
      </c>
      <c r="I621">
        <f>IF(Table1[[#This Row],[my_ent_2]]=Table1[[#This Row],[their_ent_2]], 1, 0)</f>
        <v>0</v>
      </c>
      <c r="J621">
        <f>IF(Table1[[#This Row],[same_1]]=1 &amp; Table1[[#This Row],[same_2]]=1, 1, 0)</f>
        <v>0</v>
      </c>
      <c r="K621">
        <f>IF(ISNUMBER(SEARCH(Table1[[#This Row],[their_ent_1]],Table1[[#This Row],[my_ent_1]])), 1, 0)</f>
        <v>0</v>
      </c>
      <c r="L621">
        <f>IF(ISNUMBER(SEARCH(Table1[[#This Row],[their_ent_2]],Table1[[#This Row],[my_ent_2]])), 1, 0)</f>
        <v>0</v>
      </c>
    </row>
    <row r="622" spans="1:12" x14ac:dyDescent="0.3">
      <c r="A622" t="s">
        <v>2055</v>
      </c>
      <c r="B622" t="s">
        <v>2056</v>
      </c>
      <c r="C622" t="s">
        <v>238</v>
      </c>
      <c r="D622" t="s">
        <v>15</v>
      </c>
      <c r="E622" t="s">
        <v>2057</v>
      </c>
      <c r="F622">
        <v>0</v>
      </c>
      <c r="G622">
        <v>620</v>
      </c>
      <c r="H622">
        <f>IF(Table1[[#This Row],[my_ent_1]]=Table1[[#This Row],[their_ent_1]], 1, 0)</f>
        <v>0</v>
      </c>
      <c r="I622">
        <f>IF(Table1[[#This Row],[my_ent_2]]=Table1[[#This Row],[their_ent_2]], 1, 0)</f>
        <v>0</v>
      </c>
      <c r="J622">
        <f>IF(Table1[[#This Row],[same_1]]=1 &amp; Table1[[#This Row],[same_2]]=1, 1, 0)</f>
        <v>0</v>
      </c>
      <c r="K622">
        <f>IF(ISNUMBER(SEARCH(Table1[[#This Row],[their_ent_1]],Table1[[#This Row],[my_ent_1]])), 1, 0)</f>
        <v>0</v>
      </c>
      <c r="L622">
        <f>IF(ISNUMBER(SEARCH(Table1[[#This Row],[their_ent_2]],Table1[[#This Row],[my_ent_2]])), 1, 0)</f>
        <v>0</v>
      </c>
    </row>
    <row r="623" spans="1:12" x14ac:dyDescent="0.3">
      <c r="A623" t="s">
        <v>2058</v>
      </c>
      <c r="B623" t="s">
        <v>163</v>
      </c>
      <c r="C623" t="s">
        <v>163</v>
      </c>
      <c r="D623" t="s">
        <v>163</v>
      </c>
      <c r="E623" t="s">
        <v>678</v>
      </c>
      <c r="F623">
        <v>0</v>
      </c>
      <c r="G623">
        <v>621</v>
      </c>
      <c r="H623">
        <f>IF(Table1[[#This Row],[my_ent_1]]=Table1[[#This Row],[their_ent_1]], 1, 0)</f>
        <v>1</v>
      </c>
      <c r="I623">
        <f>IF(Table1[[#This Row],[my_ent_2]]=Table1[[#This Row],[their_ent_2]], 1, 0)</f>
        <v>0</v>
      </c>
      <c r="J623">
        <f>IF(Table1[[#This Row],[same_1]]=1 &amp; Table1[[#This Row],[same_2]]=1, 1, 0)</f>
        <v>0</v>
      </c>
      <c r="K623">
        <f>IF(ISNUMBER(SEARCH(Table1[[#This Row],[their_ent_1]],Table1[[#This Row],[my_ent_1]])), 1, 0)</f>
        <v>1</v>
      </c>
      <c r="L623">
        <f>IF(ISNUMBER(SEARCH(Table1[[#This Row],[their_ent_2]],Table1[[#This Row],[my_ent_2]])), 1, 0)</f>
        <v>0</v>
      </c>
    </row>
    <row r="624" spans="1:12" x14ac:dyDescent="0.3">
      <c r="A624" t="s">
        <v>2059</v>
      </c>
      <c r="B624" t="s">
        <v>2060</v>
      </c>
      <c r="C624" t="s">
        <v>2061</v>
      </c>
      <c r="D624" t="s">
        <v>2061</v>
      </c>
      <c r="E624" t="s">
        <v>2062</v>
      </c>
      <c r="F624">
        <v>0</v>
      </c>
      <c r="G624">
        <v>622</v>
      </c>
      <c r="H624">
        <f>IF(Table1[[#This Row],[my_ent_1]]=Table1[[#This Row],[their_ent_1]], 1, 0)</f>
        <v>0</v>
      </c>
      <c r="I624">
        <f>IF(Table1[[#This Row],[my_ent_2]]=Table1[[#This Row],[their_ent_2]], 1, 0)</f>
        <v>0</v>
      </c>
      <c r="J624">
        <f>IF(Table1[[#This Row],[same_1]]=1 &amp; Table1[[#This Row],[same_2]]=1, 1, 0)</f>
        <v>0</v>
      </c>
      <c r="K624">
        <f>IF(ISNUMBER(SEARCH(Table1[[#This Row],[their_ent_1]],Table1[[#This Row],[my_ent_1]])), 1, 0)</f>
        <v>0</v>
      </c>
      <c r="L624">
        <f>IF(ISNUMBER(SEARCH(Table1[[#This Row],[their_ent_2]],Table1[[#This Row],[my_ent_2]])), 1, 0)</f>
        <v>0</v>
      </c>
    </row>
    <row r="625" spans="1:12" x14ac:dyDescent="0.3">
      <c r="A625" t="s">
        <v>2063</v>
      </c>
      <c r="B625" t="s">
        <v>127</v>
      </c>
      <c r="C625" t="s">
        <v>127</v>
      </c>
      <c r="D625" t="s">
        <v>191</v>
      </c>
      <c r="E625" t="s">
        <v>198</v>
      </c>
      <c r="F625">
        <v>0</v>
      </c>
      <c r="G625">
        <v>623</v>
      </c>
      <c r="H625">
        <f>IF(Table1[[#This Row],[my_ent_1]]=Table1[[#This Row],[their_ent_1]], 1, 0)</f>
        <v>1</v>
      </c>
      <c r="I625">
        <f>IF(Table1[[#This Row],[my_ent_2]]=Table1[[#This Row],[their_ent_2]], 1, 0)</f>
        <v>0</v>
      </c>
      <c r="J625">
        <f>IF(Table1[[#This Row],[same_1]]=1 &amp; Table1[[#This Row],[same_2]]=1, 1, 0)</f>
        <v>0</v>
      </c>
      <c r="K625">
        <f>IF(ISNUMBER(SEARCH(Table1[[#This Row],[their_ent_1]],Table1[[#This Row],[my_ent_1]])), 1, 0)</f>
        <v>1</v>
      </c>
      <c r="L625">
        <f>IF(ISNUMBER(SEARCH(Table1[[#This Row],[their_ent_2]],Table1[[#This Row],[my_ent_2]])), 1, 0)</f>
        <v>0</v>
      </c>
    </row>
    <row r="626" spans="1:12" x14ac:dyDescent="0.3">
      <c r="A626" t="s">
        <v>2064</v>
      </c>
      <c r="B626" t="s">
        <v>2065</v>
      </c>
      <c r="C626" t="s">
        <v>353</v>
      </c>
      <c r="D626" t="s">
        <v>78</v>
      </c>
      <c r="E626" t="s">
        <v>78</v>
      </c>
      <c r="F626">
        <v>0</v>
      </c>
      <c r="G626">
        <v>624</v>
      </c>
      <c r="H626">
        <f>IF(Table1[[#This Row],[my_ent_1]]=Table1[[#This Row],[their_ent_1]], 1, 0)</f>
        <v>0</v>
      </c>
      <c r="I626">
        <f>IF(Table1[[#This Row],[my_ent_2]]=Table1[[#This Row],[their_ent_2]], 1, 0)</f>
        <v>1</v>
      </c>
      <c r="J626">
        <f>IF(Table1[[#This Row],[same_1]]=1 &amp; Table1[[#This Row],[same_2]]=1, 1, 0)</f>
        <v>0</v>
      </c>
      <c r="K626">
        <f>IF(ISNUMBER(SEARCH(Table1[[#This Row],[their_ent_1]],Table1[[#This Row],[my_ent_1]])), 1, 0)</f>
        <v>0</v>
      </c>
      <c r="L626">
        <f>IF(ISNUMBER(SEARCH(Table1[[#This Row],[their_ent_2]],Table1[[#This Row],[my_ent_2]])), 1, 0)</f>
        <v>1</v>
      </c>
    </row>
    <row r="627" spans="1:12" x14ac:dyDescent="0.3">
      <c r="A627" t="s">
        <v>2066</v>
      </c>
      <c r="B627" t="s">
        <v>2067</v>
      </c>
      <c r="C627" t="s">
        <v>2067</v>
      </c>
      <c r="D627" t="s">
        <v>2068</v>
      </c>
      <c r="E627" t="s">
        <v>2069</v>
      </c>
      <c r="F627">
        <v>0</v>
      </c>
      <c r="G627">
        <v>625</v>
      </c>
      <c r="H627">
        <f>IF(Table1[[#This Row],[my_ent_1]]=Table1[[#This Row],[their_ent_1]], 1, 0)</f>
        <v>1</v>
      </c>
      <c r="I627">
        <f>IF(Table1[[#This Row],[my_ent_2]]=Table1[[#This Row],[their_ent_2]], 1, 0)</f>
        <v>0</v>
      </c>
      <c r="J627">
        <f>IF(Table1[[#This Row],[same_1]]=1 &amp; Table1[[#This Row],[same_2]]=1, 1, 0)</f>
        <v>0</v>
      </c>
      <c r="K627">
        <f>IF(ISNUMBER(SEARCH(Table1[[#This Row],[their_ent_1]],Table1[[#This Row],[my_ent_1]])), 1, 0)</f>
        <v>1</v>
      </c>
      <c r="L627">
        <f>IF(ISNUMBER(SEARCH(Table1[[#This Row],[their_ent_2]],Table1[[#This Row],[my_ent_2]])), 1, 0)</f>
        <v>0</v>
      </c>
    </row>
    <row r="628" spans="1:12" x14ac:dyDescent="0.3">
      <c r="A628" t="s">
        <v>2070</v>
      </c>
      <c r="B628" t="s">
        <v>2071</v>
      </c>
      <c r="C628" t="s">
        <v>2071</v>
      </c>
      <c r="D628" t="s">
        <v>2072</v>
      </c>
      <c r="E628" t="s">
        <v>167</v>
      </c>
      <c r="F628">
        <v>0</v>
      </c>
      <c r="G628">
        <v>626</v>
      </c>
      <c r="H628">
        <f>IF(Table1[[#This Row],[my_ent_1]]=Table1[[#This Row],[their_ent_1]], 1, 0)</f>
        <v>1</v>
      </c>
      <c r="I628">
        <f>IF(Table1[[#This Row],[my_ent_2]]=Table1[[#This Row],[their_ent_2]], 1, 0)</f>
        <v>0</v>
      </c>
      <c r="J628">
        <f>IF(Table1[[#This Row],[same_1]]=1 &amp; Table1[[#This Row],[same_2]]=1, 1, 0)</f>
        <v>0</v>
      </c>
      <c r="K628">
        <f>IF(ISNUMBER(SEARCH(Table1[[#This Row],[their_ent_1]],Table1[[#This Row],[my_ent_1]])), 1, 0)</f>
        <v>1</v>
      </c>
      <c r="L628">
        <f>IF(ISNUMBER(SEARCH(Table1[[#This Row],[their_ent_2]],Table1[[#This Row],[my_ent_2]])), 1, 0)</f>
        <v>0</v>
      </c>
    </row>
    <row r="629" spans="1:12" x14ac:dyDescent="0.3">
      <c r="A629" t="s">
        <v>2073</v>
      </c>
      <c r="B629" t="s">
        <v>2074</v>
      </c>
      <c r="C629" t="s">
        <v>2075</v>
      </c>
      <c r="D629" t="s">
        <v>59</v>
      </c>
      <c r="E629" t="s">
        <v>2076</v>
      </c>
      <c r="F629">
        <v>0</v>
      </c>
      <c r="G629">
        <v>627</v>
      </c>
      <c r="H629">
        <f>IF(Table1[[#This Row],[my_ent_1]]=Table1[[#This Row],[their_ent_1]], 1, 0)</f>
        <v>0</v>
      </c>
      <c r="I629">
        <f>IF(Table1[[#This Row],[my_ent_2]]=Table1[[#This Row],[their_ent_2]], 1, 0)</f>
        <v>0</v>
      </c>
      <c r="J629">
        <f>IF(Table1[[#This Row],[same_1]]=1 &amp; Table1[[#This Row],[same_2]]=1, 1, 0)</f>
        <v>0</v>
      </c>
      <c r="K629">
        <f>IF(ISNUMBER(SEARCH(Table1[[#This Row],[their_ent_1]],Table1[[#This Row],[my_ent_1]])), 1, 0)</f>
        <v>0</v>
      </c>
      <c r="L629">
        <f>IF(ISNUMBER(SEARCH(Table1[[#This Row],[their_ent_2]],Table1[[#This Row],[my_ent_2]])), 1, 0)</f>
        <v>0</v>
      </c>
    </row>
    <row r="630" spans="1:12" x14ac:dyDescent="0.3">
      <c r="A630" t="s">
        <v>2077</v>
      </c>
      <c r="B630" t="s">
        <v>2078</v>
      </c>
      <c r="C630" t="s">
        <v>2078</v>
      </c>
      <c r="D630" t="s">
        <v>2079</v>
      </c>
      <c r="E630" t="s">
        <v>2080</v>
      </c>
      <c r="F630">
        <v>0</v>
      </c>
      <c r="G630">
        <v>628</v>
      </c>
      <c r="H630">
        <f>IF(Table1[[#This Row],[my_ent_1]]=Table1[[#This Row],[their_ent_1]], 1, 0)</f>
        <v>1</v>
      </c>
      <c r="I630">
        <f>IF(Table1[[#This Row],[my_ent_2]]=Table1[[#This Row],[their_ent_2]], 1, 0)</f>
        <v>0</v>
      </c>
      <c r="J630">
        <f>IF(Table1[[#This Row],[same_1]]=1 &amp; Table1[[#This Row],[same_2]]=1, 1, 0)</f>
        <v>0</v>
      </c>
      <c r="K630">
        <f>IF(ISNUMBER(SEARCH(Table1[[#This Row],[their_ent_1]],Table1[[#This Row],[my_ent_1]])), 1, 0)</f>
        <v>1</v>
      </c>
      <c r="L630">
        <f>IF(ISNUMBER(SEARCH(Table1[[#This Row],[their_ent_2]],Table1[[#This Row],[my_ent_2]])), 1, 0)</f>
        <v>0</v>
      </c>
    </row>
    <row r="631" spans="1:12" x14ac:dyDescent="0.3">
      <c r="A631" t="s">
        <v>2081</v>
      </c>
      <c r="B631" t="s">
        <v>2082</v>
      </c>
      <c r="C631" t="s">
        <v>2083</v>
      </c>
      <c r="D631" t="s">
        <v>2084</v>
      </c>
      <c r="E631" t="s">
        <v>1580</v>
      </c>
      <c r="F631">
        <v>0</v>
      </c>
      <c r="G631">
        <v>629</v>
      </c>
      <c r="H631">
        <f>IF(Table1[[#This Row],[my_ent_1]]=Table1[[#This Row],[their_ent_1]], 1, 0)</f>
        <v>0</v>
      </c>
      <c r="I631">
        <f>IF(Table1[[#This Row],[my_ent_2]]=Table1[[#This Row],[their_ent_2]], 1, 0)</f>
        <v>0</v>
      </c>
      <c r="J631">
        <f>IF(Table1[[#This Row],[same_1]]=1 &amp; Table1[[#This Row],[same_2]]=1, 1, 0)</f>
        <v>0</v>
      </c>
      <c r="K631">
        <f>IF(ISNUMBER(SEARCH(Table1[[#This Row],[their_ent_1]],Table1[[#This Row],[my_ent_1]])), 1, 0)</f>
        <v>0</v>
      </c>
      <c r="L631">
        <f>IF(ISNUMBER(SEARCH(Table1[[#This Row],[their_ent_2]],Table1[[#This Row],[my_ent_2]])), 1, 0)</f>
        <v>0</v>
      </c>
    </row>
    <row r="632" spans="1:12" x14ac:dyDescent="0.3">
      <c r="A632" t="s">
        <v>2085</v>
      </c>
      <c r="B632" t="s">
        <v>1549</v>
      </c>
      <c r="C632" t="s">
        <v>2086</v>
      </c>
      <c r="D632" t="s">
        <v>2087</v>
      </c>
      <c r="E632" t="s">
        <v>103</v>
      </c>
      <c r="F632">
        <v>0</v>
      </c>
      <c r="G632">
        <v>630</v>
      </c>
      <c r="H632">
        <f>IF(Table1[[#This Row],[my_ent_1]]=Table1[[#This Row],[their_ent_1]], 1, 0)</f>
        <v>0</v>
      </c>
      <c r="I632">
        <f>IF(Table1[[#This Row],[my_ent_2]]=Table1[[#This Row],[their_ent_2]], 1, 0)</f>
        <v>0</v>
      </c>
      <c r="J632">
        <f>IF(Table1[[#This Row],[same_1]]=1 &amp; Table1[[#This Row],[same_2]]=1, 1, 0)</f>
        <v>0</v>
      </c>
      <c r="K632">
        <f>IF(ISNUMBER(SEARCH(Table1[[#This Row],[their_ent_1]],Table1[[#This Row],[my_ent_1]])), 1, 0)</f>
        <v>0</v>
      </c>
      <c r="L632">
        <f>IF(ISNUMBER(SEARCH(Table1[[#This Row],[their_ent_2]],Table1[[#This Row],[my_ent_2]])), 1, 0)</f>
        <v>0</v>
      </c>
    </row>
    <row r="633" spans="1:12" x14ac:dyDescent="0.3">
      <c r="A633" t="s">
        <v>2088</v>
      </c>
      <c r="B633" t="s">
        <v>2089</v>
      </c>
      <c r="C633" t="s">
        <v>2089</v>
      </c>
      <c r="D633" t="s">
        <v>127</v>
      </c>
      <c r="E633" t="s">
        <v>140</v>
      </c>
      <c r="F633">
        <v>0</v>
      </c>
      <c r="G633">
        <v>631</v>
      </c>
      <c r="H633">
        <f>IF(Table1[[#This Row],[my_ent_1]]=Table1[[#This Row],[their_ent_1]], 1, 0)</f>
        <v>1</v>
      </c>
      <c r="I633">
        <f>IF(Table1[[#This Row],[my_ent_2]]=Table1[[#This Row],[their_ent_2]], 1, 0)</f>
        <v>0</v>
      </c>
      <c r="J633">
        <f>IF(Table1[[#This Row],[same_1]]=1 &amp; Table1[[#This Row],[same_2]]=1, 1, 0)</f>
        <v>0</v>
      </c>
      <c r="K633">
        <f>IF(ISNUMBER(SEARCH(Table1[[#This Row],[their_ent_1]],Table1[[#This Row],[my_ent_1]])), 1, 0)</f>
        <v>1</v>
      </c>
      <c r="L633">
        <f>IF(ISNUMBER(SEARCH(Table1[[#This Row],[their_ent_2]],Table1[[#This Row],[my_ent_2]])), 1, 0)</f>
        <v>0</v>
      </c>
    </row>
    <row r="634" spans="1:12" x14ac:dyDescent="0.3">
      <c r="A634" t="s">
        <v>2090</v>
      </c>
      <c r="B634" t="s">
        <v>205</v>
      </c>
      <c r="C634" t="s">
        <v>205</v>
      </c>
      <c r="D634" t="s">
        <v>206</v>
      </c>
      <c r="E634" t="s">
        <v>31</v>
      </c>
      <c r="F634">
        <v>0</v>
      </c>
      <c r="G634">
        <v>632</v>
      </c>
      <c r="H634">
        <f>IF(Table1[[#This Row],[my_ent_1]]=Table1[[#This Row],[their_ent_1]], 1, 0)</f>
        <v>1</v>
      </c>
      <c r="I634">
        <f>IF(Table1[[#This Row],[my_ent_2]]=Table1[[#This Row],[their_ent_2]], 1, 0)</f>
        <v>0</v>
      </c>
      <c r="J634">
        <f>IF(Table1[[#This Row],[same_1]]=1 &amp; Table1[[#This Row],[same_2]]=1, 1, 0)</f>
        <v>0</v>
      </c>
      <c r="K634">
        <f>IF(ISNUMBER(SEARCH(Table1[[#This Row],[their_ent_1]],Table1[[#This Row],[my_ent_1]])), 1, 0)</f>
        <v>1</v>
      </c>
      <c r="L634">
        <f>IF(ISNUMBER(SEARCH(Table1[[#This Row],[their_ent_2]],Table1[[#This Row],[my_ent_2]])), 1, 0)</f>
        <v>1</v>
      </c>
    </row>
    <row r="635" spans="1:12" x14ac:dyDescent="0.3">
      <c r="A635" t="s">
        <v>2091</v>
      </c>
      <c r="B635" t="s">
        <v>2092</v>
      </c>
      <c r="C635" t="s">
        <v>2093</v>
      </c>
      <c r="D635" t="s">
        <v>2094</v>
      </c>
      <c r="E635" t="s">
        <v>2094</v>
      </c>
      <c r="F635">
        <v>0</v>
      </c>
      <c r="G635">
        <v>633</v>
      </c>
      <c r="H635">
        <f>IF(Table1[[#This Row],[my_ent_1]]=Table1[[#This Row],[their_ent_1]], 1, 0)</f>
        <v>0</v>
      </c>
      <c r="I635">
        <f>IF(Table1[[#This Row],[my_ent_2]]=Table1[[#This Row],[their_ent_2]], 1, 0)</f>
        <v>1</v>
      </c>
      <c r="J635">
        <f>IF(Table1[[#This Row],[same_1]]=1 &amp; Table1[[#This Row],[same_2]]=1, 1, 0)</f>
        <v>0</v>
      </c>
      <c r="K635">
        <f>IF(ISNUMBER(SEARCH(Table1[[#This Row],[their_ent_1]],Table1[[#This Row],[my_ent_1]])), 1, 0)</f>
        <v>0</v>
      </c>
      <c r="L635">
        <f>IF(ISNUMBER(SEARCH(Table1[[#This Row],[their_ent_2]],Table1[[#This Row],[my_ent_2]])), 1, 0)</f>
        <v>1</v>
      </c>
    </row>
    <row r="636" spans="1:12" x14ac:dyDescent="0.3">
      <c r="A636" t="s">
        <v>2095</v>
      </c>
      <c r="B636" t="s">
        <v>175</v>
      </c>
      <c r="C636" t="s">
        <v>171</v>
      </c>
      <c r="D636" t="s">
        <v>171</v>
      </c>
      <c r="E636" t="s">
        <v>203</v>
      </c>
      <c r="F636">
        <v>0</v>
      </c>
      <c r="G636">
        <v>634</v>
      </c>
      <c r="H636">
        <f>IF(Table1[[#This Row],[my_ent_1]]=Table1[[#This Row],[their_ent_1]], 1, 0)</f>
        <v>0</v>
      </c>
      <c r="I636">
        <f>IF(Table1[[#This Row],[my_ent_2]]=Table1[[#This Row],[their_ent_2]], 1, 0)</f>
        <v>0</v>
      </c>
      <c r="J636">
        <f>IF(Table1[[#This Row],[same_1]]=1 &amp; Table1[[#This Row],[same_2]]=1, 1, 0)</f>
        <v>0</v>
      </c>
      <c r="K636">
        <f>IF(ISNUMBER(SEARCH(Table1[[#This Row],[their_ent_1]],Table1[[#This Row],[my_ent_1]])), 1, 0)</f>
        <v>0</v>
      </c>
      <c r="L636">
        <f>IF(ISNUMBER(SEARCH(Table1[[#This Row],[their_ent_2]],Table1[[#This Row],[my_ent_2]])), 1, 0)</f>
        <v>0</v>
      </c>
    </row>
    <row r="637" spans="1:12" x14ac:dyDescent="0.3">
      <c r="A637" t="s">
        <v>2096</v>
      </c>
      <c r="B637" t="s">
        <v>2097</v>
      </c>
      <c r="C637" t="s">
        <v>2098</v>
      </c>
      <c r="D637" t="s">
        <v>28</v>
      </c>
      <c r="E637" t="s">
        <v>407</v>
      </c>
      <c r="F637">
        <v>0</v>
      </c>
      <c r="G637">
        <v>635</v>
      </c>
      <c r="H637">
        <f>IF(Table1[[#This Row],[my_ent_1]]=Table1[[#This Row],[their_ent_1]], 1, 0)</f>
        <v>0</v>
      </c>
      <c r="I637">
        <f>IF(Table1[[#This Row],[my_ent_2]]=Table1[[#This Row],[their_ent_2]], 1, 0)</f>
        <v>0</v>
      </c>
      <c r="J637">
        <f>IF(Table1[[#This Row],[same_1]]=1 &amp; Table1[[#This Row],[same_2]]=1, 1, 0)</f>
        <v>0</v>
      </c>
      <c r="K637">
        <f>IF(ISNUMBER(SEARCH(Table1[[#This Row],[their_ent_1]],Table1[[#This Row],[my_ent_1]])), 1, 0)</f>
        <v>0</v>
      </c>
      <c r="L637">
        <f>IF(ISNUMBER(SEARCH(Table1[[#This Row],[their_ent_2]],Table1[[#This Row],[my_ent_2]])), 1, 0)</f>
        <v>0</v>
      </c>
    </row>
    <row r="638" spans="1:12" x14ac:dyDescent="0.3">
      <c r="A638" t="s">
        <v>2099</v>
      </c>
      <c r="B638" t="s">
        <v>2100</v>
      </c>
      <c r="C638" t="s">
        <v>1136</v>
      </c>
      <c r="D638" t="s">
        <v>1136</v>
      </c>
      <c r="E638" t="s">
        <v>2101</v>
      </c>
      <c r="F638">
        <v>0</v>
      </c>
      <c r="G638">
        <v>636</v>
      </c>
      <c r="H638">
        <f>IF(Table1[[#This Row],[my_ent_1]]=Table1[[#This Row],[their_ent_1]], 1, 0)</f>
        <v>0</v>
      </c>
      <c r="I638">
        <f>IF(Table1[[#This Row],[my_ent_2]]=Table1[[#This Row],[their_ent_2]], 1, 0)</f>
        <v>0</v>
      </c>
      <c r="J638">
        <f>IF(Table1[[#This Row],[same_1]]=1 &amp; Table1[[#This Row],[same_2]]=1, 1, 0)</f>
        <v>0</v>
      </c>
      <c r="K638">
        <f>IF(ISNUMBER(SEARCH(Table1[[#This Row],[their_ent_1]],Table1[[#This Row],[my_ent_1]])), 1, 0)</f>
        <v>0</v>
      </c>
      <c r="L638">
        <f>IF(ISNUMBER(SEARCH(Table1[[#This Row],[their_ent_2]],Table1[[#This Row],[my_ent_2]])), 1, 0)</f>
        <v>0</v>
      </c>
    </row>
    <row r="639" spans="1:12" x14ac:dyDescent="0.3">
      <c r="A639" t="s">
        <v>2102</v>
      </c>
      <c r="B639" t="s">
        <v>1377</v>
      </c>
      <c r="C639" t="s">
        <v>1377</v>
      </c>
      <c r="D639" t="s">
        <v>2103</v>
      </c>
      <c r="E639" t="s">
        <v>2104</v>
      </c>
      <c r="F639">
        <v>0</v>
      </c>
      <c r="G639">
        <v>637</v>
      </c>
      <c r="H639">
        <f>IF(Table1[[#This Row],[my_ent_1]]=Table1[[#This Row],[their_ent_1]], 1, 0)</f>
        <v>1</v>
      </c>
      <c r="I639">
        <f>IF(Table1[[#This Row],[my_ent_2]]=Table1[[#This Row],[their_ent_2]], 1, 0)</f>
        <v>0</v>
      </c>
      <c r="J639">
        <f>IF(Table1[[#This Row],[same_1]]=1 &amp; Table1[[#This Row],[same_2]]=1, 1, 0)</f>
        <v>0</v>
      </c>
      <c r="K639">
        <f>IF(ISNUMBER(SEARCH(Table1[[#This Row],[their_ent_1]],Table1[[#This Row],[my_ent_1]])), 1, 0)</f>
        <v>1</v>
      </c>
      <c r="L639">
        <f>IF(ISNUMBER(SEARCH(Table1[[#This Row],[their_ent_2]],Table1[[#This Row],[my_ent_2]])), 1, 0)</f>
        <v>0</v>
      </c>
    </row>
    <row r="640" spans="1:12" x14ac:dyDescent="0.3">
      <c r="A640" t="s">
        <v>2105</v>
      </c>
      <c r="B640" t="s">
        <v>20</v>
      </c>
      <c r="C640" t="s">
        <v>44</v>
      </c>
      <c r="D640" t="s">
        <v>2106</v>
      </c>
      <c r="E640" t="s">
        <v>2106</v>
      </c>
      <c r="F640">
        <v>0</v>
      </c>
      <c r="G640">
        <v>638</v>
      </c>
      <c r="H640">
        <f>IF(Table1[[#This Row],[my_ent_1]]=Table1[[#This Row],[their_ent_1]], 1, 0)</f>
        <v>0</v>
      </c>
      <c r="I640">
        <f>IF(Table1[[#This Row],[my_ent_2]]=Table1[[#This Row],[their_ent_2]], 1, 0)</f>
        <v>1</v>
      </c>
      <c r="J640">
        <f>IF(Table1[[#This Row],[same_1]]=1 &amp; Table1[[#This Row],[same_2]]=1, 1, 0)</f>
        <v>0</v>
      </c>
      <c r="K640">
        <f>IF(ISNUMBER(SEARCH(Table1[[#This Row],[their_ent_1]],Table1[[#This Row],[my_ent_1]])), 1, 0)</f>
        <v>0</v>
      </c>
      <c r="L640">
        <f>IF(ISNUMBER(SEARCH(Table1[[#This Row],[their_ent_2]],Table1[[#This Row],[my_ent_2]])), 1, 0)</f>
        <v>1</v>
      </c>
    </row>
    <row r="641" spans="1:12" x14ac:dyDescent="0.3">
      <c r="A641" t="s">
        <v>2107</v>
      </c>
      <c r="B641" t="s">
        <v>2108</v>
      </c>
      <c r="C641" t="s">
        <v>402</v>
      </c>
      <c r="D641" t="s">
        <v>335</v>
      </c>
      <c r="E641" t="s">
        <v>2109</v>
      </c>
      <c r="F641">
        <v>0</v>
      </c>
      <c r="G641">
        <v>639</v>
      </c>
      <c r="H641">
        <f>IF(Table1[[#This Row],[my_ent_1]]=Table1[[#This Row],[their_ent_1]], 1, 0)</f>
        <v>0</v>
      </c>
      <c r="I641">
        <f>IF(Table1[[#This Row],[my_ent_2]]=Table1[[#This Row],[their_ent_2]], 1, 0)</f>
        <v>0</v>
      </c>
      <c r="J641">
        <f>IF(Table1[[#This Row],[same_1]]=1 &amp; Table1[[#This Row],[same_2]]=1, 1, 0)</f>
        <v>0</v>
      </c>
      <c r="K641">
        <f>IF(ISNUMBER(SEARCH(Table1[[#This Row],[their_ent_1]],Table1[[#This Row],[my_ent_1]])), 1, 0)</f>
        <v>0</v>
      </c>
      <c r="L641">
        <f>IF(ISNUMBER(SEARCH(Table1[[#This Row],[their_ent_2]],Table1[[#This Row],[my_ent_2]])), 1, 0)</f>
        <v>0</v>
      </c>
    </row>
    <row r="642" spans="1:12" x14ac:dyDescent="0.3">
      <c r="A642" t="s">
        <v>2110</v>
      </c>
      <c r="B642" t="s">
        <v>30</v>
      </c>
      <c r="C642" t="s">
        <v>44</v>
      </c>
      <c r="D642" t="s">
        <v>643</v>
      </c>
      <c r="E642" t="s">
        <v>30</v>
      </c>
      <c r="F642">
        <v>0</v>
      </c>
      <c r="G642">
        <v>640</v>
      </c>
      <c r="H642">
        <f>IF(Table1[[#This Row],[my_ent_1]]=Table1[[#This Row],[their_ent_1]], 1, 0)</f>
        <v>0</v>
      </c>
      <c r="I642">
        <f>IF(Table1[[#This Row],[my_ent_2]]=Table1[[#This Row],[their_ent_2]], 1, 0)</f>
        <v>0</v>
      </c>
      <c r="J642">
        <f>IF(Table1[[#This Row],[same_1]]=1 &amp; Table1[[#This Row],[same_2]]=1, 1, 0)</f>
        <v>0</v>
      </c>
      <c r="K642">
        <f>IF(ISNUMBER(SEARCH(Table1[[#This Row],[their_ent_1]],Table1[[#This Row],[my_ent_1]])), 1, 0)</f>
        <v>0</v>
      </c>
      <c r="L642">
        <f>IF(ISNUMBER(SEARCH(Table1[[#This Row],[their_ent_2]],Table1[[#This Row],[my_ent_2]])), 1, 0)</f>
        <v>0</v>
      </c>
    </row>
    <row r="643" spans="1:12" x14ac:dyDescent="0.3">
      <c r="A643" t="s">
        <v>2111</v>
      </c>
      <c r="B643" t="s">
        <v>2112</v>
      </c>
      <c r="C643" t="s">
        <v>679</v>
      </c>
      <c r="D643" t="s">
        <v>1607</v>
      </c>
      <c r="E643" t="s">
        <v>2113</v>
      </c>
      <c r="F643">
        <v>0</v>
      </c>
      <c r="G643">
        <v>641</v>
      </c>
      <c r="H643">
        <f>IF(Table1[[#This Row],[my_ent_1]]=Table1[[#This Row],[their_ent_1]], 1, 0)</f>
        <v>0</v>
      </c>
      <c r="I643">
        <f>IF(Table1[[#This Row],[my_ent_2]]=Table1[[#This Row],[their_ent_2]], 1, 0)</f>
        <v>0</v>
      </c>
      <c r="J643">
        <f>IF(Table1[[#This Row],[same_1]]=1 &amp; Table1[[#This Row],[same_2]]=1, 1, 0)</f>
        <v>0</v>
      </c>
      <c r="K643">
        <f>IF(ISNUMBER(SEARCH(Table1[[#This Row],[their_ent_1]],Table1[[#This Row],[my_ent_1]])), 1, 0)</f>
        <v>0</v>
      </c>
      <c r="L643">
        <f>IF(ISNUMBER(SEARCH(Table1[[#This Row],[their_ent_2]],Table1[[#This Row],[my_ent_2]])), 1, 0)</f>
        <v>0</v>
      </c>
    </row>
    <row r="644" spans="1:12" x14ac:dyDescent="0.3">
      <c r="A644" t="s">
        <v>2114</v>
      </c>
      <c r="B644" t="s">
        <v>415</v>
      </c>
      <c r="C644" t="s">
        <v>2115</v>
      </c>
      <c r="D644" t="s">
        <v>2115</v>
      </c>
      <c r="E644" t="s">
        <v>2116</v>
      </c>
      <c r="F644">
        <v>0</v>
      </c>
      <c r="G644">
        <v>642</v>
      </c>
      <c r="H644">
        <f>IF(Table1[[#This Row],[my_ent_1]]=Table1[[#This Row],[their_ent_1]], 1, 0)</f>
        <v>0</v>
      </c>
      <c r="I644">
        <f>IF(Table1[[#This Row],[my_ent_2]]=Table1[[#This Row],[their_ent_2]], 1, 0)</f>
        <v>0</v>
      </c>
      <c r="J644">
        <f>IF(Table1[[#This Row],[same_1]]=1 &amp; Table1[[#This Row],[same_2]]=1, 1, 0)</f>
        <v>0</v>
      </c>
      <c r="K644">
        <f>IF(ISNUMBER(SEARCH(Table1[[#This Row],[their_ent_1]],Table1[[#This Row],[my_ent_1]])), 1, 0)</f>
        <v>0</v>
      </c>
      <c r="L644">
        <f>IF(ISNUMBER(SEARCH(Table1[[#This Row],[their_ent_2]],Table1[[#This Row],[my_ent_2]])), 1, 0)</f>
        <v>0</v>
      </c>
    </row>
    <row r="645" spans="1:12" x14ac:dyDescent="0.3">
      <c r="A645" t="s">
        <v>2117</v>
      </c>
      <c r="B645" t="s">
        <v>2118</v>
      </c>
      <c r="C645" t="s">
        <v>410</v>
      </c>
      <c r="D645" t="s">
        <v>576</v>
      </c>
      <c r="E645" t="s">
        <v>2119</v>
      </c>
      <c r="F645">
        <v>0</v>
      </c>
      <c r="G645">
        <v>643</v>
      </c>
      <c r="H645">
        <f>IF(Table1[[#This Row],[my_ent_1]]=Table1[[#This Row],[their_ent_1]], 1, 0)</f>
        <v>0</v>
      </c>
      <c r="I645">
        <f>IF(Table1[[#This Row],[my_ent_2]]=Table1[[#This Row],[their_ent_2]], 1, 0)</f>
        <v>0</v>
      </c>
      <c r="J645">
        <f>IF(Table1[[#This Row],[same_1]]=1 &amp; Table1[[#This Row],[same_2]]=1, 1, 0)</f>
        <v>0</v>
      </c>
      <c r="K645">
        <f>IF(ISNUMBER(SEARCH(Table1[[#This Row],[their_ent_1]],Table1[[#This Row],[my_ent_1]])), 1, 0)</f>
        <v>0</v>
      </c>
      <c r="L645">
        <f>IF(ISNUMBER(SEARCH(Table1[[#This Row],[their_ent_2]],Table1[[#This Row],[my_ent_2]])), 1, 0)</f>
        <v>0</v>
      </c>
    </row>
    <row r="646" spans="1:12" x14ac:dyDescent="0.3">
      <c r="A646" t="s">
        <v>2120</v>
      </c>
      <c r="B646" t="s">
        <v>2121</v>
      </c>
      <c r="C646" t="s">
        <v>2122</v>
      </c>
      <c r="D646" t="s">
        <v>2121</v>
      </c>
      <c r="E646" t="s">
        <v>2123</v>
      </c>
      <c r="F646">
        <v>0</v>
      </c>
      <c r="G646">
        <v>644</v>
      </c>
      <c r="H646">
        <f>IF(Table1[[#This Row],[my_ent_1]]=Table1[[#This Row],[their_ent_1]], 1, 0)</f>
        <v>0</v>
      </c>
      <c r="I646">
        <f>IF(Table1[[#This Row],[my_ent_2]]=Table1[[#This Row],[their_ent_2]], 1, 0)</f>
        <v>0</v>
      </c>
      <c r="J646">
        <f>IF(Table1[[#This Row],[same_1]]=1 &amp; Table1[[#This Row],[same_2]]=1, 1, 0)</f>
        <v>0</v>
      </c>
      <c r="K646">
        <f>IF(ISNUMBER(SEARCH(Table1[[#This Row],[their_ent_1]],Table1[[#This Row],[my_ent_1]])), 1, 0)</f>
        <v>0</v>
      </c>
      <c r="L646">
        <f>IF(ISNUMBER(SEARCH(Table1[[#This Row],[their_ent_2]],Table1[[#This Row],[my_ent_2]])), 1, 0)</f>
        <v>0</v>
      </c>
    </row>
    <row r="647" spans="1:12" x14ac:dyDescent="0.3">
      <c r="A647" t="s">
        <v>2124</v>
      </c>
      <c r="B647" t="s">
        <v>1419</v>
      </c>
      <c r="C647" t="s">
        <v>26</v>
      </c>
      <c r="D647" t="s">
        <v>26</v>
      </c>
      <c r="E647" t="s">
        <v>158</v>
      </c>
      <c r="F647">
        <v>0</v>
      </c>
      <c r="G647">
        <v>645</v>
      </c>
      <c r="H647">
        <f>IF(Table1[[#This Row],[my_ent_1]]=Table1[[#This Row],[their_ent_1]], 1, 0)</f>
        <v>0</v>
      </c>
      <c r="I647">
        <f>IF(Table1[[#This Row],[my_ent_2]]=Table1[[#This Row],[their_ent_2]], 1, 0)</f>
        <v>0</v>
      </c>
      <c r="J647">
        <f>IF(Table1[[#This Row],[same_1]]=1 &amp; Table1[[#This Row],[same_2]]=1, 1, 0)</f>
        <v>0</v>
      </c>
      <c r="K647">
        <f>IF(ISNUMBER(SEARCH(Table1[[#This Row],[their_ent_1]],Table1[[#This Row],[my_ent_1]])), 1, 0)</f>
        <v>0</v>
      </c>
      <c r="L647">
        <f>IF(ISNUMBER(SEARCH(Table1[[#This Row],[their_ent_2]],Table1[[#This Row],[my_ent_2]])), 1, 0)</f>
        <v>0</v>
      </c>
    </row>
    <row r="648" spans="1:12" x14ac:dyDescent="0.3">
      <c r="A648" t="s">
        <v>2125</v>
      </c>
      <c r="B648" t="s">
        <v>2126</v>
      </c>
      <c r="C648" t="s">
        <v>44</v>
      </c>
      <c r="D648" t="s">
        <v>44</v>
      </c>
      <c r="E648" t="s">
        <v>2127</v>
      </c>
      <c r="F648">
        <v>0</v>
      </c>
      <c r="G648">
        <v>646</v>
      </c>
      <c r="H648">
        <f>IF(Table1[[#This Row],[my_ent_1]]=Table1[[#This Row],[their_ent_1]], 1, 0)</f>
        <v>0</v>
      </c>
      <c r="I648">
        <f>IF(Table1[[#This Row],[my_ent_2]]=Table1[[#This Row],[their_ent_2]], 1, 0)</f>
        <v>0</v>
      </c>
      <c r="J648">
        <f>IF(Table1[[#This Row],[same_1]]=1 &amp; Table1[[#This Row],[same_2]]=1, 1, 0)</f>
        <v>0</v>
      </c>
      <c r="K648">
        <f>IF(ISNUMBER(SEARCH(Table1[[#This Row],[their_ent_1]],Table1[[#This Row],[my_ent_1]])), 1, 0)</f>
        <v>0</v>
      </c>
      <c r="L648">
        <f>IF(ISNUMBER(SEARCH(Table1[[#This Row],[their_ent_2]],Table1[[#This Row],[my_ent_2]])), 1, 0)</f>
        <v>0</v>
      </c>
    </row>
    <row r="649" spans="1:12" x14ac:dyDescent="0.3">
      <c r="A649" t="s">
        <v>2128</v>
      </c>
      <c r="B649" t="s">
        <v>2129</v>
      </c>
      <c r="C649" t="s">
        <v>2130</v>
      </c>
      <c r="D649" t="s">
        <v>2131</v>
      </c>
      <c r="E649" t="s">
        <v>2132</v>
      </c>
      <c r="F649">
        <v>0</v>
      </c>
      <c r="G649">
        <v>647</v>
      </c>
      <c r="H649">
        <f>IF(Table1[[#This Row],[my_ent_1]]=Table1[[#This Row],[their_ent_1]], 1, 0)</f>
        <v>0</v>
      </c>
      <c r="I649">
        <f>IF(Table1[[#This Row],[my_ent_2]]=Table1[[#This Row],[their_ent_2]], 1, 0)</f>
        <v>0</v>
      </c>
      <c r="J649">
        <f>IF(Table1[[#This Row],[same_1]]=1 &amp; Table1[[#This Row],[same_2]]=1, 1, 0)</f>
        <v>0</v>
      </c>
      <c r="K649">
        <f>IF(ISNUMBER(SEARCH(Table1[[#This Row],[their_ent_1]],Table1[[#This Row],[my_ent_1]])), 1, 0)</f>
        <v>0</v>
      </c>
      <c r="L649">
        <f>IF(ISNUMBER(SEARCH(Table1[[#This Row],[their_ent_2]],Table1[[#This Row],[my_ent_2]])), 1, 0)</f>
        <v>0</v>
      </c>
    </row>
    <row r="650" spans="1:12" x14ac:dyDescent="0.3">
      <c r="A650" t="s">
        <v>2133</v>
      </c>
      <c r="B650" t="s">
        <v>2134</v>
      </c>
      <c r="C650" t="s">
        <v>2135</v>
      </c>
      <c r="D650" t="s">
        <v>2136</v>
      </c>
      <c r="E650" t="s">
        <v>2137</v>
      </c>
      <c r="F650">
        <v>0</v>
      </c>
      <c r="G650">
        <v>648</v>
      </c>
      <c r="H650">
        <f>IF(Table1[[#This Row],[my_ent_1]]=Table1[[#This Row],[their_ent_1]], 1, 0)</f>
        <v>0</v>
      </c>
      <c r="I650">
        <f>IF(Table1[[#This Row],[my_ent_2]]=Table1[[#This Row],[their_ent_2]], 1, 0)</f>
        <v>0</v>
      </c>
      <c r="J650">
        <f>IF(Table1[[#This Row],[same_1]]=1 &amp; Table1[[#This Row],[same_2]]=1, 1, 0)</f>
        <v>0</v>
      </c>
      <c r="K650">
        <f>IF(ISNUMBER(SEARCH(Table1[[#This Row],[their_ent_1]],Table1[[#This Row],[my_ent_1]])), 1, 0)</f>
        <v>0</v>
      </c>
      <c r="L650">
        <f>IF(ISNUMBER(SEARCH(Table1[[#This Row],[their_ent_2]],Table1[[#This Row],[my_ent_2]])), 1, 0)</f>
        <v>0</v>
      </c>
    </row>
    <row r="651" spans="1:12" x14ac:dyDescent="0.3">
      <c r="A651" t="s">
        <v>2138</v>
      </c>
      <c r="B651" t="s">
        <v>2139</v>
      </c>
      <c r="C651" t="s">
        <v>2140</v>
      </c>
      <c r="D651" t="s">
        <v>2141</v>
      </c>
      <c r="E651" t="s">
        <v>2142</v>
      </c>
      <c r="F651">
        <v>0</v>
      </c>
      <c r="G651">
        <v>649</v>
      </c>
      <c r="H651">
        <f>IF(Table1[[#This Row],[my_ent_1]]=Table1[[#This Row],[their_ent_1]], 1, 0)</f>
        <v>0</v>
      </c>
      <c r="I651">
        <f>IF(Table1[[#This Row],[my_ent_2]]=Table1[[#This Row],[their_ent_2]], 1, 0)</f>
        <v>0</v>
      </c>
      <c r="J651">
        <f>IF(Table1[[#This Row],[same_1]]=1 &amp; Table1[[#This Row],[same_2]]=1, 1, 0)</f>
        <v>0</v>
      </c>
      <c r="K651">
        <f>IF(ISNUMBER(SEARCH(Table1[[#This Row],[their_ent_1]],Table1[[#This Row],[my_ent_1]])), 1, 0)</f>
        <v>0</v>
      </c>
      <c r="L651">
        <f>IF(ISNUMBER(SEARCH(Table1[[#This Row],[their_ent_2]],Table1[[#This Row],[my_ent_2]])), 1, 0)</f>
        <v>0</v>
      </c>
    </row>
    <row r="652" spans="1:12" x14ac:dyDescent="0.3">
      <c r="A652" t="s">
        <v>2143</v>
      </c>
      <c r="B652" t="s">
        <v>802</v>
      </c>
      <c r="C652" t="s">
        <v>2144</v>
      </c>
      <c r="D652" t="s">
        <v>2145</v>
      </c>
      <c r="E652" t="s">
        <v>2145</v>
      </c>
      <c r="F652">
        <v>0</v>
      </c>
      <c r="G652">
        <v>650</v>
      </c>
      <c r="H652">
        <f>IF(Table1[[#This Row],[my_ent_1]]=Table1[[#This Row],[their_ent_1]], 1, 0)</f>
        <v>0</v>
      </c>
      <c r="I652">
        <f>IF(Table1[[#This Row],[my_ent_2]]=Table1[[#This Row],[their_ent_2]], 1, 0)</f>
        <v>1</v>
      </c>
      <c r="J652">
        <f>IF(Table1[[#This Row],[same_1]]=1 &amp; Table1[[#This Row],[same_2]]=1, 1, 0)</f>
        <v>0</v>
      </c>
      <c r="K652">
        <f>IF(ISNUMBER(SEARCH(Table1[[#This Row],[their_ent_1]],Table1[[#This Row],[my_ent_1]])), 1, 0)</f>
        <v>0</v>
      </c>
      <c r="L652">
        <f>IF(ISNUMBER(SEARCH(Table1[[#This Row],[their_ent_2]],Table1[[#This Row],[my_ent_2]])), 1, 0)</f>
        <v>1</v>
      </c>
    </row>
    <row r="653" spans="1:12" x14ac:dyDescent="0.3">
      <c r="A653" t="s">
        <v>2146</v>
      </c>
      <c r="B653" t="s">
        <v>410</v>
      </c>
      <c r="C653" t="s">
        <v>2075</v>
      </c>
      <c r="D653" t="s">
        <v>59</v>
      </c>
      <c r="E653" t="s">
        <v>410</v>
      </c>
      <c r="F653">
        <v>0</v>
      </c>
      <c r="G653">
        <v>651</v>
      </c>
      <c r="H653">
        <f>IF(Table1[[#This Row],[my_ent_1]]=Table1[[#This Row],[their_ent_1]], 1, 0)</f>
        <v>0</v>
      </c>
      <c r="I653">
        <f>IF(Table1[[#This Row],[my_ent_2]]=Table1[[#This Row],[their_ent_2]], 1, 0)</f>
        <v>0</v>
      </c>
      <c r="J653">
        <f>IF(Table1[[#This Row],[same_1]]=1 &amp; Table1[[#This Row],[same_2]]=1, 1, 0)</f>
        <v>0</v>
      </c>
      <c r="K653">
        <f>IF(ISNUMBER(SEARCH(Table1[[#This Row],[their_ent_1]],Table1[[#This Row],[my_ent_1]])), 1, 0)</f>
        <v>0</v>
      </c>
      <c r="L653">
        <f>IF(ISNUMBER(SEARCH(Table1[[#This Row],[their_ent_2]],Table1[[#This Row],[my_ent_2]])), 1, 0)</f>
        <v>0</v>
      </c>
    </row>
    <row r="654" spans="1:12" x14ac:dyDescent="0.3">
      <c r="A654" t="s">
        <v>2147</v>
      </c>
      <c r="B654" t="s">
        <v>2148</v>
      </c>
      <c r="C654" t="s">
        <v>26</v>
      </c>
      <c r="D654" t="s">
        <v>2149</v>
      </c>
      <c r="E654" t="s">
        <v>2150</v>
      </c>
      <c r="F654">
        <v>0</v>
      </c>
      <c r="G654">
        <v>652</v>
      </c>
      <c r="H654">
        <f>IF(Table1[[#This Row],[my_ent_1]]=Table1[[#This Row],[their_ent_1]], 1, 0)</f>
        <v>0</v>
      </c>
      <c r="I654">
        <f>IF(Table1[[#This Row],[my_ent_2]]=Table1[[#This Row],[their_ent_2]], 1, 0)</f>
        <v>0</v>
      </c>
      <c r="J654">
        <f>IF(Table1[[#This Row],[same_1]]=1 &amp; Table1[[#This Row],[same_2]]=1, 1, 0)</f>
        <v>0</v>
      </c>
      <c r="K654">
        <f>IF(ISNUMBER(SEARCH(Table1[[#This Row],[their_ent_1]],Table1[[#This Row],[my_ent_1]])), 1, 0)</f>
        <v>0</v>
      </c>
      <c r="L654">
        <f>IF(ISNUMBER(SEARCH(Table1[[#This Row],[their_ent_2]],Table1[[#This Row],[my_ent_2]])), 1, 0)</f>
        <v>0</v>
      </c>
    </row>
    <row r="655" spans="1:12" x14ac:dyDescent="0.3">
      <c r="A655" t="s">
        <v>2151</v>
      </c>
      <c r="B655" t="s">
        <v>28</v>
      </c>
      <c r="C655" t="s">
        <v>20</v>
      </c>
      <c r="D655" t="s">
        <v>2152</v>
      </c>
      <c r="E655" t="s">
        <v>2152</v>
      </c>
      <c r="F655">
        <v>0</v>
      </c>
      <c r="G655">
        <v>653</v>
      </c>
      <c r="H655">
        <f>IF(Table1[[#This Row],[my_ent_1]]=Table1[[#This Row],[their_ent_1]], 1, 0)</f>
        <v>0</v>
      </c>
      <c r="I655">
        <f>IF(Table1[[#This Row],[my_ent_2]]=Table1[[#This Row],[their_ent_2]], 1, 0)</f>
        <v>1</v>
      </c>
      <c r="J655">
        <f>IF(Table1[[#This Row],[same_1]]=1 &amp; Table1[[#This Row],[same_2]]=1, 1, 0)</f>
        <v>0</v>
      </c>
      <c r="K655">
        <f>IF(ISNUMBER(SEARCH(Table1[[#This Row],[their_ent_1]],Table1[[#This Row],[my_ent_1]])), 1, 0)</f>
        <v>1</v>
      </c>
      <c r="L655">
        <f>IF(ISNUMBER(SEARCH(Table1[[#This Row],[their_ent_2]],Table1[[#This Row],[my_ent_2]])), 1, 0)</f>
        <v>1</v>
      </c>
    </row>
    <row r="656" spans="1:12" x14ac:dyDescent="0.3">
      <c r="A656" t="s">
        <v>2153</v>
      </c>
      <c r="B656" t="s">
        <v>26</v>
      </c>
      <c r="C656" t="s">
        <v>176</v>
      </c>
      <c r="D656" t="s">
        <v>2154</v>
      </c>
      <c r="E656" t="s">
        <v>2155</v>
      </c>
      <c r="F656">
        <v>0</v>
      </c>
      <c r="G656">
        <v>654</v>
      </c>
      <c r="H656">
        <f>IF(Table1[[#This Row],[my_ent_1]]=Table1[[#This Row],[their_ent_1]], 1, 0)</f>
        <v>0</v>
      </c>
      <c r="I656">
        <f>IF(Table1[[#This Row],[my_ent_2]]=Table1[[#This Row],[their_ent_2]], 1, 0)</f>
        <v>0</v>
      </c>
      <c r="J656">
        <f>IF(Table1[[#This Row],[same_1]]=1 &amp; Table1[[#This Row],[same_2]]=1, 1, 0)</f>
        <v>0</v>
      </c>
      <c r="K656">
        <f>IF(ISNUMBER(SEARCH(Table1[[#This Row],[their_ent_1]],Table1[[#This Row],[my_ent_1]])), 1, 0)</f>
        <v>0</v>
      </c>
      <c r="L656">
        <f>IF(ISNUMBER(SEARCH(Table1[[#This Row],[their_ent_2]],Table1[[#This Row],[my_ent_2]])), 1, 0)</f>
        <v>0</v>
      </c>
    </row>
    <row r="657" spans="1:12" x14ac:dyDescent="0.3">
      <c r="A657" t="s">
        <v>2156</v>
      </c>
      <c r="B657" t="s">
        <v>30</v>
      </c>
      <c r="C657" t="s">
        <v>30</v>
      </c>
      <c r="D657" t="s">
        <v>2157</v>
      </c>
      <c r="E657" t="s">
        <v>76</v>
      </c>
      <c r="F657">
        <v>0</v>
      </c>
      <c r="G657">
        <v>655</v>
      </c>
      <c r="H657">
        <f>IF(Table1[[#This Row],[my_ent_1]]=Table1[[#This Row],[their_ent_1]], 1, 0)</f>
        <v>1</v>
      </c>
      <c r="I657">
        <f>IF(Table1[[#This Row],[my_ent_2]]=Table1[[#This Row],[their_ent_2]], 1, 0)</f>
        <v>0</v>
      </c>
      <c r="J657">
        <f>IF(Table1[[#This Row],[same_1]]=1 &amp; Table1[[#This Row],[same_2]]=1, 1, 0)</f>
        <v>0</v>
      </c>
      <c r="K657">
        <f>IF(ISNUMBER(SEARCH(Table1[[#This Row],[their_ent_1]],Table1[[#This Row],[my_ent_1]])), 1, 0)</f>
        <v>1</v>
      </c>
      <c r="L657">
        <f>IF(ISNUMBER(SEARCH(Table1[[#This Row],[their_ent_2]],Table1[[#This Row],[my_ent_2]])), 1, 0)</f>
        <v>0</v>
      </c>
    </row>
    <row r="658" spans="1:12" x14ac:dyDescent="0.3">
      <c r="A658" t="s">
        <v>2158</v>
      </c>
      <c r="B658" t="s">
        <v>2159</v>
      </c>
      <c r="C658" t="s">
        <v>2159</v>
      </c>
      <c r="D658" t="s">
        <v>2160</v>
      </c>
      <c r="E658" t="s">
        <v>2161</v>
      </c>
      <c r="F658">
        <v>0</v>
      </c>
      <c r="G658">
        <v>656</v>
      </c>
      <c r="H658">
        <f>IF(Table1[[#This Row],[my_ent_1]]=Table1[[#This Row],[their_ent_1]], 1, 0)</f>
        <v>1</v>
      </c>
      <c r="I658">
        <f>IF(Table1[[#This Row],[my_ent_2]]=Table1[[#This Row],[their_ent_2]], 1, 0)</f>
        <v>0</v>
      </c>
      <c r="J658">
        <f>IF(Table1[[#This Row],[same_1]]=1 &amp; Table1[[#This Row],[same_2]]=1, 1, 0)</f>
        <v>0</v>
      </c>
      <c r="K658">
        <f>IF(ISNUMBER(SEARCH(Table1[[#This Row],[their_ent_1]],Table1[[#This Row],[my_ent_1]])), 1, 0)</f>
        <v>1</v>
      </c>
      <c r="L658">
        <f>IF(ISNUMBER(SEARCH(Table1[[#This Row],[their_ent_2]],Table1[[#This Row],[my_ent_2]])), 1, 0)</f>
        <v>0</v>
      </c>
    </row>
    <row r="659" spans="1:12" x14ac:dyDescent="0.3">
      <c r="A659" t="s">
        <v>2162</v>
      </c>
      <c r="B659" t="s">
        <v>167</v>
      </c>
      <c r="C659" t="s">
        <v>138</v>
      </c>
      <c r="D659" t="s">
        <v>376</v>
      </c>
      <c r="E659" t="s">
        <v>1093</v>
      </c>
      <c r="F659">
        <v>0</v>
      </c>
      <c r="G659">
        <v>657</v>
      </c>
      <c r="H659">
        <f>IF(Table1[[#This Row],[my_ent_1]]=Table1[[#This Row],[their_ent_1]], 1, 0)</f>
        <v>0</v>
      </c>
      <c r="I659">
        <f>IF(Table1[[#This Row],[my_ent_2]]=Table1[[#This Row],[their_ent_2]], 1, 0)</f>
        <v>0</v>
      </c>
      <c r="J659">
        <f>IF(Table1[[#This Row],[same_1]]=1 &amp; Table1[[#This Row],[same_2]]=1, 1, 0)</f>
        <v>0</v>
      </c>
      <c r="K659">
        <f>IF(ISNUMBER(SEARCH(Table1[[#This Row],[their_ent_1]],Table1[[#This Row],[my_ent_1]])), 1, 0)</f>
        <v>0</v>
      </c>
      <c r="L659">
        <f>IF(ISNUMBER(SEARCH(Table1[[#This Row],[their_ent_2]],Table1[[#This Row],[my_ent_2]])), 1, 0)</f>
        <v>0</v>
      </c>
    </row>
    <row r="660" spans="1:12" x14ac:dyDescent="0.3">
      <c r="A660" t="s">
        <v>2163</v>
      </c>
      <c r="B660" t="s">
        <v>1696</v>
      </c>
      <c r="C660" t="s">
        <v>1696</v>
      </c>
      <c r="D660" t="s">
        <v>59</v>
      </c>
      <c r="E660" t="s">
        <v>2164</v>
      </c>
      <c r="F660">
        <v>0</v>
      </c>
      <c r="G660">
        <v>658</v>
      </c>
      <c r="H660">
        <f>IF(Table1[[#This Row],[my_ent_1]]=Table1[[#This Row],[their_ent_1]], 1, 0)</f>
        <v>1</v>
      </c>
      <c r="I660">
        <f>IF(Table1[[#This Row],[my_ent_2]]=Table1[[#This Row],[their_ent_2]], 1, 0)</f>
        <v>0</v>
      </c>
      <c r="J660">
        <f>IF(Table1[[#This Row],[same_1]]=1 &amp; Table1[[#This Row],[same_2]]=1, 1, 0)</f>
        <v>0</v>
      </c>
      <c r="K660">
        <f>IF(ISNUMBER(SEARCH(Table1[[#This Row],[their_ent_1]],Table1[[#This Row],[my_ent_1]])), 1, 0)</f>
        <v>1</v>
      </c>
      <c r="L660">
        <f>IF(ISNUMBER(SEARCH(Table1[[#This Row],[their_ent_2]],Table1[[#This Row],[my_ent_2]])), 1, 0)</f>
        <v>0</v>
      </c>
    </row>
    <row r="661" spans="1:12" x14ac:dyDescent="0.3">
      <c r="A661" t="s">
        <v>2165</v>
      </c>
      <c r="B661" t="s">
        <v>2166</v>
      </c>
      <c r="C661" t="s">
        <v>2167</v>
      </c>
      <c r="D661" t="s">
        <v>142</v>
      </c>
      <c r="E661" t="s">
        <v>2168</v>
      </c>
      <c r="F661">
        <v>0</v>
      </c>
      <c r="G661">
        <v>659</v>
      </c>
      <c r="H661">
        <f>IF(Table1[[#This Row],[my_ent_1]]=Table1[[#This Row],[their_ent_1]], 1, 0)</f>
        <v>0</v>
      </c>
      <c r="I661">
        <f>IF(Table1[[#This Row],[my_ent_2]]=Table1[[#This Row],[their_ent_2]], 1, 0)</f>
        <v>0</v>
      </c>
      <c r="J661">
        <f>IF(Table1[[#This Row],[same_1]]=1 &amp; Table1[[#This Row],[same_2]]=1, 1, 0)</f>
        <v>0</v>
      </c>
      <c r="K661">
        <f>IF(ISNUMBER(SEARCH(Table1[[#This Row],[their_ent_1]],Table1[[#This Row],[my_ent_1]])), 1, 0)</f>
        <v>0</v>
      </c>
      <c r="L661">
        <f>IF(ISNUMBER(SEARCH(Table1[[#This Row],[their_ent_2]],Table1[[#This Row],[my_ent_2]])), 1, 0)</f>
        <v>0</v>
      </c>
    </row>
    <row r="662" spans="1:12" x14ac:dyDescent="0.3">
      <c r="A662" t="s">
        <v>2169</v>
      </c>
      <c r="B662" t="s">
        <v>1047</v>
      </c>
      <c r="C662" t="s">
        <v>215</v>
      </c>
      <c r="D662" t="s">
        <v>215</v>
      </c>
      <c r="E662" t="s">
        <v>2170</v>
      </c>
      <c r="F662">
        <v>0</v>
      </c>
      <c r="G662">
        <v>660</v>
      </c>
      <c r="H662">
        <f>IF(Table1[[#This Row],[my_ent_1]]=Table1[[#This Row],[their_ent_1]], 1, 0)</f>
        <v>0</v>
      </c>
      <c r="I662">
        <f>IF(Table1[[#This Row],[my_ent_2]]=Table1[[#This Row],[their_ent_2]], 1, 0)</f>
        <v>0</v>
      </c>
      <c r="J662">
        <f>IF(Table1[[#This Row],[same_1]]=1 &amp; Table1[[#This Row],[same_2]]=1, 1, 0)</f>
        <v>0</v>
      </c>
      <c r="K662">
        <f>IF(ISNUMBER(SEARCH(Table1[[#This Row],[their_ent_1]],Table1[[#This Row],[my_ent_1]])), 1, 0)</f>
        <v>0</v>
      </c>
      <c r="L662">
        <f>IF(ISNUMBER(SEARCH(Table1[[#This Row],[their_ent_2]],Table1[[#This Row],[my_ent_2]])), 1, 0)</f>
        <v>0</v>
      </c>
    </row>
    <row r="663" spans="1:12" x14ac:dyDescent="0.3">
      <c r="A663" t="s">
        <v>2171</v>
      </c>
      <c r="B663" t="s">
        <v>2089</v>
      </c>
      <c r="C663" t="s">
        <v>2089</v>
      </c>
      <c r="D663" t="s">
        <v>26</v>
      </c>
      <c r="E663" t="s">
        <v>161</v>
      </c>
      <c r="F663">
        <v>0</v>
      </c>
      <c r="G663">
        <v>661</v>
      </c>
      <c r="H663">
        <f>IF(Table1[[#This Row],[my_ent_1]]=Table1[[#This Row],[their_ent_1]], 1, 0)</f>
        <v>1</v>
      </c>
      <c r="I663">
        <f>IF(Table1[[#This Row],[my_ent_2]]=Table1[[#This Row],[their_ent_2]], 1, 0)</f>
        <v>0</v>
      </c>
      <c r="J663">
        <f>IF(Table1[[#This Row],[same_1]]=1 &amp; Table1[[#This Row],[same_2]]=1, 1, 0)</f>
        <v>0</v>
      </c>
      <c r="K663">
        <f>IF(ISNUMBER(SEARCH(Table1[[#This Row],[their_ent_1]],Table1[[#This Row],[my_ent_1]])), 1, 0)</f>
        <v>1</v>
      </c>
      <c r="L663">
        <f>IF(ISNUMBER(SEARCH(Table1[[#This Row],[their_ent_2]],Table1[[#This Row],[my_ent_2]])), 1, 0)</f>
        <v>0</v>
      </c>
    </row>
    <row r="664" spans="1:12" x14ac:dyDescent="0.3">
      <c r="A664" t="s">
        <v>2172</v>
      </c>
      <c r="B664" t="s">
        <v>2173</v>
      </c>
      <c r="C664" t="s">
        <v>16</v>
      </c>
      <c r="D664" t="s">
        <v>2174</v>
      </c>
      <c r="E664" t="s">
        <v>2174</v>
      </c>
      <c r="F664">
        <v>0</v>
      </c>
      <c r="G664">
        <v>662</v>
      </c>
      <c r="H664">
        <f>IF(Table1[[#This Row],[my_ent_1]]=Table1[[#This Row],[their_ent_1]], 1, 0)</f>
        <v>0</v>
      </c>
      <c r="I664">
        <f>IF(Table1[[#This Row],[my_ent_2]]=Table1[[#This Row],[their_ent_2]], 1, 0)</f>
        <v>1</v>
      </c>
      <c r="J664">
        <f>IF(Table1[[#This Row],[same_1]]=1 &amp; Table1[[#This Row],[same_2]]=1, 1, 0)</f>
        <v>0</v>
      </c>
      <c r="K664">
        <f>IF(ISNUMBER(SEARCH(Table1[[#This Row],[their_ent_1]],Table1[[#This Row],[my_ent_1]])), 1, 0)</f>
        <v>0</v>
      </c>
      <c r="L664">
        <f>IF(ISNUMBER(SEARCH(Table1[[#This Row],[their_ent_2]],Table1[[#This Row],[my_ent_2]])), 1, 0)</f>
        <v>1</v>
      </c>
    </row>
    <row r="665" spans="1:12" x14ac:dyDescent="0.3">
      <c r="A665" t="s">
        <v>2175</v>
      </c>
      <c r="B665" t="s">
        <v>2176</v>
      </c>
      <c r="C665" t="s">
        <v>2177</v>
      </c>
      <c r="D665" t="s">
        <v>2178</v>
      </c>
      <c r="E665" t="s">
        <v>2179</v>
      </c>
      <c r="F665">
        <v>0</v>
      </c>
      <c r="G665">
        <v>663</v>
      </c>
      <c r="H665">
        <f>IF(Table1[[#This Row],[my_ent_1]]=Table1[[#This Row],[their_ent_1]], 1, 0)</f>
        <v>0</v>
      </c>
      <c r="I665">
        <f>IF(Table1[[#This Row],[my_ent_2]]=Table1[[#This Row],[their_ent_2]], 1, 0)</f>
        <v>0</v>
      </c>
      <c r="J665">
        <f>IF(Table1[[#This Row],[same_1]]=1 &amp; Table1[[#This Row],[same_2]]=1, 1, 0)</f>
        <v>0</v>
      </c>
      <c r="K665">
        <f>IF(ISNUMBER(SEARCH(Table1[[#This Row],[their_ent_1]],Table1[[#This Row],[my_ent_1]])), 1, 0)</f>
        <v>0</v>
      </c>
      <c r="L665">
        <f>IF(ISNUMBER(SEARCH(Table1[[#This Row],[their_ent_2]],Table1[[#This Row],[my_ent_2]])), 1, 0)</f>
        <v>0</v>
      </c>
    </row>
    <row r="666" spans="1:12" x14ac:dyDescent="0.3">
      <c r="A666" t="s">
        <v>2180</v>
      </c>
      <c r="B666" t="s">
        <v>2174</v>
      </c>
      <c r="C666" t="s">
        <v>2181</v>
      </c>
      <c r="D666" t="s">
        <v>2182</v>
      </c>
      <c r="E666" t="s">
        <v>2182</v>
      </c>
      <c r="F666">
        <v>0</v>
      </c>
      <c r="G666">
        <v>664</v>
      </c>
      <c r="H666">
        <f>IF(Table1[[#This Row],[my_ent_1]]=Table1[[#This Row],[their_ent_1]], 1, 0)</f>
        <v>0</v>
      </c>
      <c r="I666">
        <f>IF(Table1[[#This Row],[my_ent_2]]=Table1[[#This Row],[their_ent_2]], 1, 0)</f>
        <v>1</v>
      </c>
      <c r="J666">
        <f>IF(Table1[[#This Row],[same_1]]=1 &amp; Table1[[#This Row],[same_2]]=1, 1, 0)</f>
        <v>0</v>
      </c>
      <c r="K666">
        <f>IF(ISNUMBER(SEARCH(Table1[[#This Row],[their_ent_1]],Table1[[#This Row],[my_ent_1]])), 1, 0)</f>
        <v>0</v>
      </c>
      <c r="L666">
        <f>IF(ISNUMBER(SEARCH(Table1[[#This Row],[their_ent_2]],Table1[[#This Row],[my_ent_2]])), 1, 0)</f>
        <v>1</v>
      </c>
    </row>
    <row r="667" spans="1:12" x14ac:dyDescent="0.3">
      <c r="A667" t="s">
        <v>2183</v>
      </c>
      <c r="B667" t="s">
        <v>127</v>
      </c>
      <c r="C667" t="s">
        <v>324</v>
      </c>
      <c r="D667" t="s">
        <v>323</v>
      </c>
      <c r="E667" t="s">
        <v>2184</v>
      </c>
      <c r="F667">
        <v>0</v>
      </c>
      <c r="G667">
        <v>665</v>
      </c>
      <c r="H667">
        <f>IF(Table1[[#This Row],[my_ent_1]]=Table1[[#This Row],[their_ent_1]], 1, 0)</f>
        <v>0</v>
      </c>
      <c r="I667">
        <f>IF(Table1[[#This Row],[my_ent_2]]=Table1[[#This Row],[their_ent_2]], 1, 0)</f>
        <v>0</v>
      </c>
      <c r="J667">
        <f>IF(Table1[[#This Row],[same_1]]=1 &amp; Table1[[#This Row],[same_2]]=1, 1, 0)</f>
        <v>0</v>
      </c>
      <c r="K667">
        <f>IF(ISNUMBER(SEARCH(Table1[[#This Row],[their_ent_1]],Table1[[#This Row],[my_ent_1]])), 1, 0)</f>
        <v>0</v>
      </c>
      <c r="L667">
        <f>IF(ISNUMBER(SEARCH(Table1[[#This Row],[their_ent_2]],Table1[[#This Row],[my_ent_2]])), 1, 0)</f>
        <v>0</v>
      </c>
    </row>
    <row r="668" spans="1:12" x14ac:dyDescent="0.3">
      <c r="A668" t="s">
        <v>2185</v>
      </c>
      <c r="B668" t="s">
        <v>2186</v>
      </c>
      <c r="C668" t="s">
        <v>2187</v>
      </c>
      <c r="D668" t="s">
        <v>124</v>
      </c>
      <c r="E668" t="s">
        <v>30</v>
      </c>
      <c r="F668">
        <v>0</v>
      </c>
      <c r="G668">
        <v>666</v>
      </c>
      <c r="H668">
        <f>IF(Table1[[#This Row],[my_ent_1]]=Table1[[#This Row],[their_ent_1]], 1, 0)</f>
        <v>0</v>
      </c>
      <c r="I668">
        <f>IF(Table1[[#This Row],[my_ent_2]]=Table1[[#This Row],[their_ent_2]], 1, 0)</f>
        <v>0</v>
      </c>
      <c r="J668">
        <f>IF(Table1[[#This Row],[same_1]]=1 &amp; Table1[[#This Row],[same_2]]=1, 1, 0)</f>
        <v>0</v>
      </c>
      <c r="K668">
        <f>IF(ISNUMBER(SEARCH(Table1[[#This Row],[their_ent_1]],Table1[[#This Row],[my_ent_1]])), 1, 0)</f>
        <v>1</v>
      </c>
      <c r="L668">
        <f>IF(ISNUMBER(SEARCH(Table1[[#This Row],[their_ent_2]],Table1[[#This Row],[my_ent_2]])), 1, 0)</f>
        <v>1</v>
      </c>
    </row>
    <row r="669" spans="1:12" x14ac:dyDescent="0.3">
      <c r="A669" t="s">
        <v>2188</v>
      </c>
      <c r="B669" t="s">
        <v>175</v>
      </c>
      <c r="C669" t="s">
        <v>176</v>
      </c>
      <c r="D669" t="s">
        <v>202</v>
      </c>
      <c r="E669" t="s">
        <v>2189</v>
      </c>
      <c r="F669">
        <v>0</v>
      </c>
      <c r="G669">
        <v>667</v>
      </c>
      <c r="H669">
        <f>IF(Table1[[#This Row],[my_ent_1]]=Table1[[#This Row],[their_ent_1]], 1, 0)</f>
        <v>0</v>
      </c>
      <c r="I669">
        <f>IF(Table1[[#This Row],[my_ent_2]]=Table1[[#This Row],[their_ent_2]], 1, 0)</f>
        <v>0</v>
      </c>
      <c r="J669">
        <f>IF(Table1[[#This Row],[same_1]]=1 &amp; Table1[[#This Row],[same_2]]=1, 1, 0)</f>
        <v>0</v>
      </c>
      <c r="K669">
        <f>IF(ISNUMBER(SEARCH(Table1[[#This Row],[their_ent_1]],Table1[[#This Row],[my_ent_1]])), 1, 0)</f>
        <v>1</v>
      </c>
      <c r="L669">
        <f>IF(ISNUMBER(SEARCH(Table1[[#This Row],[their_ent_2]],Table1[[#This Row],[my_ent_2]])), 1, 0)</f>
        <v>0</v>
      </c>
    </row>
    <row r="670" spans="1:12" x14ac:dyDescent="0.3">
      <c r="A670" t="s">
        <v>2190</v>
      </c>
      <c r="B670" t="s">
        <v>1011</v>
      </c>
      <c r="C670" t="s">
        <v>1929</v>
      </c>
      <c r="D670" t="s">
        <v>2191</v>
      </c>
      <c r="E670" t="s">
        <v>2192</v>
      </c>
      <c r="F670">
        <v>0</v>
      </c>
      <c r="G670">
        <v>668</v>
      </c>
      <c r="H670">
        <f>IF(Table1[[#This Row],[my_ent_1]]=Table1[[#This Row],[their_ent_1]], 1, 0)</f>
        <v>0</v>
      </c>
      <c r="I670">
        <f>IF(Table1[[#This Row],[my_ent_2]]=Table1[[#This Row],[their_ent_2]], 1, 0)</f>
        <v>0</v>
      </c>
      <c r="J670">
        <f>IF(Table1[[#This Row],[same_1]]=1 &amp; Table1[[#This Row],[same_2]]=1, 1, 0)</f>
        <v>0</v>
      </c>
      <c r="K670">
        <f>IF(ISNUMBER(SEARCH(Table1[[#This Row],[their_ent_1]],Table1[[#This Row],[my_ent_1]])), 1, 0)</f>
        <v>0</v>
      </c>
      <c r="L670">
        <f>IF(ISNUMBER(SEARCH(Table1[[#This Row],[their_ent_2]],Table1[[#This Row],[my_ent_2]])), 1, 0)</f>
        <v>0</v>
      </c>
    </row>
    <row r="671" spans="1:12" x14ac:dyDescent="0.3">
      <c r="A671" t="s">
        <v>2193</v>
      </c>
      <c r="B671" t="s">
        <v>2194</v>
      </c>
      <c r="C671" t="s">
        <v>2194</v>
      </c>
      <c r="D671" t="s">
        <v>2195</v>
      </c>
      <c r="E671" t="s">
        <v>289</v>
      </c>
      <c r="F671">
        <v>0</v>
      </c>
      <c r="G671">
        <v>669</v>
      </c>
      <c r="H671">
        <f>IF(Table1[[#This Row],[my_ent_1]]=Table1[[#This Row],[their_ent_1]], 1, 0)</f>
        <v>1</v>
      </c>
      <c r="I671">
        <f>IF(Table1[[#This Row],[my_ent_2]]=Table1[[#This Row],[their_ent_2]], 1, 0)</f>
        <v>0</v>
      </c>
      <c r="J671">
        <f>IF(Table1[[#This Row],[same_1]]=1 &amp; Table1[[#This Row],[same_2]]=1, 1, 0)</f>
        <v>0</v>
      </c>
      <c r="K671">
        <f>IF(ISNUMBER(SEARCH(Table1[[#This Row],[their_ent_1]],Table1[[#This Row],[my_ent_1]])), 1, 0)</f>
        <v>1</v>
      </c>
      <c r="L671">
        <f>IF(ISNUMBER(SEARCH(Table1[[#This Row],[their_ent_2]],Table1[[#This Row],[my_ent_2]])), 1, 0)</f>
        <v>0</v>
      </c>
    </row>
    <row r="672" spans="1:12" x14ac:dyDescent="0.3">
      <c r="A672" t="s">
        <v>2196</v>
      </c>
      <c r="B672" t="s">
        <v>2197</v>
      </c>
      <c r="C672" t="s">
        <v>44</v>
      </c>
      <c r="D672" t="s">
        <v>2198</v>
      </c>
      <c r="E672" t="s">
        <v>2197</v>
      </c>
      <c r="F672">
        <v>0</v>
      </c>
      <c r="G672">
        <v>670</v>
      </c>
      <c r="H672">
        <f>IF(Table1[[#This Row],[my_ent_1]]=Table1[[#This Row],[their_ent_1]], 1, 0)</f>
        <v>0</v>
      </c>
      <c r="I672">
        <f>IF(Table1[[#This Row],[my_ent_2]]=Table1[[#This Row],[their_ent_2]], 1, 0)</f>
        <v>0</v>
      </c>
      <c r="J672">
        <f>IF(Table1[[#This Row],[same_1]]=1 &amp; Table1[[#This Row],[same_2]]=1, 1, 0)</f>
        <v>0</v>
      </c>
      <c r="K672">
        <f>IF(ISNUMBER(SEARCH(Table1[[#This Row],[their_ent_1]],Table1[[#This Row],[my_ent_1]])), 1, 0)</f>
        <v>0</v>
      </c>
      <c r="L672">
        <f>IF(ISNUMBER(SEARCH(Table1[[#This Row],[their_ent_2]],Table1[[#This Row],[my_ent_2]])), 1, 0)</f>
        <v>0</v>
      </c>
    </row>
    <row r="673" spans="1:12" x14ac:dyDescent="0.3">
      <c r="A673" t="s">
        <v>2199</v>
      </c>
      <c r="B673" t="s">
        <v>353</v>
      </c>
      <c r="C673" t="s">
        <v>599</v>
      </c>
      <c r="D673" t="s">
        <v>78</v>
      </c>
      <c r="E673" t="s">
        <v>353</v>
      </c>
      <c r="F673">
        <v>0</v>
      </c>
      <c r="G673">
        <v>671</v>
      </c>
      <c r="H673">
        <f>IF(Table1[[#This Row],[my_ent_1]]=Table1[[#This Row],[their_ent_1]], 1, 0)</f>
        <v>0</v>
      </c>
      <c r="I673">
        <f>IF(Table1[[#This Row],[my_ent_2]]=Table1[[#This Row],[their_ent_2]], 1, 0)</f>
        <v>0</v>
      </c>
      <c r="J673">
        <f>IF(Table1[[#This Row],[same_1]]=1 &amp; Table1[[#This Row],[same_2]]=1, 1, 0)</f>
        <v>0</v>
      </c>
      <c r="K673">
        <f>IF(ISNUMBER(SEARCH(Table1[[#This Row],[their_ent_1]],Table1[[#This Row],[my_ent_1]])), 1, 0)</f>
        <v>0</v>
      </c>
      <c r="L673">
        <f>IF(ISNUMBER(SEARCH(Table1[[#This Row],[their_ent_2]],Table1[[#This Row],[my_ent_2]])), 1, 0)</f>
        <v>0</v>
      </c>
    </row>
    <row r="674" spans="1:12" x14ac:dyDescent="0.3">
      <c r="A674" t="s">
        <v>2200</v>
      </c>
      <c r="B674" t="s">
        <v>932</v>
      </c>
      <c r="C674" t="s">
        <v>932</v>
      </c>
      <c r="D674" t="s">
        <v>59</v>
      </c>
      <c r="E674" t="s">
        <v>2201</v>
      </c>
      <c r="F674">
        <v>0</v>
      </c>
      <c r="G674">
        <v>672</v>
      </c>
      <c r="H674">
        <f>IF(Table1[[#This Row],[my_ent_1]]=Table1[[#This Row],[their_ent_1]], 1, 0)</f>
        <v>1</v>
      </c>
      <c r="I674">
        <f>IF(Table1[[#This Row],[my_ent_2]]=Table1[[#This Row],[their_ent_2]], 1, 0)</f>
        <v>0</v>
      </c>
      <c r="J674">
        <f>IF(Table1[[#This Row],[same_1]]=1 &amp; Table1[[#This Row],[same_2]]=1, 1, 0)</f>
        <v>0</v>
      </c>
      <c r="K674">
        <f>IF(ISNUMBER(SEARCH(Table1[[#This Row],[their_ent_1]],Table1[[#This Row],[my_ent_1]])), 1, 0)</f>
        <v>1</v>
      </c>
      <c r="L674">
        <f>IF(ISNUMBER(SEARCH(Table1[[#This Row],[their_ent_2]],Table1[[#This Row],[my_ent_2]])), 1, 0)</f>
        <v>0</v>
      </c>
    </row>
    <row r="675" spans="1:12" x14ac:dyDescent="0.3">
      <c r="A675" t="s">
        <v>2202</v>
      </c>
      <c r="B675" t="s">
        <v>59</v>
      </c>
      <c r="C675" t="s">
        <v>316</v>
      </c>
      <c r="D675" t="s">
        <v>59</v>
      </c>
      <c r="E675" t="s">
        <v>2203</v>
      </c>
      <c r="F675">
        <v>0</v>
      </c>
      <c r="G675">
        <v>673</v>
      </c>
      <c r="H675">
        <f>IF(Table1[[#This Row],[my_ent_1]]=Table1[[#This Row],[their_ent_1]], 1, 0)</f>
        <v>0</v>
      </c>
      <c r="I675">
        <f>IF(Table1[[#This Row],[my_ent_2]]=Table1[[#This Row],[their_ent_2]], 1, 0)</f>
        <v>0</v>
      </c>
      <c r="J675">
        <f>IF(Table1[[#This Row],[same_1]]=1 &amp; Table1[[#This Row],[same_2]]=1, 1, 0)</f>
        <v>0</v>
      </c>
      <c r="K675">
        <f>IF(ISNUMBER(SEARCH(Table1[[#This Row],[their_ent_1]],Table1[[#This Row],[my_ent_1]])), 1, 0)</f>
        <v>0</v>
      </c>
      <c r="L675">
        <f>IF(ISNUMBER(SEARCH(Table1[[#This Row],[their_ent_2]],Table1[[#This Row],[my_ent_2]])), 1, 0)</f>
        <v>0</v>
      </c>
    </row>
    <row r="676" spans="1:12" x14ac:dyDescent="0.3">
      <c r="A676" t="s">
        <v>2204</v>
      </c>
      <c r="B676" t="s">
        <v>2205</v>
      </c>
      <c r="C676" t="s">
        <v>929</v>
      </c>
      <c r="D676" t="s">
        <v>929</v>
      </c>
      <c r="E676" t="s">
        <v>2206</v>
      </c>
      <c r="F676">
        <v>0</v>
      </c>
      <c r="G676">
        <v>674</v>
      </c>
      <c r="H676">
        <f>IF(Table1[[#This Row],[my_ent_1]]=Table1[[#This Row],[their_ent_1]], 1, 0)</f>
        <v>0</v>
      </c>
      <c r="I676">
        <f>IF(Table1[[#This Row],[my_ent_2]]=Table1[[#This Row],[their_ent_2]], 1, 0)</f>
        <v>0</v>
      </c>
      <c r="J676">
        <f>IF(Table1[[#This Row],[same_1]]=1 &amp; Table1[[#This Row],[same_2]]=1, 1, 0)</f>
        <v>0</v>
      </c>
      <c r="K676">
        <f>IF(ISNUMBER(SEARCH(Table1[[#This Row],[their_ent_1]],Table1[[#This Row],[my_ent_1]])), 1, 0)</f>
        <v>0</v>
      </c>
      <c r="L676">
        <f>IF(ISNUMBER(SEARCH(Table1[[#This Row],[their_ent_2]],Table1[[#This Row],[my_ent_2]])), 1, 0)</f>
        <v>0</v>
      </c>
    </row>
    <row r="677" spans="1:12" x14ac:dyDescent="0.3">
      <c r="A677" t="s">
        <v>2207</v>
      </c>
      <c r="B677" t="s">
        <v>2208</v>
      </c>
      <c r="C677" t="s">
        <v>2209</v>
      </c>
      <c r="D677" t="s">
        <v>2209</v>
      </c>
      <c r="E677" t="s">
        <v>2210</v>
      </c>
      <c r="F677">
        <v>0</v>
      </c>
      <c r="G677">
        <v>675</v>
      </c>
      <c r="H677">
        <f>IF(Table1[[#This Row],[my_ent_1]]=Table1[[#This Row],[their_ent_1]], 1, 0)</f>
        <v>0</v>
      </c>
      <c r="I677">
        <f>IF(Table1[[#This Row],[my_ent_2]]=Table1[[#This Row],[their_ent_2]], 1, 0)</f>
        <v>0</v>
      </c>
      <c r="J677">
        <f>IF(Table1[[#This Row],[same_1]]=1 &amp; Table1[[#This Row],[same_2]]=1, 1, 0)</f>
        <v>0</v>
      </c>
      <c r="K677">
        <f>IF(ISNUMBER(SEARCH(Table1[[#This Row],[their_ent_1]],Table1[[#This Row],[my_ent_1]])), 1, 0)</f>
        <v>0</v>
      </c>
      <c r="L677">
        <f>IF(ISNUMBER(SEARCH(Table1[[#This Row],[their_ent_2]],Table1[[#This Row],[my_ent_2]])), 1, 0)</f>
        <v>0</v>
      </c>
    </row>
    <row r="678" spans="1:12" x14ac:dyDescent="0.3">
      <c r="A678" t="s">
        <v>2211</v>
      </c>
      <c r="B678" t="s">
        <v>2212</v>
      </c>
      <c r="C678" t="s">
        <v>2213</v>
      </c>
      <c r="D678" t="s">
        <v>140</v>
      </c>
      <c r="E678" t="s">
        <v>140</v>
      </c>
      <c r="F678">
        <v>0</v>
      </c>
      <c r="G678">
        <v>676</v>
      </c>
      <c r="H678">
        <f>IF(Table1[[#This Row],[my_ent_1]]=Table1[[#This Row],[their_ent_1]], 1, 0)</f>
        <v>0</v>
      </c>
      <c r="I678">
        <f>IF(Table1[[#This Row],[my_ent_2]]=Table1[[#This Row],[their_ent_2]], 1, 0)</f>
        <v>1</v>
      </c>
      <c r="J678">
        <f>IF(Table1[[#This Row],[same_1]]=1 &amp; Table1[[#This Row],[same_2]]=1, 1, 0)</f>
        <v>0</v>
      </c>
      <c r="K678">
        <f>IF(ISNUMBER(SEARCH(Table1[[#This Row],[their_ent_1]],Table1[[#This Row],[my_ent_1]])), 1, 0)</f>
        <v>0</v>
      </c>
      <c r="L678">
        <f>IF(ISNUMBER(SEARCH(Table1[[#This Row],[their_ent_2]],Table1[[#This Row],[my_ent_2]])), 1, 0)</f>
        <v>1</v>
      </c>
    </row>
    <row r="679" spans="1:12" x14ac:dyDescent="0.3">
      <c r="A679" t="s">
        <v>2214</v>
      </c>
      <c r="B679" t="s">
        <v>78</v>
      </c>
      <c r="C679" t="s">
        <v>78</v>
      </c>
      <c r="D679" t="s">
        <v>825</v>
      </c>
      <c r="E679" t="s">
        <v>30</v>
      </c>
      <c r="F679">
        <v>0</v>
      </c>
      <c r="G679">
        <v>677</v>
      </c>
      <c r="H679">
        <f>IF(Table1[[#This Row],[my_ent_1]]=Table1[[#This Row],[their_ent_1]], 1, 0)</f>
        <v>1</v>
      </c>
      <c r="I679">
        <f>IF(Table1[[#This Row],[my_ent_2]]=Table1[[#This Row],[their_ent_2]], 1, 0)</f>
        <v>0</v>
      </c>
      <c r="J679">
        <f>IF(Table1[[#This Row],[same_1]]=1 &amp; Table1[[#This Row],[same_2]]=1, 1, 0)</f>
        <v>0</v>
      </c>
      <c r="K679">
        <f>IF(ISNUMBER(SEARCH(Table1[[#This Row],[their_ent_1]],Table1[[#This Row],[my_ent_1]])), 1, 0)</f>
        <v>1</v>
      </c>
      <c r="L679">
        <f>IF(ISNUMBER(SEARCH(Table1[[#This Row],[their_ent_2]],Table1[[#This Row],[my_ent_2]])), 1, 0)</f>
        <v>0</v>
      </c>
    </row>
    <row r="680" spans="1:12" x14ac:dyDescent="0.3">
      <c r="A680" t="s">
        <v>2215</v>
      </c>
      <c r="B680" t="s">
        <v>59</v>
      </c>
      <c r="C680" t="s">
        <v>2216</v>
      </c>
      <c r="D680" t="s">
        <v>59</v>
      </c>
      <c r="E680" t="s">
        <v>766</v>
      </c>
      <c r="F680">
        <v>0</v>
      </c>
      <c r="G680">
        <v>678</v>
      </c>
      <c r="H680">
        <f>IF(Table1[[#This Row],[my_ent_1]]=Table1[[#This Row],[their_ent_1]], 1, 0)</f>
        <v>0</v>
      </c>
      <c r="I680">
        <f>IF(Table1[[#This Row],[my_ent_2]]=Table1[[#This Row],[their_ent_2]], 1, 0)</f>
        <v>0</v>
      </c>
      <c r="J680">
        <f>IF(Table1[[#This Row],[same_1]]=1 &amp; Table1[[#This Row],[same_2]]=1, 1, 0)</f>
        <v>0</v>
      </c>
      <c r="K680">
        <f>IF(ISNUMBER(SEARCH(Table1[[#This Row],[their_ent_1]],Table1[[#This Row],[my_ent_1]])), 1, 0)</f>
        <v>0</v>
      </c>
      <c r="L680">
        <f>IF(ISNUMBER(SEARCH(Table1[[#This Row],[their_ent_2]],Table1[[#This Row],[my_ent_2]])), 1, 0)</f>
        <v>0</v>
      </c>
    </row>
    <row r="681" spans="1:12" x14ac:dyDescent="0.3">
      <c r="A681" t="s">
        <v>2217</v>
      </c>
      <c r="B681" t="s">
        <v>2218</v>
      </c>
      <c r="C681" t="s">
        <v>2218</v>
      </c>
      <c r="D681" t="s">
        <v>2219</v>
      </c>
      <c r="E681" t="s">
        <v>2220</v>
      </c>
      <c r="F681">
        <v>0</v>
      </c>
      <c r="G681">
        <v>679</v>
      </c>
      <c r="H681">
        <f>IF(Table1[[#This Row],[my_ent_1]]=Table1[[#This Row],[their_ent_1]], 1, 0)</f>
        <v>1</v>
      </c>
      <c r="I681">
        <f>IF(Table1[[#This Row],[my_ent_2]]=Table1[[#This Row],[their_ent_2]], 1, 0)</f>
        <v>0</v>
      </c>
      <c r="J681">
        <f>IF(Table1[[#This Row],[same_1]]=1 &amp; Table1[[#This Row],[same_2]]=1, 1, 0)</f>
        <v>0</v>
      </c>
      <c r="K681">
        <f>IF(ISNUMBER(SEARCH(Table1[[#This Row],[their_ent_1]],Table1[[#This Row],[my_ent_1]])), 1, 0)</f>
        <v>1</v>
      </c>
      <c r="L681">
        <f>IF(ISNUMBER(SEARCH(Table1[[#This Row],[their_ent_2]],Table1[[#This Row],[my_ent_2]])), 1, 0)</f>
        <v>0</v>
      </c>
    </row>
    <row r="682" spans="1:12" x14ac:dyDescent="0.3">
      <c r="A682" t="s">
        <v>2221</v>
      </c>
      <c r="B682" t="s">
        <v>2222</v>
      </c>
      <c r="C682" t="s">
        <v>2223</v>
      </c>
      <c r="D682" t="s">
        <v>2224</v>
      </c>
      <c r="E682" t="s">
        <v>2222</v>
      </c>
      <c r="F682">
        <v>0</v>
      </c>
      <c r="G682">
        <v>680</v>
      </c>
      <c r="H682">
        <f>IF(Table1[[#This Row],[my_ent_1]]=Table1[[#This Row],[their_ent_1]], 1, 0)</f>
        <v>0</v>
      </c>
      <c r="I682">
        <f>IF(Table1[[#This Row],[my_ent_2]]=Table1[[#This Row],[their_ent_2]], 1, 0)</f>
        <v>0</v>
      </c>
      <c r="J682">
        <f>IF(Table1[[#This Row],[same_1]]=1 &amp; Table1[[#This Row],[same_2]]=1, 1, 0)</f>
        <v>0</v>
      </c>
      <c r="K682">
        <f>IF(ISNUMBER(SEARCH(Table1[[#This Row],[their_ent_1]],Table1[[#This Row],[my_ent_1]])), 1, 0)</f>
        <v>0</v>
      </c>
      <c r="L682">
        <f>IF(ISNUMBER(SEARCH(Table1[[#This Row],[their_ent_2]],Table1[[#This Row],[my_ent_2]])), 1, 0)</f>
        <v>0</v>
      </c>
    </row>
    <row r="683" spans="1:12" x14ac:dyDescent="0.3">
      <c r="A683" t="s">
        <v>2225</v>
      </c>
      <c r="B683" t="s">
        <v>2226</v>
      </c>
      <c r="C683" t="s">
        <v>2227</v>
      </c>
      <c r="D683" t="s">
        <v>2228</v>
      </c>
      <c r="E683" t="s">
        <v>783</v>
      </c>
      <c r="F683">
        <v>0</v>
      </c>
      <c r="G683">
        <v>681</v>
      </c>
      <c r="H683">
        <f>IF(Table1[[#This Row],[my_ent_1]]=Table1[[#This Row],[their_ent_1]], 1, 0)</f>
        <v>0</v>
      </c>
      <c r="I683">
        <f>IF(Table1[[#This Row],[my_ent_2]]=Table1[[#This Row],[their_ent_2]], 1, 0)</f>
        <v>0</v>
      </c>
      <c r="J683">
        <f>IF(Table1[[#This Row],[same_1]]=1 &amp; Table1[[#This Row],[same_2]]=1, 1, 0)</f>
        <v>0</v>
      </c>
      <c r="K683">
        <f>IF(ISNUMBER(SEARCH(Table1[[#This Row],[their_ent_1]],Table1[[#This Row],[my_ent_1]])), 1, 0)</f>
        <v>0</v>
      </c>
      <c r="L683">
        <f>IF(ISNUMBER(SEARCH(Table1[[#This Row],[their_ent_2]],Table1[[#This Row],[my_ent_2]])), 1, 0)</f>
        <v>0</v>
      </c>
    </row>
    <row r="684" spans="1:12" x14ac:dyDescent="0.3">
      <c r="A684" t="s">
        <v>2229</v>
      </c>
      <c r="B684" t="s">
        <v>153</v>
      </c>
      <c r="C684" t="s">
        <v>1404</v>
      </c>
      <c r="D684" t="s">
        <v>59</v>
      </c>
      <c r="E684" t="s">
        <v>2230</v>
      </c>
      <c r="F684">
        <v>0</v>
      </c>
      <c r="G684">
        <v>682</v>
      </c>
      <c r="H684">
        <f>IF(Table1[[#This Row],[my_ent_1]]=Table1[[#This Row],[their_ent_1]], 1, 0)</f>
        <v>0</v>
      </c>
      <c r="I684">
        <f>IF(Table1[[#This Row],[my_ent_2]]=Table1[[#This Row],[their_ent_2]], 1, 0)</f>
        <v>0</v>
      </c>
      <c r="J684">
        <f>IF(Table1[[#This Row],[same_1]]=1 &amp; Table1[[#This Row],[same_2]]=1, 1, 0)</f>
        <v>0</v>
      </c>
      <c r="K684">
        <f>IF(ISNUMBER(SEARCH(Table1[[#This Row],[their_ent_1]],Table1[[#This Row],[my_ent_1]])), 1, 0)</f>
        <v>1</v>
      </c>
      <c r="L684">
        <f>IF(ISNUMBER(SEARCH(Table1[[#This Row],[their_ent_2]],Table1[[#This Row],[my_ent_2]])), 1, 0)</f>
        <v>0</v>
      </c>
    </row>
    <row r="685" spans="1:12" x14ac:dyDescent="0.3">
      <c r="A685" t="s">
        <v>2231</v>
      </c>
      <c r="B685" t="s">
        <v>1579</v>
      </c>
      <c r="C685" t="s">
        <v>2232</v>
      </c>
      <c r="D685" t="s">
        <v>59</v>
      </c>
      <c r="E685" t="s">
        <v>1674</v>
      </c>
      <c r="F685">
        <v>0</v>
      </c>
      <c r="G685">
        <v>683</v>
      </c>
      <c r="H685">
        <f>IF(Table1[[#This Row],[my_ent_1]]=Table1[[#This Row],[their_ent_1]], 1, 0)</f>
        <v>0</v>
      </c>
      <c r="I685">
        <f>IF(Table1[[#This Row],[my_ent_2]]=Table1[[#This Row],[their_ent_2]], 1, 0)</f>
        <v>0</v>
      </c>
      <c r="J685">
        <f>IF(Table1[[#This Row],[same_1]]=1 &amp; Table1[[#This Row],[same_2]]=1, 1, 0)</f>
        <v>0</v>
      </c>
      <c r="K685">
        <f>IF(ISNUMBER(SEARCH(Table1[[#This Row],[their_ent_1]],Table1[[#This Row],[my_ent_1]])), 1, 0)</f>
        <v>0</v>
      </c>
      <c r="L685">
        <f>IF(ISNUMBER(SEARCH(Table1[[#This Row],[their_ent_2]],Table1[[#This Row],[my_ent_2]])), 1, 0)</f>
        <v>0</v>
      </c>
    </row>
    <row r="686" spans="1:12" x14ac:dyDescent="0.3">
      <c r="A686" t="s">
        <v>2233</v>
      </c>
      <c r="B686" t="s">
        <v>1755</v>
      </c>
      <c r="C686" t="s">
        <v>2234</v>
      </c>
      <c r="D686" t="s">
        <v>2235</v>
      </c>
      <c r="E686" t="s">
        <v>354</v>
      </c>
      <c r="F686">
        <v>0</v>
      </c>
      <c r="G686">
        <v>684</v>
      </c>
      <c r="H686">
        <f>IF(Table1[[#This Row],[my_ent_1]]=Table1[[#This Row],[their_ent_1]], 1, 0)</f>
        <v>0</v>
      </c>
      <c r="I686">
        <f>IF(Table1[[#This Row],[my_ent_2]]=Table1[[#This Row],[their_ent_2]], 1, 0)</f>
        <v>0</v>
      </c>
      <c r="J686">
        <f>IF(Table1[[#This Row],[same_1]]=1 &amp; Table1[[#This Row],[same_2]]=1, 1, 0)</f>
        <v>0</v>
      </c>
      <c r="K686">
        <f>IF(ISNUMBER(SEARCH(Table1[[#This Row],[their_ent_1]],Table1[[#This Row],[my_ent_1]])), 1, 0)</f>
        <v>0</v>
      </c>
      <c r="L686">
        <f>IF(ISNUMBER(SEARCH(Table1[[#This Row],[their_ent_2]],Table1[[#This Row],[my_ent_2]])), 1, 0)</f>
        <v>0</v>
      </c>
    </row>
    <row r="687" spans="1:12" x14ac:dyDescent="0.3">
      <c r="A687" t="s">
        <v>2236</v>
      </c>
      <c r="B687" t="s">
        <v>2237</v>
      </c>
      <c r="C687" t="s">
        <v>2238</v>
      </c>
      <c r="D687" t="s">
        <v>2238</v>
      </c>
      <c r="E687" t="s">
        <v>879</v>
      </c>
      <c r="F687">
        <v>0</v>
      </c>
      <c r="G687">
        <v>685</v>
      </c>
      <c r="H687">
        <f>IF(Table1[[#This Row],[my_ent_1]]=Table1[[#This Row],[their_ent_1]], 1, 0)</f>
        <v>0</v>
      </c>
      <c r="I687">
        <f>IF(Table1[[#This Row],[my_ent_2]]=Table1[[#This Row],[their_ent_2]], 1, 0)</f>
        <v>0</v>
      </c>
      <c r="J687">
        <f>IF(Table1[[#This Row],[same_1]]=1 &amp; Table1[[#This Row],[same_2]]=1, 1, 0)</f>
        <v>0</v>
      </c>
      <c r="K687">
        <f>IF(ISNUMBER(SEARCH(Table1[[#This Row],[their_ent_1]],Table1[[#This Row],[my_ent_1]])), 1, 0)</f>
        <v>0</v>
      </c>
      <c r="L687">
        <f>IF(ISNUMBER(SEARCH(Table1[[#This Row],[their_ent_2]],Table1[[#This Row],[my_ent_2]])), 1, 0)</f>
        <v>0</v>
      </c>
    </row>
    <row r="688" spans="1:12" x14ac:dyDescent="0.3">
      <c r="A688" t="s">
        <v>2239</v>
      </c>
      <c r="B688" t="s">
        <v>2240</v>
      </c>
      <c r="C688" t="s">
        <v>1998</v>
      </c>
      <c r="D688" t="s">
        <v>2241</v>
      </c>
      <c r="E688" t="s">
        <v>160</v>
      </c>
      <c r="F688">
        <v>0</v>
      </c>
      <c r="G688">
        <v>686</v>
      </c>
      <c r="H688">
        <f>IF(Table1[[#This Row],[my_ent_1]]=Table1[[#This Row],[their_ent_1]], 1, 0)</f>
        <v>0</v>
      </c>
      <c r="I688">
        <f>IF(Table1[[#This Row],[my_ent_2]]=Table1[[#This Row],[their_ent_2]], 1, 0)</f>
        <v>0</v>
      </c>
      <c r="J688">
        <f>IF(Table1[[#This Row],[same_1]]=1 &amp; Table1[[#This Row],[same_2]]=1, 1, 0)</f>
        <v>0</v>
      </c>
      <c r="K688">
        <f>IF(ISNUMBER(SEARCH(Table1[[#This Row],[their_ent_1]],Table1[[#This Row],[my_ent_1]])), 1, 0)</f>
        <v>1</v>
      </c>
      <c r="L688">
        <f>IF(ISNUMBER(SEARCH(Table1[[#This Row],[their_ent_2]],Table1[[#This Row],[my_ent_2]])), 1, 0)</f>
        <v>1</v>
      </c>
    </row>
    <row r="689" spans="1:12" x14ac:dyDescent="0.3">
      <c r="A689" t="s">
        <v>2242</v>
      </c>
      <c r="B689" t="s">
        <v>2243</v>
      </c>
      <c r="C689" t="s">
        <v>2244</v>
      </c>
      <c r="D689" t="s">
        <v>2245</v>
      </c>
      <c r="E689" t="s">
        <v>2245</v>
      </c>
      <c r="F689">
        <v>0</v>
      </c>
      <c r="G689">
        <v>687</v>
      </c>
      <c r="H689">
        <f>IF(Table1[[#This Row],[my_ent_1]]=Table1[[#This Row],[their_ent_1]], 1, 0)</f>
        <v>0</v>
      </c>
      <c r="I689">
        <f>IF(Table1[[#This Row],[my_ent_2]]=Table1[[#This Row],[their_ent_2]], 1, 0)</f>
        <v>1</v>
      </c>
      <c r="J689">
        <f>IF(Table1[[#This Row],[same_1]]=1 &amp; Table1[[#This Row],[same_2]]=1, 1, 0)</f>
        <v>0</v>
      </c>
      <c r="K689">
        <f>IF(ISNUMBER(SEARCH(Table1[[#This Row],[their_ent_1]],Table1[[#This Row],[my_ent_1]])), 1, 0)</f>
        <v>0</v>
      </c>
      <c r="L689">
        <f>IF(ISNUMBER(SEARCH(Table1[[#This Row],[their_ent_2]],Table1[[#This Row],[my_ent_2]])), 1, 0)</f>
        <v>1</v>
      </c>
    </row>
    <row r="690" spans="1:12" x14ac:dyDescent="0.3">
      <c r="A690" t="s">
        <v>2246</v>
      </c>
      <c r="B690" t="s">
        <v>396</v>
      </c>
      <c r="C690" t="s">
        <v>2247</v>
      </c>
      <c r="D690" t="s">
        <v>113</v>
      </c>
      <c r="E690" t="s">
        <v>1361</v>
      </c>
      <c r="F690">
        <v>0</v>
      </c>
      <c r="G690">
        <v>688</v>
      </c>
      <c r="H690">
        <f>IF(Table1[[#This Row],[my_ent_1]]=Table1[[#This Row],[their_ent_1]], 1, 0)</f>
        <v>0</v>
      </c>
      <c r="I690">
        <f>IF(Table1[[#This Row],[my_ent_2]]=Table1[[#This Row],[their_ent_2]], 1, 0)</f>
        <v>0</v>
      </c>
      <c r="J690">
        <f>IF(Table1[[#This Row],[same_1]]=1 &amp; Table1[[#This Row],[same_2]]=1, 1, 0)</f>
        <v>0</v>
      </c>
      <c r="K690">
        <f>IF(ISNUMBER(SEARCH(Table1[[#This Row],[their_ent_1]],Table1[[#This Row],[my_ent_1]])), 1, 0)</f>
        <v>0</v>
      </c>
      <c r="L690">
        <f>IF(ISNUMBER(SEARCH(Table1[[#This Row],[their_ent_2]],Table1[[#This Row],[my_ent_2]])), 1, 0)</f>
        <v>0</v>
      </c>
    </row>
    <row r="691" spans="1:12" x14ac:dyDescent="0.3">
      <c r="A691" t="s">
        <v>2248</v>
      </c>
      <c r="B691" t="s">
        <v>353</v>
      </c>
      <c r="C691" t="s">
        <v>353</v>
      </c>
      <c r="D691" t="s">
        <v>2249</v>
      </c>
      <c r="E691" t="s">
        <v>2250</v>
      </c>
      <c r="F691">
        <v>0</v>
      </c>
      <c r="G691">
        <v>689</v>
      </c>
      <c r="H691">
        <f>IF(Table1[[#This Row],[my_ent_1]]=Table1[[#This Row],[their_ent_1]], 1, 0)</f>
        <v>1</v>
      </c>
      <c r="I691">
        <f>IF(Table1[[#This Row],[my_ent_2]]=Table1[[#This Row],[their_ent_2]], 1, 0)</f>
        <v>0</v>
      </c>
      <c r="J691">
        <f>IF(Table1[[#This Row],[same_1]]=1 &amp; Table1[[#This Row],[same_2]]=1, 1, 0)</f>
        <v>0</v>
      </c>
      <c r="K691">
        <f>IF(ISNUMBER(SEARCH(Table1[[#This Row],[their_ent_1]],Table1[[#This Row],[my_ent_1]])), 1, 0)</f>
        <v>1</v>
      </c>
      <c r="L691">
        <f>IF(ISNUMBER(SEARCH(Table1[[#This Row],[their_ent_2]],Table1[[#This Row],[my_ent_2]])), 1, 0)</f>
        <v>1</v>
      </c>
    </row>
    <row r="692" spans="1:12" x14ac:dyDescent="0.3">
      <c r="A692" t="s">
        <v>2251</v>
      </c>
      <c r="B692" t="s">
        <v>2252</v>
      </c>
      <c r="C692" t="s">
        <v>163</v>
      </c>
      <c r="D692" t="s">
        <v>163</v>
      </c>
      <c r="E692" t="s">
        <v>2253</v>
      </c>
      <c r="F692">
        <v>0</v>
      </c>
      <c r="G692">
        <v>690</v>
      </c>
      <c r="H692">
        <f>IF(Table1[[#This Row],[my_ent_1]]=Table1[[#This Row],[their_ent_1]], 1, 0)</f>
        <v>0</v>
      </c>
      <c r="I692">
        <f>IF(Table1[[#This Row],[my_ent_2]]=Table1[[#This Row],[their_ent_2]], 1, 0)</f>
        <v>0</v>
      </c>
      <c r="J692">
        <f>IF(Table1[[#This Row],[same_1]]=1 &amp; Table1[[#This Row],[same_2]]=1, 1, 0)</f>
        <v>0</v>
      </c>
      <c r="K692">
        <f>IF(ISNUMBER(SEARCH(Table1[[#This Row],[their_ent_1]],Table1[[#This Row],[my_ent_1]])), 1, 0)</f>
        <v>0</v>
      </c>
      <c r="L692">
        <f>IF(ISNUMBER(SEARCH(Table1[[#This Row],[their_ent_2]],Table1[[#This Row],[my_ent_2]])), 1, 0)</f>
        <v>0</v>
      </c>
    </row>
    <row r="693" spans="1:12" x14ac:dyDescent="0.3">
      <c r="A693" t="s">
        <v>2254</v>
      </c>
      <c r="B693" t="s">
        <v>2255</v>
      </c>
      <c r="C693" t="s">
        <v>2256</v>
      </c>
      <c r="D693" t="s">
        <v>26</v>
      </c>
      <c r="E693" t="s">
        <v>796</v>
      </c>
      <c r="F693">
        <v>0</v>
      </c>
      <c r="G693">
        <v>691</v>
      </c>
      <c r="H693">
        <f>IF(Table1[[#This Row],[my_ent_1]]=Table1[[#This Row],[their_ent_1]], 1, 0)</f>
        <v>0</v>
      </c>
      <c r="I693">
        <f>IF(Table1[[#This Row],[my_ent_2]]=Table1[[#This Row],[their_ent_2]], 1, 0)</f>
        <v>0</v>
      </c>
      <c r="J693">
        <f>IF(Table1[[#This Row],[same_1]]=1 &amp; Table1[[#This Row],[same_2]]=1, 1, 0)</f>
        <v>0</v>
      </c>
      <c r="K693">
        <f>IF(ISNUMBER(SEARCH(Table1[[#This Row],[their_ent_1]],Table1[[#This Row],[my_ent_1]])), 1, 0)</f>
        <v>1</v>
      </c>
      <c r="L693">
        <f>IF(ISNUMBER(SEARCH(Table1[[#This Row],[their_ent_2]],Table1[[#This Row],[my_ent_2]])), 1, 0)</f>
        <v>0</v>
      </c>
    </row>
    <row r="694" spans="1:12" x14ac:dyDescent="0.3">
      <c r="A694" t="s">
        <v>2257</v>
      </c>
      <c r="B694" t="s">
        <v>2258</v>
      </c>
      <c r="C694" t="s">
        <v>2259</v>
      </c>
      <c r="D694" t="s">
        <v>280</v>
      </c>
      <c r="E694" t="s">
        <v>2260</v>
      </c>
      <c r="F694">
        <v>0</v>
      </c>
      <c r="G694">
        <v>692</v>
      </c>
      <c r="H694">
        <f>IF(Table1[[#This Row],[my_ent_1]]=Table1[[#This Row],[their_ent_1]], 1, 0)</f>
        <v>0</v>
      </c>
      <c r="I694">
        <f>IF(Table1[[#This Row],[my_ent_2]]=Table1[[#This Row],[their_ent_2]], 1, 0)</f>
        <v>0</v>
      </c>
      <c r="J694">
        <f>IF(Table1[[#This Row],[same_1]]=1 &amp; Table1[[#This Row],[same_2]]=1, 1, 0)</f>
        <v>0</v>
      </c>
      <c r="K694">
        <f>IF(ISNUMBER(SEARCH(Table1[[#This Row],[their_ent_1]],Table1[[#This Row],[my_ent_1]])), 1, 0)</f>
        <v>0</v>
      </c>
      <c r="L694">
        <f>IF(ISNUMBER(SEARCH(Table1[[#This Row],[their_ent_2]],Table1[[#This Row],[my_ent_2]])), 1, 0)</f>
        <v>0</v>
      </c>
    </row>
    <row r="695" spans="1:12" x14ac:dyDescent="0.3">
      <c r="A695" t="s">
        <v>2261</v>
      </c>
      <c r="B695" t="s">
        <v>2262</v>
      </c>
      <c r="C695" t="s">
        <v>2262</v>
      </c>
      <c r="D695" t="s">
        <v>59</v>
      </c>
      <c r="E695" t="s">
        <v>2263</v>
      </c>
      <c r="F695">
        <v>0</v>
      </c>
      <c r="G695">
        <v>693</v>
      </c>
      <c r="H695">
        <f>IF(Table1[[#This Row],[my_ent_1]]=Table1[[#This Row],[their_ent_1]], 1, 0)</f>
        <v>1</v>
      </c>
      <c r="I695">
        <f>IF(Table1[[#This Row],[my_ent_2]]=Table1[[#This Row],[their_ent_2]], 1, 0)</f>
        <v>0</v>
      </c>
      <c r="J695">
        <f>IF(Table1[[#This Row],[same_1]]=1 &amp; Table1[[#This Row],[same_2]]=1, 1, 0)</f>
        <v>0</v>
      </c>
      <c r="K695">
        <f>IF(ISNUMBER(SEARCH(Table1[[#This Row],[their_ent_1]],Table1[[#This Row],[my_ent_1]])), 1, 0)</f>
        <v>1</v>
      </c>
      <c r="L695">
        <f>IF(ISNUMBER(SEARCH(Table1[[#This Row],[their_ent_2]],Table1[[#This Row],[my_ent_2]])), 1, 0)</f>
        <v>0</v>
      </c>
    </row>
    <row r="696" spans="1:12" x14ac:dyDescent="0.3">
      <c r="A696" t="s">
        <v>2264</v>
      </c>
      <c r="B696" t="s">
        <v>2265</v>
      </c>
      <c r="C696" t="s">
        <v>2266</v>
      </c>
      <c r="D696" t="s">
        <v>2267</v>
      </c>
      <c r="E696" t="s">
        <v>2268</v>
      </c>
      <c r="F696">
        <v>0</v>
      </c>
      <c r="G696">
        <v>694</v>
      </c>
      <c r="H696">
        <f>IF(Table1[[#This Row],[my_ent_1]]=Table1[[#This Row],[their_ent_1]], 1, 0)</f>
        <v>0</v>
      </c>
      <c r="I696">
        <f>IF(Table1[[#This Row],[my_ent_2]]=Table1[[#This Row],[their_ent_2]], 1, 0)</f>
        <v>0</v>
      </c>
      <c r="J696">
        <f>IF(Table1[[#This Row],[same_1]]=1 &amp; Table1[[#This Row],[same_2]]=1, 1, 0)</f>
        <v>0</v>
      </c>
      <c r="K696">
        <f>IF(ISNUMBER(SEARCH(Table1[[#This Row],[their_ent_1]],Table1[[#This Row],[my_ent_1]])), 1, 0)</f>
        <v>0</v>
      </c>
      <c r="L696">
        <f>IF(ISNUMBER(SEARCH(Table1[[#This Row],[their_ent_2]],Table1[[#This Row],[my_ent_2]])), 1, 0)</f>
        <v>0</v>
      </c>
    </row>
    <row r="697" spans="1:12" x14ac:dyDescent="0.3">
      <c r="A697" t="s">
        <v>2269</v>
      </c>
      <c r="B697" t="s">
        <v>2270</v>
      </c>
      <c r="C697" t="s">
        <v>2271</v>
      </c>
      <c r="D697" t="s">
        <v>2272</v>
      </c>
      <c r="E697" t="s">
        <v>451</v>
      </c>
      <c r="F697">
        <v>0</v>
      </c>
      <c r="G697">
        <v>695</v>
      </c>
      <c r="H697">
        <f>IF(Table1[[#This Row],[my_ent_1]]=Table1[[#This Row],[their_ent_1]], 1, 0)</f>
        <v>0</v>
      </c>
      <c r="I697">
        <f>IF(Table1[[#This Row],[my_ent_2]]=Table1[[#This Row],[their_ent_2]], 1, 0)</f>
        <v>0</v>
      </c>
      <c r="J697">
        <f>IF(Table1[[#This Row],[same_1]]=1 &amp; Table1[[#This Row],[same_2]]=1, 1, 0)</f>
        <v>0</v>
      </c>
      <c r="K697">
        <f>IF(ISNUMBER(SEARCH(Table1[[#This Row],[their_ent_1]],Table1[[#This Row],[my_ent_1]])), 1, 0)</f>
        <v>0</v>
      </c>
      <c r="L697">
        <f>IF(ISNUMBER(SEARCH(Table1[[#This Row],[their_ent_2]],Table1[[#This Row],[my_ent_2]])), 1, 0)</f>
        <v>0</v>
      </c>
    </row>
    <row r="698" spans="1:12" x14ac:dyDescent="0.3">
      <c r="A698" t="s">
        <v>2273</v>
      </c>
      <c r="B698" t="s">
        <v>78</v>
      </c>
      <c r="C698" t="s">
        <v>2274</v>
      </c>
      <c r="D698" t="s">
        <v>20</v>
      </c>
      <c r="E698" t="s">
        <v>2275</v>
      </c>
      <c r="F698">
        <v>0</v>
      </c>
      <c r="G698">
        <v>696</v>
      </c>
      <c r="H698">
        <f>IF(Table1[[#This Row],[my_ent_1]]=Table1[[#This Row],[their_ent_1]], 1, 0)</f>
        <v>0</v>
      </c>
      <c r="I698">
        <f>IF(Table1[[#This Row],[my_ent_2]]=Table1[[#This Row],[their_ent_2]], 1, 0)</f>
        <v>0</v>
      </c>
      <c r="J698">
        <f>IF(Table1[[#This Row],[same_1]]=1 &amp; Table1[[#This Row],[same_2]]=1, 1, 0)</f>
        <v>0</v>
      </c>
      <c r="K698">
        <f>IF(ISNUMBER(SEARCH(Table1[[#This Row],[their_ent_1]],Table1[[#This Row],[my_ent_1]])), 1, 0)</f>
        <v>0</v>
      </c>
      <c r="L698">
        <f>IF(ISNUMBER(SEARCH(Table1[[#This Row],[their_ent_2]],Table1[[#This Row],[my_ent_2]])), 1, 0)</f>
        <v>0</v>
      </c>
    </row>
    <row r="699" spans="1:12" x14ac:dyDescent="0.3">
      <c r="A699" t="s">
        <v>2276</v>
      </c>
      <c r="B699" t="s">
        <v>932</v>
      </c>
      <c r="C699" t="s">
        <v>932</v>
      </c>
      <c r="D699" t="s">
        <v>922</v>
      </c>
      <c r="E699" t="s">
        <v>402</v>
      </c>
      <c r="F699">
        <v>0</v>
      </c>
      <c r="G699">
        <v>697</v>
      </c>
      <c r="H699">
        <f>IF(Table1[[#This Row],[my_ent_1]]=Table1[[#This Row],[their_ent_1]], 1, 0)</f>
        <v>1</v>
      </c>
      <c r="I699">
        <f>IF(Table1[[#This Row],[my_ent_2]]=Table1[[#This Row],[their_ent_2]], 1, 0)</f>
        <v>0</v>
      </c>
      <c r="J699">
        <f>IF(Table1[[#This Row],[same_1]]=1 &amp; Table1[[#This Row],[same_2]]=1, 1, 0)</f>
        <v>0</v>
      </c>
      <c r="K699">
        <f>IF(ISNUMBER(SEARCH(Table1[[#This Row],[their_ent_1]],Table1[[#This Row],[my_ent_1]])), 1, 0)</f>
        <v>1</v>
      </c>
      <c r="L699">
        <f>IF(ISNUMBER(SEARCH(Table1[[#This Row],[their_ent_2]],Table1[[#This Row],[my_ent_2]])), 1, 0)</f>
        <v>0</v>
      </c>
    </row>
    <row r="700" spans="1:12" x14ac:dyDescent="0.3">
      <c r="A700" t="s">
        <v>2277</v>
      </c>
      <c r="B700" t="s">
        <v>20</v>
      </c>
      <c r="C700" t="s">
        <v>20</v>
      </c>
      <c r="D700" t="s">
        <v>2278</v>
      </c>
      <c r="E700" t="s">
        <v>845</v>
      </c>
      <c r="F700">
        <v>0</v>
      </c>
      <c r="G700">
        <v>698</v>
      </c>
      <c r="H700">
        <f>IF(Table1[[#This Row],[my_ent_1]]=Table1[[#This Row],[their_ent_1]], 1, 0)</f>
        <v>1</v>
      </c>
      <c r="I700">
        <f>IF(Table1[[#This Row],[my_ent_2]]=Table1[[#This Row],[their_ent_2]], 1, 0)</f>
        <v>0</v>
      </c>
      <c r="J700">
        <f>IF(Table1[[#This Row],[same_1]]=1 &amp; Table1[[#This Row],[same_2]]=1, 1, 0)</f>
        <v>0</v>
      </c>
      <c r="K700">
        <f>IF(ISNUMBER(SEARCH(Table1[[#This Row],[their_ent_1]],Table1[[#This Row],[my_ent_1]])), 1, 0)</f>
        <v>1</v>
      </c>
      <c r="L700">
        <f>IF(ISNUMBER(SEARCH(Table1[[#This Row],[their_ent_2]],Table1[[#This Row],[my_ent_2]])), 1, 0)</f>
        <v>0</v>
      </c>
    </row>
    <row r="701" spans="1:12" x14ac:dyDescent="0.3">
      <c r="A701" t="s">
        <v>2279</v>
      </c>
      <c r="B701" t="s">
        <v>2280</v>
      </c>
      <c r="C701" t="s">
        <v>112</v>
      </c>
      <c r="D701" t="s">
        <v>26</v>
      </c>
      <c r="E701" t="s">
        <v>2281</v>
      </c>
      <c r="F701">
        <v>0</v>
      </c>
      <c r="G701">
        <v>699</v>
      </c>
      <c r="H701">
        <f>IF(Table1[[#This Row],[my_ent_1]]=Table1[[#This Row],[their_ent_1]], 1, 0)</f>
        <v>0</v>
      </c>
      <c r="I701">
        <f>IF(Table1[[#This Row],[my_ent_2]]=Table1[[#This Row],[their_ent_2]], 1, 0)</f>
        <v>0</v>
      </c>
      <c r="J701">
        <f>IF(Table1[[#This Row],[same_1]]=1 &amp; Table1[[#This Row],[same_2]]=1, 1, 0)</f>
        <v>0</v>
      </c>
      <c r="K701">
        <f>IF(ISNUMBER(SEARCH(Table1[[#This Row],[their_ent_1]],Table1[[#This Row],[my_ent_1]])), 1, 0)</f>
        <v>0</v>
      </c>
      <c r="L701">
        <f>IF(ISNUMBER(SEARCH(Table1[[#This Row],[their_ent_2]],Table1[[#This Row],[my_ent_2]])), 1, 0)</f>
        <v>0</v>
      </c>
    </row>
    <row r="702" spans="1:12" x14ac:dyDescent="0.3">
      <c r="A702" t="s">
        <v>2282</v>
      </c>
      <c r="B702" t="s">
        <v>120</v>
      </c>
      <c r="C702" t="s">
        <v>120</v>
      </c>
      <c r="D702" t="s">
        <v>2283</v>
      </c>
      <c r="E702" t="s">
        <v>2284</v>
      </c>
      <c r="F702">
        <v>0</v>
      </c>
      <c r="G702">
        <v>700</v>
      </c>
      <c r="H702">
        <f>IF(Table1[[#This Row],[my_ent_1]]=Table1[[#This Row],[their_ent_1]], 1, 0)</f>
        <v>1</v>
      </c>
      <c r="I702">
        <f>IF(Table1[[#This Row],[my_ent_2]]=Table1[[#This Row],[their_ent_2]], 1, 0)</f>
        <v>0</v>
      </c>
      <c r="J702">
        <f>IF(Table1[[#This Row],[same_1]]=1 &amp; Table1[[#This Row],[same_2]]=1, 1, 0)</f>
        <v>0</v>
      </c>
      <c r="K702">
        <f>IF(ISNUMBER(SEARCH(Table1[[#This Row],[their_ent_1]],Table1[[#This Row],[my_ent_1]])), 1, 0)</f>
        <v>1</v>
      </c>
      <c r="L702">
        <f>IF(ISNUMBER(SEARCH(Table1[[#This Row],[their_ent_2]],Table1[[#This Row],[my_ent_2]])), 1, 0)</f>
        <v>0</v>
      </c>
    </row>
    <row r="703" spans="1:12" x14ac:dyDescent="0.3">
      <c r="A703" t="s">
        <v>2285</v>
      </c>
      <c r="B703" t="s">
        <v>25</v>
      </c>
      <c r="C703" t="s">
        <v>161</v>
      </c>
      <c r="D703" t="s">
        <v>161</v>
      </c>
      <c r="E703" t="s">
        <v>894</v>
      </c>
      <c r="F703">
        <v>0</v>
      </c>
      <c r="G703">
        <v>701</v>
      </c>
      <c r="H703">
        <f>IF(Table1[[#This Row],[my_ent_1]]=Table1[[#This Row],[their_ent_1]], 1, 0)</f>
        <v>0</v>
      </c>
      <c r="I703">
        <f>IF(Table1[[#This Row],[my_ent_2]]=Table1[[#This Row],[their_ent_2]], 1, 0)</f>
        <v>0</v>
      </c>
      <c r="J703">
        <f>IF(Table1[[#This Row],[same_1]]=1 &amp; Table1[[#This Row],[same_2]]=1, 1, 0)</f>
        <v>0</v>
      </c>
      <c r="K703">
        <f>IF(ISNUMBER(SEARCH(Table1[[#This Row],[their_ent_1]],Table1[[#This Row],[my_ent_1]])), 1, 0)</f>
        <v>0</v>
      </c>
      <c r="L703">
        <f>IF(ISNUMBER(SEARCH(Table1[[#This Row],[their_ent_2]],Table1[[#This Row],[my_ent_2]])), 1, 0)</f>
        <v>0</v>
      </c>
    </row>
    <row r="704" spans="1:12" x14ac:dyDescent="0.3">
      <c r="A704" t="s">
        <v>2286</v>
      </c>
      <c r="B704" t="s">
        <v>2287</v>
      </c>
      <c r="C704" t="s">
        <v>2287</v>
      </c>
      <c r="D704" t="s">
        <v>2288</v>
      </c>
      <c r="E704" t="s">
        <v>2289</v>
      </c>
      <c r="F704">
        <v>0</v>
      </c>
      <c r="G704">
        <v>702</v>
      </c>
      <c r="H704">
        <f>IF(Table1[[#This Row],[my_ent_1]]=Table1[[#This Row],[their_ent_1]], 1, 0)</f>
        <v>1</v>
      </c>
      <c r="I704">
        <f>IF(Table1[[#This Row],[my_ent_2]]=Table1[[#This Row],[their_ent_2]], 1, 0)</f>
        <v>0</v>
      </c>
      <c r="J704">
        <f>IF(Table1[[#This Row],[same_1]]=1 &amp; Table1[[#This Row],[same_2]]=1, 1, 0)</f>
        <v>0</v>
      </c>
      <c r="K704">
        <f>IF(ISNUMBER(SEARCH(Table1[[#This Row],[their_ent_1]],Table1[[#This Row],[my_ent_1]])), 1, 0)</f>
        <v>1</v>
      </c>
      <c r="L704">
        <f>IF(ISNUMBER(SEARCH(Table1[[#This Row],[their_ent_2]],Table1[[#This Row],[my_ent_2]])), 1, 0)</f>
        <v>0</v>
      </c>
    </row>
    <row r="705" spans="1:12" x14ac:dyDescent="0.3">
      <c r="A705" t="s">
        <v>2290</v>
      </c>
      <c r="B705" t="s">
        <v>2291</v>
      </c>
      <c r="C705" t="s">
        <v>619</v>
      </c>
      <c r="D705" t="s">
        <v>725</v>
      </c>
      <c r="E705" t="s">
        <v>725</v>
      </c>
      <c r="F705">
        <v>0</v>
      </c>
      <c r="G705">
        <v>703</v>
      </c>
      <c r="H705">
        <f>IF(Table1[[#This Row],[my_ent_1]]=Table1[[#This Row],[their_ent_1]], 1, 0)</f>
        <v>0</v>
      </c>
      <c r="I705">
        <f>IF(Table1[[#This Row],[my_ent_2]]=Table1[[#This Row],[their_ent_2]], 1, 0)</f>
        <v>1</v>
      </c>
      <c r="J705">
        <f>IF(Table1[[#This Row],[same_1]]=1 &amp; Table1[[#This Row],[same_2]]=1, 1, 0)</f>
        <v>0</v>
      </c>
      <c r="K705">
        <f>IF(ISNUMBER(SEARCH(Table1[[#This Row],[their_ent_1]],Table1[[#This Row],[my_ent_1]])), 1, 0)</f>
        <v>0</v>
      </c>
      <c r="L705">
        <f>IF(ISNUMBER(SEARCH(Table1[[#This Row],[their_ent_2]],Table1[[#This Row],[my_ent_2]])), 1, 0)</f>
        <v>1</v>
      </c>
    </row>
    <row r="706" spans="1:12" x14ac:dyDescent="0.3">
      <c r="A706" t="s">
        <v>2292</v>
      </c>
      <c r="B706" t="s">
        <v>448</v>
      </c>
      <c r="C706" t="s">
        <v>448</v>
      </c>
      <c r="D706" t="s">
        <v>1163</v>
      </c>
      <c r="E706" t="s">
        <v>353</v>
      </c>
      <c r="F706">
        <v>0</v>
      </c>
      <c r="G706">
        <v>704</v>
      </c>
      <c r="H706">
        <f>IF(Table1[[#This Row],[my_ent_1]]=Table1[[#This Row],[their_ent_1]], 1, 0)</f>
        <v>1</v>
      </c>
      <c r="I706">
        <f>IF(Table1[[#This Row],[my_ent_2]]=Table1[[#This Row],[their_ent_2]], 1, 0)</f>
        <v>0</v>
      </c>
      <c r="J706">
        <f>IF(Table1[[#This Row],[same_1]]=1 &amp; Table1[[#This Row],[same_2]]=1, 1, 0)</f>
        <v>0</v>
      </c>
      <c r="K706">
        <f>IF(ISNUMBER(SEARCH(Table1[[#This Row],[their_ent_1]],Table1[[#This Row],[my_ent_1]])), 1, 0)</f>
        <v>1</v>
      </c>
      <c r="L706">
        <f>IF(ISNUMBER(SEARCH(Table1[[#This Row],[their_ent_2]],Table1[[#This Row],[my_ent_2]])), 1, 0)</f>
        <v>0</v>
      </c>
    </row>
    <row r="707" spans="1:12" x14ac:dyDescent="0.3">
      <c r="A707" t="s">
        <v>2293</v>
      </c>
      <c r="B707" t="s">
        <v>16</v>
      </c>
      <c r="C707" t="s">
        <v>2294</v>
      </c>
      <c r="D707" t="s">
        <v>2294</v>
      </c>
      <c r="E707" t="s">
        <v>2295</v>
      </c>
      <c r="F707">
        <v>0</v>
      </c>
      <c r="G707">
        <v>705</v>
      </c>
      <c r="H707">
        <f>IF(Table1[[#This Row],[my_ent_1]]=Table1[[#This Row],[their_ent_1]], 1, 0)</f>
        <v>0</v>
      </c>
      <c r="I707">
        <f>IF(Table1[[#This Row],[my_ent_2]]=Table1[[#This Row],[their_ent_2]], 1, 0)</f>
        <v>0</v>
      </c>
      <c r="J707">
        <f>IF(Table1[[#This Row],[same_1]]=1 &amp; Table1[[#This Row],[same_2]]=1, 1, 0)</f>
        <v>0</v>
      </c>
      <c r="K707">
        <f>IF(ISNUMBER(SEARCH(Table1[[#This Row],[their_ent_1]],Table1[[#This Row],[my_ent_1]])), 1, 0)</f>
        <v>0</v>
      </c>
      <c r="L707">
        <f>IF(ISNUMBER(SEARCH(Table1[[#This Row],[their_ent_2]],Table1[[#This Row],[my_ent_2]])), 1, 0)</f>
        <v>0</v>
      </c>
    </row>
    <row r="708" spans="1:12" x14ac:dyDescent="0.3">
      <c r="A708" t="s">
        <v>2296</v>
      </c>
      <c r="B708" t="s">
        <v>2297</v>
      </c>
      <c r="C708" t="s">
        <v>2298</v>
      </c>
      <c r="D708" t="s">
        <v>599</v>
      </c>
      <c r="E708" t="s">
        <v>599</v>
      </c>
      <c r="F708">
        <v>0</v>
      </c>
      <c r="G708">
        <v>706</v>
      </c>
      <c r="H708">
        <f>IF(Table1[[#This Row],[my_ent_1]]=Table1[[#This Row],[their_ent_1]], 1, 0)</f>
        <v>0</v>
      </c>
      <c r="I708">
        <f>IF(Table1[[#This Row],[my_ent_2]]=Table1[[#This Row],[their_ent_2]], 1, 0)</f>
        <v>1</v>
      </c>
      <c r="J708">
        <f>IF(Table1[[#This Row],[same_1]]=1 &amp; Table1[[#This Row],[same_2]]=1, 1, 0)</f>
        <v>0</v>
      </c>
      <c r="K708">
        <f>IF(ISNUMBER(SEARCH(Table1[[#This Row],[their_ent_1]],Table1[[#This Row],[my_ent_1]])), 1, 0)</f>
        <v>1</v>
      </c>
      <c r="L708">
        <f>IF(ISNUMBER(SEARCH(Table1[[#This Row],[their_ent_2]],Table1[[#This Row],[my_ent_2]])), 1, 0)</f>
        <v>1</v>
      </c>
    </row>
    <row r="709" spans="1:12" x14ac:dyDescent="0.3">
      <c r="A709" t="s">
        <v>1120</v>
      </c>
      <c r="B709" t="s">
        <v>642</v>
      </c>
      <c r="C709" t="s">
        <v>498</v>
      </c>
      <c r="D709" t="s">
        <v>783</v>
      </c>
      <c r="E709" t="s">
        <v>642</v>
      </c>
      <c r="F709">
        <v>0</v>
      </c>
      <c r="G709">
        <v>707</v>
      </c>
      <c r="H709">
        <f>IF(Table1[[#This Row],[my_ent_1]]=Table1[[#This Row],[their_ent_1]], 1, 0)</f>
        <v>0</v>
      </c>
      <c r="I709">
        <f>IF(Table1[[#This Row],[my_ent_2]]=Table1[[#This Row],[their_ent_2]], 1, 0)</f>
        <v>0</v>
      </c>
      <c r="J709">
        <f>IF(Table1[[#This Row],[same_1]]=1 &amp; Table1[[#This Row],[same_2]]=1, 1, 0)</f>
        <v>0</v>
      </c>
      <c r="K709">
        <f>IF(ISNUMBER(SEARCH(Table1[[#This Row],[their_ent_1]],Table1[[#This Row],[my_ent_1]])), 1, 0)</f>
        <v>0</v>
      </c>
      <c r="L709">
        <f>IF(ISNUMBER(SEARCH(Table1[[#This Row],[their_ent_2]],Table1[[#This Row],[my_ent_2]])), 1, 0)</f>
        <v>0</v>
      </c>
    </row>
    <row r="710" spans="1:12" x14ac:dyDescent="0.3">
      <c r="A710" t="s">
        <v>2299</v>
      </c>
      <c r="B710" t="s">
        <v>380</v>
      </c>
      <c r="C710" t="s">
        <v>381</v>
      </c>
      <c r="D710" t="s">
        <v>20</v>
      </c>
      <c r="E710" t="s">
        <v>20</v>
      </c>
      <c r="F710">
        <v>0</v>
      </c>
      <c r="G710">
        <v>708</v>
      </c>
      <c r="H710">
        <f>IF(Table1[[#This Row],[my_ent_1]]=Table1[[#This Row],[their_ent_1]], 1, 0)</f>
        <v>0</v>
      </c>
      <c r="I710">
        <f>IF(Table1[[#This Row],[my_ent_2]]=Table1[[#This Row],[their_ent_2]], 1, 0)</f>
        <v>1</v>
      </c>
      <c r="J710">
        <f>IF(Table1[[#This Row],[same_1]]=1 &amp; Table1[[#This Row],[same_2]]=1, 1, 0)</f>
        <v>0</v>
      </c>
      <c r="K710">
        <f>IF(ISNUMBER(SEARCH(Table1[[#This Row],[their_ent_1]],Table1[[#This Row],[my_ent_1]])), 1, 0)</f>
        <v>1</v>
      </c>
      <c r="L710">
        <f>IF(ISNUMBER(SEARCH(Table1[[#This Row],[their_ent_2]],Table1[[#This Row],[my_ent_2]])), 1, 0)</f>
        <v>1</v>
      </c>
    </row>
    <row r="711" spans="1:12" x14ac:dyDescent="0.3">
      <c r="A711" t="s">
        <v>2300</v>
      </c>
      <c r="B711" t="s">
        <v>2301</v>
      </c>
      <c r="C711" t="s">
        <v>2301</v>
      </c>
      <c r="D711" t="s">
        <v>2302</v>
      </c>
      <c r="E711" t="s">
        <v>1994</v>
      </c>
      <c r="F711">
        <v>0</v>
      </c>
      <c r="G711">
        <v>709</v>
      </c>
      <c r="H711">
        <f>IF(Table1[[#This Row],[my_ent_1]]=Table1[[#This Row],[their_ent_1]], 1, 0)</f>
        <v>1</v>
      </c>
      <c r="I711">
        <f>IF(Table1[[#This Row],[my_ent_2]]=Table1[[#This Row],[their_ent_2]], 1, 0)</f>
        <v>0</v>
      </c>
      <c r="J711">
        <f>IF(Table1[[#This Row],[same_1]]=1 &amp; Table1[[#This Row],[same_2]]=1, 1, 0)</f>
        <v>0</v>
      </c>
      <c r="K711">
        <f>IF(ISNUMBER(SEARCH(Table1[[#This Row],[their_ent_1]],Table1[[#This Row],[my_ent_1]])), 1, 0)</f>
        <v>1</v>
      </c>
      <c r="L711">
        <f>IF(ISNUMBER(SEARCH(Table1[[#This Row],[their_ent_2]],Table1[[#This Row],[my_ent_2]])), 1, 0)</f>
        <v>0</v>
      </c>
    </row>
    <row r="712" spans="1:12" x14ac:dyDescent="0.3">
      <c r="A712" t="s">
        <v>2303</v>
      </c>
      <c r="B712" t="s">
        <v>2304</v>
      </c>
      <c r="C712" t="s">
        <v>2305</v>
      </c>
      <c r="D712" t="s">
        <v>36</v>
      </c>
      <c r="E712" t="s">
        <v>2306</v>
      </c>
      <c r="F712">
        <v>0</v>
      </c>
      <c r="G712">
        <v>710</v>
      </c>
      <c r="H712">
        <f>IF(Table1[[#This Row],[my_ent_1]]=Table1[[#This Row],[their_ent_1]], 1, 0)</f>
        <v>0</v>
      </c>
      <c r="I712">
        <f>IF(Table1[[#This Row],[my_ent_2]]=Table1[[#This Row],[their_ent_2]], 1, 0)</f>
        <v>0</v>
      </c>
      <c r="J712">
        <f>IF(Table1[[#This Row],[same_1]]=1 &amp; Table1[[#This Row],[same_2]]=1, 1, 0)</f>
        <v>0</v>
      </c>
      <c r="K712">
        <f>IF(ISNUMBER(SEARCH(Table1[[#This Row],[their_ent_1]],Table1[[#This Row],[my_ent_1]])), 1, 0)</f>
        <v>1</v>
      </c>
      <c r="L712">
        <f>IF(ISNUMBER(SEARCH(Table1[[#This Row],[their_ent_2]],Table1[[#This Row],[my_ent_2]])), 1, 0)</f>
        <v>0</v>
      </c>
    </row>
    <row r="713" spans="1:12" x14ac:dyDescent="0.3">
      <c r="A713" t="s">
        <v>2307</v>
      </c>
      <c r="B713" t="s">
        <v>51</v>
      </c>
      <c r="C713" t="s">
        <v>576</v>
      </c>
      <c r="D713" t="s">
        <v>576</v>
      </c>
      <c r="E713" t="s">
        <v>2308</v>
      </c>
      <c r="F713">
        <v>0</v>
      </c>
      <c r="G713">
        <v>711</v>
      </c>
      <c r="H713">
        <f>IF(Table1[[#This Row],[my_ent_1]]=Table1[[#This Row],[their_ent_1]], 1, 0)</f>
        <v>0</v>
      </c>
      <c r="I713">
        <f>IF(Table1[[#This Row],[my_ent_2]]=Table1[[#This Row],[their_ent_2]], 1, 0)</f>
        <v>0</v>
      </c>
      <c r="J713">
        <f>IF(Table1[[#This Row],[same_1]]=1 &amp; Table1[[#This Row],[same_2]]=1, 1, 0)</f>
        <v>0</v>
      </c>
      <c r="K713">
        <f>IF(ISNUMBER(SEARCH(Table1[[#This Row],[their_ent_1]],Table1[[#This Row],[my_ent_1]])), 1, 0)</f>
        <v>0</v>
      </c>
      <c r="L713">
        <f>IF(ISNUMBER(SEARCH(Table1[[#This Row],[their_ent_2]],Table1[[#This Row],[my_ent_2]])), 1, 0)</f>
        <v>0</v>
      </c>
    </row>
    <row r="714" spans="1:12" x14ac:dyDescent="0.3">
      <c r="A714" t="s">
        <v>2309</v>
      </c>
      <c r="B714" t="s">
        <v>2310</v>
      </c>
      <c r="C714" t="s">
        <v>2311</v>
      </c>
      <c r="D714" t="s">
        <v>59</v>
      </c>
      <c r="E714" t="s">
        <v>2312</v>
      </c>
      <c r="F714">
        <v>0</v>
      </c>
      <c r="G714">
        <v>712</v>
      </c>
      <c r="H714">
        <f>IF(Table1[[#This Row],[my_ent_1]]=Table1[[#This Row],[their_ent_1]], 1, 0)</f>
        <v>0</v>
      </c>
      <c r="I714">
        <f>IF(Table1[[#This Row],[my_ent_2]]=Table1[[#This Row],[their_ent_2]], 1, 0)</f>
        <v>0</v>
      </c>
      <c r="J714">
        <f>IF(Table1[[#This Row],[same_1]]=1 &amp; Table1[[#This Row],[same_2]]=1, 1, 0)</f>
        <v>0</v>
      </c>
      <c r="K714">
        <f>IF(ISNUMBER(SEARCH(Table1[[#This Row],[their_ent_1]],Table1[[#This Row],[my_ent_1]])), 1, 0)</f>
        <v>1</v>
      </c>
      <c r="L714">
        <f>IF(ISNUMBER(SEARCH(Table1[[#This Row],[their_ent_2]],Table1[[#This Row],[my_ent_2]])), 1, 0)</f>
        <v>0</v>
      </c>
    </row>
    <row r="715" spans="1:12" x14ac:dyDescent="0.3">
      <c r="A715" t="s">
        <v>2313</v>
      </c>
      <c r="B715" t="s">
        <v>2314</v>
      </c>
      <c r="C715" t="s">
        <v>843</v>
      </c>
      <c r="D715" t="s">
        <v>2315</v>
      </c>
      <c r="E715" t="s">
        <v>2315</v>
      </c>
      <c r="F715">
        <v>0</v>
      </c>
      <c r="G715">
        <v>713</v>
      </c>
      <c r="H715">
        <f>IF(Table1[[#This Row],[my_ent_1]]=Table1[[#This Row],[their_ent_1]], 1, 0)</f>
        <v>0</v>
      </c>
      <c r="I715">
        <f>IF(Table1[[#This Row],[my_ent_2]]=Table1[[#This Row],[their_ent_2]], 1, 0)</f>
        <v>1</v>
      </c>
      <c r="J715">
        <f>IF(Table1[[#This Row],[same_1]]=1 &amp; Table1[[#This Row],[same_2]]=1, 1, 0)</f>
        <v>0</v>
      </c>
      <c r="K715">
        <f>IF(ISNUMBER(SEARCH(Table1[[#This Row],[their_ent_1]],Table1[[#This Row],[my_ent_1]])), 1, 0)</f>
        <v>0</v>
      </c>
      <c r="L715">
        <f>IF(ISNUMBER(SEARCH(Table1[[#This Row],[their_ent_2]],Table1[[#This Row],[my_ent_2]])), 1, 0)</f>
        <v>1</v>
      </c>
    </row>
    <row r="716" spans="1:12" x14ac:dyDescent="0.3">
      <c r="A716" t="s">
        <v>2316</v>
      </c>
      <c r="B716" t="s">
        <v>2317</v>
      </c>
      <c r="C716" t="s">
        <v>103</v>
      </c>
      <c r="D716" t="s">
        <v>1621</v>
      </c>
      <c r="E716" t="s">
        <v>1621</v>
      </c>
      <c r="F716">
        <v>0</v>
      </c>
      <c r="G716">
        <v>714</v>
      </c>
      <c r="H716">
        <f>IF(Table1[[#This Row],[my_ent_1]]=Table1[[#This Row],[their_ent_1]], 1, 0)</f>
        <v>0</v>
      </c>
      <c r="I716">
        <f>IF(Table1[[#This Row],[my_ent_2]]=Table1[[#This Row],[their_ent_2]], 1, 0)</f>
        <v>1</v>
      </c>
      <c r="J716">
        <f>IF(Table1[[#This Row],[same_1]]=1 &amp; Table1[[#This Row],[same_2]]=1, 1, 0)</f>
        <v>0</v>
      </c>
      <c r="K716">
        <f>IF(ISNUMBER(SEARCH(Table1[[#This Row],[their_ent_1]],Table1[[#This Row],[my_ent_1]])), 1, 0)</f>
        <v>0</v>
      </c>
      <c r="L716">
        <f>IF(ISNUMBER(SEARCH(Table1[[#This Row],[their_ent_2]],Table1[[#This Row],[my_ent_2]])), 1, 0)</f>
        <v>1</v>
      </c>
    </row>
    <row r="717" spans="1:12" x14ac:dyDescent="0.3">
      <c r="A717" t="s">
        <v>2318</v>
      </c>
      <c r="B717" t="s">
        <v>410</v>
      </c>
      <c r="C717" t="s">
        <v>410</v>
      </c>
      <c r="D717" t="s">
        <v>59</v>
      </c>
      <c r="E717" t="s">
        <v>2075</v>
      </c>
      <c r="F717">
        <v>0</v>
      </c>
      <c r="G717">
        <v>715</v>
      </c>
      <c r="H717">
        <f>IF(Table1[[#This Row],[my_ent_1]]=Table1[[#This Row],[their_ent_1]], 1, 0)</f>
        <v>1</v>
      </c>
      <c r="I717">
        <f>IF(Table1[[#This Row],[my_ent_2]]=Table1[[#This Row],[their_ent_2]], 1, 0)</f>
        <v>0</v>
      </c>
      <c r="J717">
        <f>IF(Table1[[#This Row],[same_1]]=1 &amp; Table1[[#This Row],[same_2]]=1, 1, 0)</f>
        <v>0</v>
      </c>
      <c r="K717">
        <f>IF(ISNUMBER(SEARCH(Table1[[#This Row],[their_ent_1]],Table1[[#This Row],[my_ent_1]])), 1, 0)</f>
        <v>1</v>
      </c>
      <c r="L717">
        <f>IF(ISNUMBER(SEARCH(Table1[[#This Row],[their_ent_2]],Table1[[#This Row],[my_ent_2]])), 1, 0)</f>
        <v>0</v>
      </c>
    </row>
    <row r="718" spans="1:12" x14ac:dyDescent="0.3">
      <c r="A718" t="s">
        <v>2319</v>
      </c>
      <c r="B718" t="s">
        <v>78</v>
      </c>
      <c r="C718" t="s">
        <v>103</v>
      </c>
      <c r="D718" t="s">
        <v>2320</v>
      </c>
      <c r="E718" t="s">
        <v>44</v>
      </c>
      <c r="F718">
        <v>0</v>
      </c>
      <c r="G718">
        <v>716</v>
      </c>
      <c r="H718">
        <f>IF(Table1[[#This Row],[my_ent_1]]=Table1[[#This Row],[their_ent_1]], 1, 0)</f>
        <v>0</v>
      </c>
      <c r="I718">
        <f>IF(Table1[[#This Row],[my_ent_2]]=Table1[[#This Row],[their_ent_2]], 1, 0)</f>
        <v>0</v>
      </c>
      <c r="J718">
        <f>IF(Table1[[#This Row],[same_1]]=1 &amp; Table1[[#This Row],[same_2]]=1, 1, 0)</f>
        <v>0</v>
      </c>
      <c r="K718">
        <f>IF(ISNUMBER(SEARCH(Table1[[#This Row],[their_ent_1]],Table1[[#This Row],[my_ent_1]])), 1, 0)</f>
        <v>0</v>
      </c>
      <c r="L718">
        <f>IF(ISNUMBER(SEARCH(Table1[[#This Row],[their_ent_2]],Table1[[#This Row],[my_ent_2]])), 1, 0)</f>
        <v>0</v>
      </c>
    </row>
    <row r="719" spans="1:12" x14ac:dyDescent="0.3">
      <c r="A719" t="s">
        <v>2321</v>
      </c>
      <c r="B719" t="s">
        <v>1980</v>
      </c>
      <c r="C719" t="s">
        <v>1980</v>
      </c>
      <c r="D719" t="s">
        <v>51</v>
      </c>
      <c r="E719" t="s">
        <v>2322</v>
      </c>
      <c r="F719">
        <v>0</v>
      </c>
      <c r="G719">
        <v>717</v>
      </c>
      <c r="H719">
        <f>IF(Table1[[#This Row],[my_ent_1]]=Table1[[#This Row],[their_ent_1]], 1, 0)</f>
        <v>1</v>
      </c>
      <c r="I719">
        <f>IF(Table1[[#This Row],[my_ent_2]]=Table1[[#This Row],[their_ent_2]], 1, 0)</f>
        <v>0</v>
      </c>
      <c r="J719">
        <f>IF(Table1[[#This Row],[same_1]]=1 &amp; Table1[[#This Row],[same_2]]=1, 1, 0)</f>
        <v>0</v>
      </c>
      <c r="K719">
        <f>IF(ISNUMBER(SEARCH(Table1[[#This Row],[their_ent_1]],Table1[[#This Row],[my_ent_1]])), 1, 0)</f>
        <v>1</v>
      </c>
      <c r="L719">
        <f>IF(ISNUMBER(SEARCH(Table1[[#This Row],[their_ent_2]],Table1[[#This Row],[my_ent_2]])), 1, 0)</f>
        <v>0</v>
      </c>
    </row>
    <row r="720" spans="1:12" x14ac:dyDescent="0.3">
      <c r="A720" t="s">
        <v>2323</v>
      </c>
      <c r="B720" t="s">
        <v>198</v>
      </c>
      <c r="C720" t="s">
        <v>2324</v>
      </c>
      <c r="D720" t="s">
        <v>2325</v>
      </c>
      <c r="E720" t="s">
        <v>2326</v>
      </c>
      <c r="F720">
        <v>0</v>
      </c>
      <c r="G720">
        <v>718</v>
      </c>
      <c r="H720">
        <f>IF(Table1[[#This Row],[my_ent_1]]=Table1[[#This Row],[their_ent_1]], 1, 0)</f>
        <v>0</v>
      </c>
      <c r="I720">
        <f>IF(Table1[[#This Row],[my_ent_2]]=Table1[[#This Row],[their_ent_2]], 1, 0)</f>
        <v>0</v>
      </c>
      <c r="J720">
        <f>IF(Table1[[#This Row],[same_1]]=1 &amp; Table1[[#This Row],[same_2]]=1, 1, 0)</f>
        <v>0</v>
      </c>
      <c r="K720">
        <f>IF(ISNUMBER(SEARCH(Table1[[#This Row],[their_ent_1]],Table1[[#This Row],[my_ent_1]])), 1, 0)</f>
        <v>0</v>
      </c>
      <c r="L720">
        <f>IF(ISNUMBER(SEARCH(Table1[[#This Row],[their_ent_2]],Table1[[#This Row],[my_ent_2]])), 1, 0)</f>
        <v>0</v>
      </c>
    </row>
    <row r="721" spans="1:12" x14ac:dyDescent="0.3">
      <c r="A721" t="s">
        <v>2327</v>
      </c>
      <c r="B721" t="s">
        <v>2328</v>
      </c>
      <c r="C721" t="s">
        <v>2328</v>
      </c>
      <c r="D721" t="s">
        <v>2329</v>
      </c>
      <c r="E721" t="s">
        <v>2330</v>
      </c>
      <c r="F721">
        <v>0</v>
      </c>
      <c r="G721">
        <v>719</v>
      </c>
      <c r="H721">
        <f>IF(Table1[[#This Row],[my_ent_1]]=Table1[[#This Row],[their_ent_1]], 1, 0)</f>
        <v>1</v>
      </c>
      <c r="I721">
        <f>IF(Table1[[#This Row],[my_ent_2]]=Table1[[#This Row],[their_ent_2]], 1, 0)</f>
        <v>0</v>
      </c>
      <c r="J721">
        <f>IF(Table1[[#This Row],[same_1]]=1 &amp; Table1[[#This Row],[same_2]]=1, 1, 0)</f>
        <v>0</v>
      </c>
      <c r="K721">
        <f>IF(ISNUMBER(SEARCH(Table1[[#This Row],[their_ent_1]],Table1[[#This Row],[my_ent_1]])), 1, 0)</f>
        <v>1</v>
      </c>
      <c r="L721">
        <f>IF(ISNUMBER(SEARCH(Table1[[#This Row],[their_ent_2]],Table1[[#This Row],[my_ent_2]])), 1, 0)</f>
        <v>0</v>
      </c>
    </row>
    <row r="722" spans="1:12" x14ac:dyDescent="0.3">
      <c r="A722" t="s">
        <v>2331</v>
      </c>
      <c r="B722" t="s">
        <v>2332</v>
      </c>
      <c r="C722" t="s">
        <v>2333</v>
      </c>
      <c r="D722" t="s">
        <v>2334</v>
      </c>
      <c r="E722" t="s">
        <v>2335</v>
      </c>
      <c r="F722">
        <v>0</v>
      </c>
      <c r="G722">
        <v>720</v>
      </c>
      <c r="H722">
        <f>IF(Table1[[#This Row],[my_ent_1]]=Table1[[#This Row],[their_ent_1]], 1, 0)</f>
        <v>0</v>
      </c>
      <c r="I722">
        <f>IF(Table1[[#This Row],[my_ent_2]]=Table1[[#This Row],[their_ent_2]], 1, 0)</f>
        <v>0</v>
      </c>
      <c r="J722">
        <f>IF(Table1[[#This Row],[same_1]]=1 &amp; Table1[[#This Row],[same_2]]=1, 1, 0)</f>
        <v>0</v>
      </c>
      <c r="K722">
        <f>IF(ISNUMBER(SEARCH(Table1[[#This Row],[their_ent_1]],Table1[[#This Row],[my_ent_1]])), 1, 0)</f>
        <v>1</v>
      </c>
      <c r="L722">
        <f>IF(ISNUMBER(SEARCH(Table1[[#This Row],[their_ent_2]],Table1[[#This Row],[my_ent_2]])), 1, 0)</f>
        <v>0</v>
      </c>
    </row>
    <row r="723" spans="1:12" x14ac:dyDescent="0.3">
      <c r="A723" t="s">
        <v>2336</v>
      </c>
      <c r="B723" t="s">
        <v>2337</v>
      </c>
      <c r="C723" t="s">
        <v>2338</v>
      </c>
      <c r="D723" t="s">
        <v>160</v>
      </c>
      <c r="E723" t="s">
        <v>860</v>
      </c>
      <c r="F723">
        <v>0</v>
      </c>
      <c r="G723">
        <v>721</v>
      </c>
      <c r="H723">
        <f>IF(Table1[[#This Row],[my_ent_1]]=Table1[[#This Row],[their_ent_1]], 1, 0)</f>
        <v>0</v>
      </c>
      <c r="I723">
        <f>IF(Table1[[#This Row],[my_ent_2]]=Table1[[#This Row],[their_ent_2]], 1, 0)</f>
        <v>0</v>
      </c>
      <c r="J723">
        <f>IF(Table1[[#This Row],[same_1]]=1 &amp; Table1[[#This Row],[same_2]]=1, 1, 0)</f>
        <v>0</v>
      </c>
      <c r="K723">
        <f>IF(ISNUMBER(SEARCH(Table1[[#This Row],[their_ent_1]],Table1[[#This Row],[my_ent_1]])), 1, 0)</f>
        <v>0</v>
      </c>
      <c r="L723">
        <f>IF(ISNUMBER(SEARCH(Table1[[#This Row],[their_ent_2]],Table1[[#This Row],[my_ent_2]])), 1, 0)</f>
        <v>0</v>
      </c>
    </row>
    <row r="724" spans="1:12" x14ac:dyDescent="0.3">
      <c r="A724" t="s">
        <v>2339</v>
      </c>
      <c r="B724" t="s">
        <v>2340</v>
      </c>
      <c r="C724" t="s">
        <v>241</v>
      </c>
      <c r="D724" t="s">
        <v>30</v>
      </c>
      <c r="E724" t="s">
        <v>2341</v>
      </c>
      <c r="F724">
        <v>0</v>
      </c>
      <c r="G724">
        <v>722</v>
      </c>
      <c r="H724">
        <f>IF(Table1[[#This Row],[my_ent_1]]=Table1[[#This Row],[their_ent_1]], 1, 0)</f>
        <v>0</v>
      </c>
      <c r="I724">
        <f>IF(Table1[[#This Row],[my_ent_2]]=Table1[[#This Row],[their_ent_2]], 1, 0)</f>
        <v>0</v>
      </c>
      <c r="J724">
        <f>IF(Table1[[#This Row],[same_1]]=1 &amp; Table1[[#This Row],[same_2]]=1, 1, 0)</f>
        <v>0</v>
      </c>
      <c r="K724">
        <f>IF(ISNUMBER(SEARCH(Table1[[#This Row],[their_ent_1]],Table1[[#This Row],[my_ent_1]])), 1, 0)</f>
        <v>0</v>
      </c>
      <c r="L724">
        <f>IF(ISNUMBER(SEARCH(Table1[[#This Row],[their_ent_2]],Table1[[#This Row],[my_ent_2]])), 1, 0)</f>
        <v>0</v>
      </c>
    </row>
    <row r="725" spans="1:12" x14ac:dyDescent="0.3">
      <c r="A725" t="s">
        <v>2342</v>
      </c>
      <c r="B725" t="s">
        <v>685</v>
      </c>
      <c r="C725" t="s">
        <v>686</v>
      </c>
      <c r="D725" t="s">
        <v>2343</v>
      </c>
      <c r="E725" t="s">
        <v>2343</v>
      </c>
      <c r="F725">
        <v>0</v>
      </c>
      <c r="G725">
        <v>723</v>
      </c>
      <c r="H725">
        <f>IF(Table1[[#This Row],[my_ent_1]]=Table1[[#This Row],[their_ent_1]], 1, 0)</f>
        <v>0</v>
      </c>
      <c r="I725">
        <f>IF(Table1[[#This Row],[my_ent_2]]=Table1[[#This Row],[their_ent_2]], 1, 0)</f>
        <v>1</v>
      </c>
      <c r="J725">
        <f>IF(Table1[[#This Row],[same_1]]=1 &amp; Table1[[#This Row],[same_2]]=1, 1, 0)</f>
        <v>0</v>
      </c>
      <c r="K725">
        <f>IF(ISNUMBER(SEARCH(Table1[[#This Row],[their_ent_1]],Table1[[#This Row],[my_ent_1]])), 1, 0)</f>
        <v>1</v>
      </c>
      <c r="L725">
        <f>IF(ISNUMBER(SEARCH(Table1[[#This Row],[their_ent_2]],Table1[[#This Row],[my_ent_2]])), 1, 0)</f>
        <v>1</v>
      </c>
    </row>
    <row r="726" spans="1:12" x14ac:dyDescent="0.3">
      <c r="A726" t="s">
        <v>2344</v>
      </c>
      <c r="B726" t="s">
        <v>2345</v>
      </c>
      <c r="C726" t="s">
        <v>2346</v>
      </c>
      <c r="D726" t="s">
        <v>340</v>
      </c>
      <c r="E726" t="s">
        <v>2347</v>
      </c>
      <c r="F726">
        <v>0</v>
      </c>
      <c r="G726">
        <v>724</v>
      </c>
      <c r="H726">
        <f>IF(Table1[[#This Row],[my_ent_1]]=Table1[[#This Row],[their_ent_1]], 1, 0)</f>
        <v>0</v>
      </c>
      <c r="I726">
        <f>IF(Table1[[#This Row],[my_ent_2]]=Table1[[#This Row],[their_ent_2]], 1, 0)</f>
        <v>0</v>
      </c>
      <c r="J726">
        <f>IF(Table1[[#This Row],[same_1]]=1 &amp; Table1[[#This Row],[same_2]]=1, 1, 0)</f>
        <v>0</v>
      </c>
      <c r="K726">
        <f>IF(ISNUMBER(SEARCH(Table1[[#This Row],[their_ent_1]],Table1[[#This Row],[my_ent_1]])), 1, 0)</f>
        <v>0</v>
      </c>
      <c r="L726">
        <f>IF(ISNUMBER(SEARCH(Table1[[#This Row],[their_ent_2]],Table1[[#This Row],[my_ent_2]])), 1, 0)</f>
        <v>0</v>
      </c>
    </row>
    <row r="727" spans="1:12" x14ac:dyDescent="0.3">
      <c r="A727" t="s">
        <v>2348</v>
      </c>
      <c r="B727" t="s">
        <v>2349</v>
      </c>
      <c r="C727" t="s">
        <v>2350</v>
      </c>
      <c r="D727" t="s">
        <v>2351</v>
      </c>
      <c r="E727" t="s">
        <v>2352</v>
      </c>
      <c r="F727">
        <v>0</v>
      </c>
      <c r="G727">
        <v>725</v>
      </c>
      <c r="H727">
        <f>IF(Table1[[#This Row],[my_ent_1]]=Table1[[#This Row],[their_ent_1]], 1, 0)</f>
        <v>0</v>
      </c>
      <c r="I727">
        <f>IF(Table1[[#This Row],[my_ent_2]]=Table1[[#This Row],[their_ent_2]], 1, 0)</f>
        <v>0</v>
      </c>
      <c r="J727">
        <f>IF(Table1[[#This Row],[same_1]]=1 &amp; Table1[[#This Row],[same_2]]=1, 1, 0)</f>
        <v>0</v>
      </c>
      <c r="K727">
        <f>IF(ISNUMBER(SEARCH(Table1[[#This Row],[their_ent_1]],Table1[[#This Row],[my_ent_1]])), 1, 0)</f>
        <v>1</v>
      </c>
      <c r="L727">
        <f>IF(ISNUMBER(SEARCH(Table1[[#This Row],[their_ent_2]],Table1[[#This Row],[my_ent_2]])), 1, 0)</f>
        <v>0</v>
      </c>
    </row>
    <row r="728" spans="1:12" x14ac:dyDescent="0.3">
      <c r="A728" t="s">
        <v>2353</v>
      </c>
      <c r="B728" t="s">
        <v>112</v>
      </c>
      <c r="C728" t="s">
        <v>485</v>
      </c>
      <c r="D728" t="s">
        <v>485</v>
      </c>
      <c r="E728" t="s">
        <v>2354</v>
      </c>
      <c r="F728">
        <v>0</v>
      </c>
      <c r="G728">
        <v>726</v>
      </c>
      <c r="H728">
        <f>IF(Table1[[#This Row],[my_ent_1]]=Table1[[#This Row],[their_ent_1]], 1, 0)</f>
        <v>0</v>
      </c>
      <c r="I728">
        <f>IF(Table1[[#This Row],[my_ent_2]]=Table1[[#This Row],[their_ent_2]], 1, 0)</f>
        <v>0</v>
      </c>
      <c r="J728">
        <f>IF(Table1[[#This Row],[same_1]]=1 &amp; Table1[[#This Row],[same_2]]=1, 1, 0)</f>
        <v>0</v>
      </c>
      <c r="K728">
        <f>IF(ISNUMBER(SEARCH(Table1[[#This Row],[their_ent_1]],Table1[[#This Row],[my_ent_1]])), 1, 0)</f>
        <v>0</v>
      </c>
      <c r="L728">
        <f>IF(ISNUMBER(SEARCH(Table1[[#This Row],[their_ent_2]],Table1[[#This Row],[my_ent_2]])), 1, 0)</f>
        <v>0</v>
      </c>
    </row>
    <row r="729" spans="1:12" x14ac:dyDescent="0.3">
      <c r="A729" t="s">
        <v>2355</v>
      </c>
      <c r="B729" t="s">
        <v>125</v>
      </c>
      <c r="C729" t="s">
        <v>125</v>
      </c>
      <c r="D729" t="s">
        <v>2356</v>
      </c>
      <c r="E729" t="s">
        <v>2357</v>
      </c>
      <c r="F729">
        <v>0</v>
      </c>
      <c r="G729">
        <v>727</v>
      </c>
      <c r="H729">
        <f>IF(Table1[[#This Row],[my_ent_1]]=Table1[[#This Row],[their_ent_1]], 1, 0)</f>
        <v>1</v>
      </c>
      <c r="I729">
        <f>IF(Table1[[#This Row],[my_ent_2]]=Table1[[#This Row],[their_ent_2]], 1, 0)</f>
        <v>0</v>
      </c>
      <c r="J729">
        <f>IF(Table1[[#This Row],[same_1]]=1 &amp; Table1[[#This Row],[same_2]]=1, 1, 0)</f>
        <v>0</v>
      </c>
      <c r="K729">
        <f>IF(ISNUMBER(SEARCH(Table1[[#This Row],[their_ent_1]],Table1[[#This Row],[my_ent_1]])), 1, 0)</f>
        <v>1</v>
      </c>
      <c r="L729">
        <f>IF(ISNUMBER(SEARCH(Table1[[#This Row],[their_ent_2]],Table1[[#This Row],[my_ent_2]])), 1, 0)</f>
        <v>1</v>
      </c>
    </row>
    <row r="730" spans="1:12" x14ac:dyDescent="0.3">
      <c r="A730" t="s">
        <v>2358</v>
      </c>
      <c r="B730" t="s">
        <v>1093</v>
      </c>
      <c r="C730" t="s">
        <v>2359</v>
      </c>
      <c r="D730" t="s">
        <v>1027</v>
      </c>
      <c r="E730">
        <v>250</v>
      </c>
      <c r="F730">
        <v>0</v>
      </c>
      <c r="G730">
        <v>728</v>
      </c>
      <c r="H730">
        <f>IF(Table1[[#This Row],[my_ent_1]]=Table1[[#This Row],[their_ent_1]], 1, 0)</f>
        <v>0</v>
      </c>
      <c r="I730">
        <f>IF(Table1[[#This Row],[my_ent_2]]=Table1[[#This Row],[their_ent_2]], 1, 0)</f>
        <v>0</v>
      </c>
      <c r="J730">
        <f>IF(Table1[[#This Row],[same_1]]=1 &amp; Table1[[#This Row],[same_2]]=1, 1, 0)</f>
        <v>0</v>
      </c>
      <c r="K730">
        <f>IF(ISNUMBER(SEARCH(Table1[[#This Row],[their_ent_1]],Table1[[#This Row],[my_ent_1]])), 1, 0)</f>
        <v>0</v>
      </c>
      <c r="L730">
        <f>IF(ISNUMBER(SEARCH(Table1[[#This Row],[their_ent_2]],Table1[[#This Row],[my_ent_2]])), 1, 0)</f>
        <v>0</v>
      </c>
    </row>
    <row r="731" spans="1:12" x14ac:dyDescent="0.3">
      <c r="A731" t="s">
        <v>2360</v>
      </c>
      <c r="B731" t="s">
        <v>2361</v>
      </c>
      <c r="C731" t="s">
        <v>158</v>
      </c>
      <c r="D731" t="s">
        <v>20</v>
      </c>
      <c r="E731" t="s">
        <v>2362</v>
      </c>
      <c r="F731">
        <v>0</v>
      </c>
      <c r="G731">
        <v>729</v>
      </c>
      <c r="H731">
        <f>IF(Table1[[#This Row],[my_ent_1]]=Table1[[#This Row],[their_ent_1]], 1, 0)</f>
        <v>0</v>
      </c>
      <c r="I731">
        <f>IF(Table1[[#This Row],[my_ent_2]]=Table1[[#This Row],[their_ent_2]], 1, 0)</f>
        <v>0</v>
      </c>
      <c r="J731">
        <f>IF(Table1[[#This Row],[same_1]]=1 &amp; Table1[[#This Row],[same_2]]=1, 1, 0)</f>
        <v>0</v>
      </c>
      <c r="K731">
        <f>IF(ISNUMBER(SEARCH(Table1[[#This Row],[their_ent_1]],Table1[[#This Row],[my_ent_1]])), 1, 0)</f>
        <v>0</v>
      </c>
      <c r="L731">
        <f>IF(ISNUMBER(SEARCH(Table1[[#This Row],[their_ent_2]],Table1[[#This Row],[my_ent_2]])), 1, 0)</f>
        <v>0</v>
      </c>
    </row>
    <row r="732" spans="1:12" x14ac:dyDescent="0.3">
      <c r="A732" t="s">
        <v>2363</v>
      </c>
      <c r="B732" t="s">
        <v>2364</v>
      </c>
      <c r="C732" t="s">
        <v>2365</v>
      </c>
      <c r="D732" t="s">
        <v>2366</v>
      </c>
      <c r="E732" t="s">
        <v>2366</v>
      </c>
      <c r="F732">
        <v>0</v>
      </c>
      <c r="G732">
        <v>730</v>
      </c>
      <c r="H732">
        <f>IF(Table1[[#This Row],[my_ent_1]]=Table1[[#This Row],[their_ent_1]], 1, 0)</f>
        <v>0</v>
      </c>
      <c r="I732">
        <f>IF(Table1[[#This Row],[my_ent_2]]=Table1[[#This Row],[their_ent_2]], 1, 0)</f>
        <v>1</v>
      </c>
      <c r="J732">
        <f>IF(Table1[[#This Row],[same_1]]=1 &amp; Table1[[#This Row],[same_2]]=1, 1, 0)</f>
        <v>0</v>
      </c>
      <c r="K732">
        <f>IF(ISNUMBER(SEARCH(Table1[[#This Row],[their_ent_1]],Table1[[#This Row],[my_ent_1]])), 1, 0)</f>
        <v>1</v>
      </c>
      <c r="L732">
        <f>IF(ISNUMBER(SEARCH(Table1[[#This Row],[their_ent_2]],Table1[[#This Row],[my_ent_2]])), 1, 0)</f>
        <v>1</v>
      </c>
    </row>
    <row r="733" spans="1:12" x14ac:dyDescent="0.3">
      <c r="A733" t="s">
        <v>2367</v>
      </c>
      <c r="B733" t="s">
        <v>676</v>
      </c>
      <c r="C733" t="s">
        <v>676</v>
      </c>
      <c r="D733" t="s">
        <v>762</v>
      </c>
      <c r="E733" t="s">
        <v>763</v>
      </c>
      <c r="F733">
        <v>0</v>
      </c>
      <c r="G733">
        <v>731</v>
      </c>
      <c r="H733">
        <f>IF(Table1[[#This Row],[my_ent_1]]=Table1[[#This Row],[their_ent_1]], 1, 0)</f>
        <v>1</v>
      </c>
      <c r="I733">
        <f>IF(Table1[[#This Row],[my_ent_2]]=Table1[[#This Row],[their_ent_2]], 1, 0)</f>
        <v>0</v>
      </c>
      <c r="J733">
        <f>IF(Table1[[#This Row],[same_1]]=1 &amp; Table1[[#This Row],[same_2]]=1, 1, 0)</f>
        <v>0</v>
      </c>
      <c r="K733">
        <f>IF(ISNUMBER(SEARCH(Table1[[#This Row],[their_ent_1]],Table1[[#This Row],[my_ent_1]])), 1, 0)</f>
        <v>1</v>
      </c>
      <c r="L733">
        <f>IF(ISNUMBER(SEARCH(Table1[[#This Row],[their_ent_2]],Table1[[#This Row],[my_ent_2]])), 1, 0)</f>
        <v>1</v>
      </c>
    </row>
    <row r="734" spans="1:12" x14ac:dyDescent="0.3">
      <c r="A734" t="s">
        <v>2368</v>
      </c>
      <c r="B734" t="s">
        <v>353</v>
      </c>
      <c r="C734" t="s">
        <v>54</v>
      </c>
      <c r="D734" t="s">
        <v>2369</v>
      </c>
      <c r="E734" t="s">
        <v>2369</v>
      </c>
      <c r="F734">
        <v>0</v>
      </c>
      <c r="G734">
        <v>732</v>
      </c>
      <c r="H734">
        <f>IF(Table1[[#This Row],[my_ent_1]]=Table1[[#This Row],[their_ent_1]], 1, 0)</f>
        <v>0</v>
      </c>
      <c r="I734">
        <f>IF(Table1[[#This Row],[my_ent_2]]=Table1[[#This Row],[their_ent_2]], 1, 0)</f>
        <v>1</v>
      </c>
      <c r="J734">
        <f>IF(Table1[[#This Row],[same_1]]=1 &amp; Table1[[#This Row],[same_2]]=1, 1, 0)</f>
        <v>0</v>
      </c>
      <c r="K734">
        <f>IF(ISNUMBER(SEARCH(Table1[[#This Row],[their_ent_1]],Table1[[#This Row],[my_ent_1]])), 1, 0)</f>
        <v>0</v>
      </c>
      <c r="L734">
        <f>IF(ISNUMBER(SEARCH(Table1[[#This Row],[their_ent_2]],Table1[[#This Row],[my_ent_2]])), 1, 0)</f>
        <v>1</v>
      </c>
    </row>
    <row r="735" spans="1:12" x14ac:dyDescent="0.3">
      <c r="A735" t="s">
        <v>2370</v>
      </c>
      <c r="B735" t="s">
        <v>2371</v>
      </c>
      <c r="C735" t="s">
        <v>140</v>
      </c>
      <c r="D735" t="s">
        <v>353</v>
      </c>
      <c r="E735" t="s">
        <v>353</v>
      </c>
      <c r="F735">
        <v>0</v>
      </c>
      <c r="G735">
        <v>733</v>
      </c>
      <c r="H735">
        <f>IF(Table1[[#This Row],[my_ent_1]]=Table1[[#This Row],[their_ent_1]], 1, 0)</f>
        <v>0</v>
      </c>
      <c r="I735">
        <f>IF(Table1[[#This Row],[my_ent_2]]=Table1[[#This Row],[their_ent_2]], 1, 0)</f>
        <v>1</v>
      </c>
      <c r="J735">
        <f>IF(Table1[[#This Row],[same_1]]=1 &amp; Table1[[#This Row],[same_2]]=1, 1, 0)</f>
        <v>0</v>
      </c>
      <c r="K735">
        <f>IF(ISNUMBER(SEARCH(Table1[[#This Row],[their_ent_1]],Table1[[#This Row],[my_ent_1]])), 1, 0)</f>
        <v>1</v>
      </c>
      <c r="L735">
        <f>IF(ISNUMBER(SEARCH(Table1[[#This Row],[their_ent_2]],Table1[[#This Row],[my_ent_2]])), 1, 0)</f>
        <v>1</v>
      </c>
    </row>
    <row r="736" spans="1:12" x14ac:dyDescent="0.3">
      <c r="A736" t="s">
        <v>2372</v>
      </c>
      <c r="B736" t="s">
        <v>2373</v>
      </c>
      <c r="C736" t="s">
        <v>2373</v>
      </c>
      <c r="D736" t="s">
        <v>2374</v>
      </c>
      <c r="E736" t="s">
        <v>2375</v>
      </c>
      <c r="F736">
        <v>0</v>
      </c>
      <c r="G736">
        <v>734</v>
      </c>
      <c r="H736">
        <f>IF(Table1[[#This Row],[my_ent_1]]=Table1[[#This Row],[their_ent_1]], 1, 0)</f>
        <v>1</v>
      </c>
      <c r="I736">
        <f>IF(Table1[[#This Row],[my_ent_2]]=Table1[[#This Row],[their_ent_2]], 1, 0)</f>
        <v>0</v>
      </c>
      <c r="J736">
        <f>IF(Table1[[#This Row],[same_1]]=1 &amp; Table1[[#This Row],[same_2]]=1, 1, 0)</f>
        <v>0</v>
      </c>
      <c r="K736">
        <f>IF(ISNUMBER(SEARCH(Table1[[#This Row],[their_ent_1]],Table1[[#This Row],[my_ent_1]])), 1, 0)</f>
        <v>1</v>
      </c>
      <c r="L736">
        <f>IF(ISNUMBER(SEARCH(Table1[[#This Row],[their_ent_2]],Table1[[#This Row],[my_ent_2]])), 1, 0)</f>
        <v>1</v>
      </c>
    </row>
    <row r="737" spans="1:12" x14ac:dyDescent="0.3">
      <c r="A737" t="s">
        <v>2376</v>
      </c>
      <c r="B737" t="s">
        <v>2377</v>
      </c>
      <c r="C737" t="s">
        <v>2378</v>
      </c>
      <c r="D737" t="s">
        <v>2379</v>
      </c>
      <c r="E737" t="s">
        <v>2379</v>
      </c>
      <c r="F737">
        <v>0</v>
      </c>
      <c r="G737">
        <v>735</v>
      </c>
      <c r="H737">
        <f>IF(Table1[[#This Row],[my_ent_1]]=Table1[[#This Row],[their_ent_1]], 1, 0)</f>
        <v>0</v>
      </c>
      <c r="I737">
        <f>IF(Table1[[#This Row],[my_ent_2]]=Table1[[#This Row],[their_ent_2]], 1, 0)</f>
        <v>1</v>
      </c>
      <c r="J737">
        <f>IF(Table1[[#This Row],[same_1]]=1 &amp; Table1[[#This Row],[same_2]]=1, 1, 0)</f>
        <v>0</v>
      </c>
      <c r="K737">
        <f>IF(ISNUMBER(SEARCH(Table1[[#This Row],[their_ent_1]],Table1[[#This Row],[my_ent_1]])), 1, 0)</f>
        <v>0</v>
      </c>
      <c r="L737">
        <f>IF(ISNUMBER(SEARCH(Table1[[#This Row],[their_ent_2]],Table1[[#This Row],[my_ent_2]])), 1, 0)</f>
        <v>1</v>
      </c>
    </row>
    <row r="738" spans="1:12" x14ac:dyDescent="0.3">
      <c r="A738" t="s">
        <v>2380</v>
      </c>
      <c r="B738" t="s">
        <v>2381</v>
      </c>
      <c r="C738" t="s">
        <v>2382</v>
      </c>
      <c r="D738" t="s">
        <v>2383</v>
      </c>
      <c r="E738" t="s">
        <v>2384</v>
      </c>
      <c r="F738">
        <v>0</v>
      </c>
      <c r="G738">
        <v>736</v>
      </c>
      <c r="H738">
        <f>IF(Table1[[#This Row],[my_ent_1]]=Table1[[#This Row],[their_ent_1]], 1, 0)</f>
        <v>0</v>
      </c>
      <c r="I738">
        <f>IF(Table1[[#This Row],[my_ent_2]]=Table1[[#This Row],[their_ent_2]], 1, 0)</f>
        <v>0</v>
      </c>
      <c r="J738">
        <f>IF(Table1[[#This Row],[same_1]]=1 &amp; Table1[[#This Row],[same_2]]=1, 1, 0)</f>
        <v>0</v>
      </c>
      <c r="K738">
        <f>IF(ISNUMBER(SEARCH(Table1[[#This Row],[their_ent_1]],Table1[[#This Row],[my_ent_1]])), 1, 0)</f>
        <v>0</v>
      </c>
      <c r="L738">
        <f>IF(ISNUMBER(SEARCH(Table1[[#This Row],[their_ent_2]],Table1[[#This Row],[my_ent_2]])), 1, 0)</f>
        <v>0</v>
      </c>
    </row>
    <row r="739" spans="1:12" x14ac:dyDescent="0.3">
      <c r="A739" t="s">
        <v>2385</v>
      </c>
      <c r="B739" t="s">
        <v>2386</v>
      </c>
      <c r="C739" t="s">
        <v>648</v>
      </c>
      <c r="D739" t="s">
        <v>2387</v>
      </c>
      <c r="E739" t="s">
        <v>2388</v>
      </c>
      <c r="F739">
        <v>0</v>
      </c>
      <c r="G739">
        <v>737</v>
      </c>
      <c r="H739">
        <f>IF(Table1[[#This Row],[my_ent_1]]=Table1[[#This Row],[their_ent_1]], 1, 0)</f>
        <v>0</v>
      </c>
      <c r="I739">
        <f>IF(Table1[[#This Row],[my_ent_2]]=Table1[[#This Row],[their_ent_2]], 1, 0)</f>
        <v>0</v>
      </c>
      <c r="J739">
        <f>IF(Table1[[#This Row],[same_1]]=1 &amp; Table1[[#This Row],[same_2]]=1, 1, 0)</f>
        <v>0</v>
      </c>
      <c r="K739">
        <f>IF(ISNUMBER(SEARCH(Table1[[#This Row],[their_ent_1]],Table1[[#This Row],[my_ent_1]])), 1, 0)</f>
        <v>1</v>
      </c>
      <c r="L739">
        <f>IF(ISNUMBER(SEARCH(Table1[[#This Row],[their_ent_2]],Table1[[#This Row],[my_ent_2]])), 1, 0)</f>
        <v>0</v>
      </c>
    </row>
    <row r="740" spans="1:12" x14ac:dyDescent="0.3">
      <c r="A740" t="s">
        <v>2389</v>
      </c>
      <c r="B740" t="s">
        <v>2390</v>
      </c>
      <c r="C740" t="s">
        <v>2390</v>
      </c>
      <c r="D740" t="s">
        <v>2391</v>
      </c>
      <c r="E740" t="s">
        <v>813</v>
      </c>
      <c r="F740">
        <v>0</v>
      </c>
      <c r="G740">
        <v>738</v>
      </c>
      <c r="H740">
        <f>IF(Table1[[#This Row],[my_ent_1]]=Table1[[#This Row],[their_ent_1]], 1, 0)</f>
        <v>1</v>
      </c>
      <c r="I740">
        <f>IF(Table1[[#This Row],[my_ent_2]]=Table1[[#This Row],[their_ent_2]], 1, 0)</f>
        <v>0</v>
      </c>
      <c r="J740">
        <f>IF(Table1[[#This Row],[same_1]]=1 &amp; Table1[[#This Row],[same_2]]=1, 1, 0)</f>
        <v>0</v>
      </c>
      <c r="K740">
        <f>IF(ISNUMBER(SEARCH(Table1[[#This Row],[their_ent_1]],Table1[[#This Row],[my_ent_1]])), 1, 0)</f>
        <v>1</v>
      </c>
      <c r="L740">
        <f>IF(ISNUMBER(SEARCH(Table1[[#This Row],[their_ent_2]],Table1[[#This Row],[my_ent_2]])), 1, 0)</f>
        <v>0</v>
      </c>
    </row>
    <row r="741" spans="1:12" x14ac:dyDescent="0.3">
      <c r="A741" t="s">
        <v>2392</v>
      </c>
      <c r="B741" t="s">
        <v>2393</v>
      </c>
      <c r="C741" t="s">
        <v>2394</v>
      </c>
      <c r="D741" t="s">
        <v>256</v>
      </c>
      <c r="E741" t="s">
        <v>256</v>
      </c>
      <c r="F741">
        <v>0</v>
      </c>
      <c r="G741">
        <v>739</v>
      </c>
      <c r="H741">
        <f>IF(Table1[[#This Row],[my_ent_1]]=Table1[[#This Row],[their_ent_1]], 1, 0)</f>
        <v>0</v>
      </c>
      <c r="I741">
        <f>IF(Table1[[#This Row],[my_ent_2]]=Table1[[#This Row],[their_ent_2]], 1, 0)</f>
        <v>1</v>
      </c>
      <c r="J741">
        <f>IF(Table1[[#This Row],[same_1]]=1 &amp; Table1[[#This Row],[same_2]]=1, 1, 0)</f>
        <v>0</v>
      </c>
      <c r="K741">
        <f>IF(ISNUMBER(SEARCH(Table1[[#This Row],[their_ent_1]],Table1[[#This Row],[my_ent_1]])), 1, 0)</f>
        <v>1</v>
      </c>
      <c r="L741">
        <f>IF(ISNUMBER(SEARCH(Table1[[#This Row],[their_ent_2]],Table1[[#This Row],[my_ent_2]])), 1, 0)</f>
        <v>1</v>
      </c>
    </row>
    <row r="742" spans="1:12" x14ac:dyDescent="0.3">
      <c r="A742" t="s">
        <v>2395</v>
      </c>
      <c r="B742" t="s">
        <v>2396</v>
      </c>
      <c r="C742" t="s">
        <v>1299</v>
      </c>
      <c r="D742" t="s">
        <v>450</v>
      </c>
      <c r="E742" t="s">
        <v>2396</v>
      </c>
      <c r="F742">
        <v>0</v>
      </c>
      <c r="G742">
        <v>740</v>
      </c>
      <c r="H742">
        <f>IF(Table1[[#This Row],[my_ent_1]]=Table1[[#This Row],[their_ent_1]], 1, 0)</f>
        <v>0</v>
      </c>
      <c r="I742">
        <f>IF(Table1[[#This Row],[my_ent_2]]=Table1[[#This Row],[their_ent_2]], 1, 0)</f>
        <v>0</v>
      </c>
      <c r="J742">
        <f>IF(Table1[[#This Row],[same_1]]=1 &amp; Table1[[#This Row],[same_2]]=1, 1, 0)</f>
        <v>0</v>
      </c>
      <c r="K742">
        <f>IF(ISNUMBER(SEARCH(Table1[[#This Row],[their_ent_1]],Table1[[#This Row],[my_ent_1]])), 1, 0)</f>
        <v>0</v>
      </c>
      <c r="L742">
        <f>IF(ISNUMBER(SEARCH(Table1[[#This Row],[their_ent_2]],Table1[[#This Row],[my_ent_2]])), 1, 0)</f>
        <v>0</v>
      </c>
    </row>
    <row r="743" spans="1:12" x14ac:dyDescent="0.3">
      <c r="A743" t="s">
        <v>2397</v>
      </c>
      <c r="B743" t="s">
        <v>2398</v>
      </c>
      <c r="C743" t="s">
        <v>2398</v>
      </c>
      <c r="D743" t="s">
        <v>623</v>
      </c>
      <c r="E743" t="s">
        <v>624</v>
      </c>
      <c r="F743">
        <v>0</v>
      </c>
      <c r="G743">
        <v>741</v>
      </c>
      <c r="H743">
        <f>IF(Table1[[#This Row],[my_ent_1]]=Table1[[#This Row],[their_ent_1]], 1, 0)</f>
        <v>1</v>
      </c>
      <c r="I743">
        <f>IF(Table1[[#This Row],[my_ent_2]]=Table1[[#This Row],[their_ent_2]], 1, 0)</f>
        <v>0</v>
      </c>
      <c r="J743">
        <f>IF(Table1[[#This Row],[same_1]]=1 &amp; Table1[[#This Row],[same_2]]=1, 1, 0)</f>
        <v>0</v>
      </c>
      <c r="K743">
        <f>IF(ISNUMBER(SEARCH(Table1[[#This Row],[their_ent_1]],Table1[[#This Row],[my_ent_1]])), 1, 0)</f>
        <v>1</v>
      </c>
      <c r="L743">
        <f>IF(ISNUMBER(SEARCH(Table1[[#This Row],[their_ent_2]],Table1[[#This Row],[my_ent_2]])), 1, 0)</f>
        <v>1</v>
      </c>
    </row>
    <row r="744" spans="1:12" x14ac:dyDescent="0.3">
      <c r="A744" t="s">
        <v>2399</v>
      </c>
      <c r="B744" t="s">
        <v>202</v>
      </c>
      <c r="C744" t="s">
        <v>171</v>
      </c>
      <c r="D744" t="s">
        <v>78</v>
      </c>
      <c r="E744" t="s">
        <v>1265</v>
      </c>
      <c r="F744">
        <v>0</v>
      </c>
      <c r="G744">
        <v>742</v>
      </c>
      <c r="H744">
        <f>IF(Table1[[#This Row],[my_ent_1]]=Table1[[#This Row],[their_ent_1]], 1, 0)</f>
        <v>0</v>
      </c>
      <c r="I744">
        <f>IF(Table1[[#This Row],[my_ent_2]]=Table1[[#This Row],[their_ent_2]], 1, 0)</f>
        <v>0</v>
      </c>
      <c r="J744">
        <f>IF(Table1[[#This Row],[same_1]]=1 &amp; Table1[[#This Row],[same_2]]=1, 1, 0)</f>
        <v>0</v>
      </c>
      <c r="K744">
        <f>IF(ISNUMBER(SEARCH(Table1[[#This Row],[their_ent_1]],Table1[[#This Row],[my_ent_1]])), 1, 0)</f>
        <v>0</v>
      </c>
      <c r="L744">
        <f>IF(ISNUMBER(SEARCH(Table1[[#This Row],[their_ent_2]],Table1[[#This Row],[my_ent_2]])), 1, 0)</f>
        <v>0</v>
      </c>
    </row>
    <row r="745" spans="1:12" x14ac:dyDescent="0.3">
      <c r="A745" t="s">
        <v>2400</v>
      </c>
      <c r="B745" t="s">
        <v>2401</v>
      </c>
      <c r="C745" t="s">
        <v>2402</v>
      </c>
      <c r="D745" t="s">
        <v>2403</v>
      </c>
      <c r="E745" t="s">
        <v>1159</v>
      </c>
      <c r="F745">
        <v>0</v>
      </c>
      <c r="G745">
        <v>743</v>
      </c>
      <c r="H745">
        <f>IF(Table1[[#This Row],[my_ent_1]]=Table1[[#This Row],[their_ent_1]], 1, 0)</f>
        <v>0</v>
      </c>
      <c r="I745">
        <f>IF(Table1[[#This Row],[my_ent_2]]=Table1[[#This Row],[their_ent_2]], 1, 0)</f>
        <v>0</v>
      </c>
      <c r="J745">
        <f>IF(Table1[[#This Row],[same_1]]=1 &amp; Table1[[#This Row],[same_2]]=1, 1, 0)</f>
        <v>0</v>
      </c>
      <c r="K745">
        <f>IF(ISNUMBER(SEARCH(Table1[[#This Row],[their_ent_1]],Table1[[#This Row],[my_ent_1]])), 1, 0)</f>
        <v>0</v>
      </c>
      <c r="L745">
        <f>IF(ISNUMBER(SEARCH(Table1[[#This Row],[their_ent_2]],Table1[[#This Row],[my_ent_2]])), 1, 0)</f>
        <v>0</v>
      </c>
    </row>
    <row r="746" spans="1:12" x14ac:dyDescent="0.3">
      <c r="A746" t="s">
        <v>2404</v>
      </c>
      <c r="B746" t="s">
        <v>2405</v>
      </c>
      <c r="C746" t="s">
        <v>2406</v>
      </c>
      <c r="D746" t="s">
        <v>2406</v>
      </c>
      <c r="E746" t="s">
        <v>2407</v>
      </c>
      <c r="F746">
        <v>0</v>
      </c>
      <c r="G746">
        <v>744</v>
      </c>
      <c r="H746">
        <f>IF(Table1[[#This Row],[my_ent_1]]=Table1[[#This Row],[their_ent_1]], 1, 0)</f>
        <v>0</v>
      </c>
      <c r="I746">
        <f>IF(Table1[[#This Row],[my_ent_2]]=Table1[[#This Row],[their_ent_2]], 1, 0)</f>
        <v>0</v>
      </c>
      <c r="J746">
        <f>IF(Table1[[#This Row],[same_1]]=1 &amp; Table1[[#This Row],[same_2]]=1, 1, 0)</f>
        <v>0</v>
      </c>
      <c r="K746">
        <f>IF(ISNUMBER(SEARCH(Table1[[#This Row],[their_ent_1]],Table1[[#This Row],[my_ent_1]])), 1, 0)</f>
        <v>0</v>
      </c>
      <c r="L746">
        <f>IF(ISNUMBER(SEARCH(Table1[[#This Row],[their_ent_2]],Table1[[#This Row],[my_ent_2]])), 1, 0)</f>
        <v>0</v>
      </c>
    </row>
    <row r="747" spans="1:12" x14ac:dyDescent="0.3">
      <c r="A747" t="s">
        <v>2408</v>
      </c>
      <c r="B747" t="s">
        <v>2409</v>
      </c>
      <c r="C747" t="s">
        <v>2410</v>
      </c>
      <c r="D747" t="s">
        <v>2411</v>
      </c>
      <c r="E747" t="s">
        <v>2412</v>
      </c>
      <c r="F747">
        <v>0</v>
      </c>
      <c r="G747">
        <v>745</v>
      </c>
      <c r="H747">
        <f>IF(Table1[[#This Row],[my_ent_1]]=Table1[[#This Row],[their_ent_1]], 1, 0)</f>
        <v>0</v>
      </c>
      <c r="I747">
        <f>IF(Table1[[#This Row],[my_ent_2]]=Table1[[#This Row],[their_ent_2]], 1, 0)</f>
        <v>0</v>
      </c>
      <c r="J747">
        <f>IF(Table1[[#This Row],[same_1]]=1 &amp; Table1[[#This Row],[same_2]]=1, 1, 0)</f>
        <v>0</v>
      </c>
      <c r="K747">
        <f>IF(ISNUMBER(SEARCH(Table1[[#This Row],[their_ent_1]],Table1[[#This Row],[my_ent_1]])), 1, 0)</f>
        <v>0</v>
      </c>
      <c r="L747">
        <f>IF(ISNUMBER(SEARCH(Table1[[#This Row],[their_ent_2]],Table1[[#This Row],[my_ent_2]])), 1, 0)</f>
        <v>0</v>
      </c>
    </row>
    <row r="748" spans="1:12" x14ac:dyDescent="0.3">
      <c r="A748" t="s">
        <v>2413</v>
      </c>
      <c r="B748" t="s">
        <v>2414</v>
      </c>
      <c r="C748" t="s">
        <v>2415</v>
      </c>
      <c r="D748" t="s">
        <v>2415</v>
      </c>
      <c r="E748" t="s">
        <v>485</v>
      </c>
      <c r="F748">
        <v>0</v>
      </c>
      <c r="G748">
        <v>746</v>
      </c>
      <c r="H748">
        <f>IF(Table1[[#This Row],[my_ent_1]]=Table1[[#This Row],[their_ent_1]], 1, 0)</f>
        <v>0</v>
      </c>
      <c r="I748">
        <f>IF(Table1[[#This Row],[my_ent_2]]=Table1[[#This Row],[their_ent_2]], 1, 0)</f>
        <v>0</v>
      </c>
      <c r="J748">
        <f>IF(Table1[[#This Row],[same_1]]=1 &amp; Table1[[#This Row],[same_2]]=1, 1, 0)</f>
        <v>0</v>
      </c>
      <c r="K748">
        <f>IF(ISNUMBER(SEARCH(Table1[[#This Row],[their_ent_1]],Table1[[#This Row],[my_ent_1]])), 1, 0)</f>
        <v>0</v>
      </c>
      <c r="L748">
        <f>IF(ISNUMBER(SEARCH(Table1[[#This Row],[their_ent_2]],Table1[[#This Row],[my_ent_2]])), 1, 0)</f>
        <v>0</v>
      </c>
    </row>
    <row r="749" spans="1:12" x14ac:dyDescent="0.3">
      <c r="A749" t="s">
        <v>2416</v>
      </c>
      <c r="B749" t="s">
        <v>222</v>
      </c>
      <c r="C749" t="s">
        <v>2417</v>
      </c>
      <c r="D749" t="s">
        <v>2418</v>
      </c>
      <c r="E749" t="s">
        <v>2418</v>
      </c>
      <c r="F749">
        <v>0</v>
      </c>
      <c r="G749">
        <v>747</v>
      </c>
      <c r="H749">
        <f>IF(Table1[[#This Row],[my_ent_1]]=Table1[[#This Row],[their_ent_1]], 1, 0)</f>
        <v>0</v>
      </c>
      <c r="I749">
        <f>IF(Table1[[#This Row],[my_ent_2]]=Table1[[#This Row],[their_ent_2]], 1, 0)</f>
        <v>1</v>
      </c>
      <c r="J749">
        <f>IF(Table1[[#This Row],[same_1]]=1 &amp; Table1[[#This Row],[same_2]]=1, 1, 0)</f>
        <v>0</v>
      </c>
      <c r="K749">
        <f>IF(ISNUMBER(SEARCH(Table1[[#This Row],[their_ent_1]],Table1[[#This Row],[my_ent_1]])), 1, 0)</f>
        <v>0</v>
      </c>
      <c r="L749">
        <f>IF(ISNUMBER(SEARCH(Table1[[#This Row],[their_ent_2]],Table1[[#This Row],[my_ent_2]])), 1, 0)</f>
        <v>1</v>
      </c>
    </row>
    <row r="750" spans="1:12" x14ac:dyDescent="0.3">
      <c r="A750" t="s">
        <v>2419</v>
      </c>
      <c r="B750" t="s">
        <v>845</v>
      </c>
      <c r="C750" t="s">
        <v>845</v>
      </c>
      <c r="D750" t="s">
        <v>596</v>
      </c>
      <c r="E750" t="s">
        <v>20</v>
      </c>
      <c r="F750">
        <v>1</v>
      </c>
      <c r="G750">
        <v>748</v>
      </c>
      <c r="H750">
        <f>IF(Table1[[#This Row],[my_ent_1]]=Table1[[#This Row],[their_ent_1]], 1, 0)</f>
        <v>1</v>
      </c>
      <c r="I750">
        <f>IF(Table1[[#This Row],[my_ent_2]]=Table1[[#This Row],[their_ent_2]], 1, 0)</f>
        <v>0</v>
      </c>
      <c r="J750">
        <f>IF(Table1[[#This Row],[same_1]]=1 &amp; Table1[[#This Row],[same_2]]=1, 1, 0)</f>
        <v>0</v>
      </c>
      <c r="K750">
        <f>IF(ISNUMBER(SEARCH(Table1[[#This Row],[their_ent_1]],Table1[[#This Row],[my_ent_1]])), 1, 0)</f>
        <v>1</v>
      </c>
      <c r="L750">
        <f>IF(ISNUMBER(SEARCH(Table1[[#This Row],[their_ent_2]],Table1[[#This Row],[my_ent_2]])), 1, 0)</f>
        <v>0</v>
      </c>
    </row>
    <row r="751" spans="1:12" x14ac:dyDescent="0.3">
      <c r="A751" t="s">
        <v>2420</v>
      </c>
      <c r="B751" t="s">
        <v>1178</v>
      </c>
      <c r="C751" t="s">
        <v>1178</v>
      </c>
      <c r="D751" t="s">
        <v>20</v>
      </c>
      <c r="E751" t="s">
        <v>1196</v>
      </c>
      <c r="F751">
        <v>1</v>
      </c>
      <c r="G751">
        <v>749</v>
      </c>
      <c r="H751">
        <f>IF(Table1[[#This Row],[my_ent_1]]=Table1[[#This Row],[their_ent_1]], 1, 0)</f>
        <v>1</v>
      </c>
      <c r="I751">
        <f>IF(Table1[[#This Row],[my_ent_2]]=Table1[[#This Row],[their_ent_2]], 1, 0)</f>
        <v>0</v>
      </c>
      <c r="J751">
        <f>IF(Table1[[#This Row],[same_1]]=1 &amp; Table1[[#This Row],[same_2]]=1, 1, 0)</f>
        <v>0</v>
      </c>
      <c r="K751">
        <f>IF(ISNUMBER(SEARCH(Table1[[#This Row],[their_ent_1]],Table1[[#This Row],[my_ent_1]])), 1, 0)</f>
        <v>1</v>
      </c>
      <c r="L751">
        <f>IF(ISNUMBER(SEARCH(Table1[[#This Row],[their_ent_2]],Table1[[#This Row],[my_ent_2]])), 1, 0)</f>
        <v>0</v>
      </c>
    </row>
    <row r="752" spans="1:12" x14ac:dyDescent="0.3">
      <c r="A752" t="s">
        <v>2421</v>
      </c>
      <c r="B752" t="s">
        <v>2422</v>
      </c>
      <c r="C752" t="s">
        <v>353</v>
      </c>
      <c r="D752" t="s">
        <v>20</v>
      </c>
      <c r="E752" t="s">
        <v>20</v>
      </c>
      <c r="F752">
        <v>1</v>
      </c>
      <c r="G752">
        <v>750</v>
      </c>
      <c r="H752">
        <f>IF(Table1[[#This Row],[my_ent_1]]=Table1[[#This Row],[their_ent_1]], 1, 0)</f>
        <v>0</v>
      </c>
      <c r="I752">
        <f>IF(Table1[[#This Row],[my_ent_2]]=Table1[[#This Row],[their_ent_2]], 1, 0)</f>
        <v>1</v>
      </c>
      <c r="J752">
        <f>IF(Table1[[#This Row],[same_1]]=1 &amp; Table1[[#This Row],[same_2]]=1, 1, 0)</f>
        <v>0</v>
      </c>
      <c r="K752">
        <f>IF(ISNUMBER(SEARCH(Table1[[#This Row],[their_ent_1]],Table1[[#This Row],[my_ent_1]])), 1, 0)</f>
        <v>0</v>
      </c>
      <c r="L752">
        <f>IF(ISNUMBER(SEARCH(Table1[[#This Row],[their_ent_2]],Table1[[#This Row],[my_ent_2]])), 1, 0)</f>
        <v>1</v>
      </c>
    </row>
    <row r="753" spans="1:12" x14ac:dyDescent="0.3">
      <c r="A753" t="s">
        <v>2423</v>
      </c>
      <c r="B753" t="s">
        <v>127</v>
      </c>
      <c r="C753" t="s">
        <v>127</v>
      </c>
      <c r="D753" t="s">
        <v>260</v>
      </c>
      <c r="E753" t="s">
        <v>2424</v>
      </c>
      <c r="F753">
        <v>1</v>
      </c>
      <c r="G753">
        <v>751</v>
      </c>
      <c r="H753">
        <f>IF(Table1[[#This Row],[my_ent_1]]=Table1[[#This Row],[their_ent_1]], 1, 0)</f>
        <v>1</v>
      </c>
      <c r="I753">
        <f>IF(Table1[[#This Row],[my_ent_2]]=Table1[[#This Row],[their_ent_2]], 1, 0)</f>
        <v>0</v>
      </c>
      <c r="J753">
        <f>IF(Table1[[#This Row],[same_1]]=1 &amp; Table1[[#This Row],[same_2]]=1, 1, 0)</f>
        <v>0</v>
      </c>
      <c r="K753">
        <f>IF(ISNUMBER(SEARCH(Table1[[#This Row],[their_ent_1]],Table1[[#This Row],[my_ent_1]])), 1, 0)</f>
        <v>1</v>
      </c>
      <c r="L753">
        <f>IF(ISNUMBER(SEARCH(Table1[[#This Row],[their_ent_2]],Table1[[#This Row],[my_ent_2]])), 1, 0)</f>
        <v>0</v>
      </c>
    </row>
    <row r="754" spans="1:12" x14ac:dyDescent="0.3">
      <c r="A754" t="s">
        <v>2425</v>
      </c>
      <c r="B754" t="s">
        <v>20</v>
      </c>
      <c r="C754" t="s">
        <v>20</v>
      </c>
      <c r="D754" t="s">
        <v>2426</v>
      </c>
      <c r="E754" t="s">
        <v>2427</v>
      </c>
      <c r="F754">
        <v>1</v>
      </c>
      <c r="G754">
        <v>752</v>
      </c>
      <c r="H754">
        <f>IF(Table1[[#This Row],[my_ent_1]]=Table1[[#This Row],[their_ent_1]], 1, 0)</f>
        <v>1</v>
      </c>
      <c r="I754">
        <f>IF(Table1[[#This Row],[my_ent_2]]=Table1[[#This Row],[their_ent_2]], 1, 0)</f>
        <v>0</v>
      </c>
      <c r="J754">
        <f>IF(Table1[[#This Row],[same_1]]=1 &amp; Table1[[#This Row],[same_2]]=1, 1, 0)</f>
        <v>0</v>
      </c>
      <c r="K754">
        <f>IF(ISNUMBER(SEARCH(Table1[[#This Row],[their_ent_1]],Table1[[#This Row],[my_ent_1]])), 1, 0)</f>
        <v>1</v>
      </c>
      <c r="L754">
        <f>IF(ISNUMBER(SEARCH(Table1[[#This Row],[their_ent_2]],Table1[[#This Row],[my_ent_2]])), 1, 0)</f>
        <v>0</v>
      </c>
    </row>
    <row r="755" spans="1:12" x14ac:dyDescent="0.3">
      <c r="A755" t="s">
        <v>2428</v>
      </c>
      <c r="B755" t="s">
        <v>353</v>
      </c>
      <c r="C755" t="s">
        <v>353</v>
      </c>
      <c r="D755" t="s">
        <v>2429</v>
      </c>
      <c r="E755" t="s">
        <v>1527</v>
      </c>
      <c r="F755">
        <v>1</v>
      </c>
      <c r="G755">
        <v>753</v>
      </c>
      <c r="H755">
        <f>IF(Table1[[#This Row],[my_ent_1]]=Table1[[#This Row],[their_ent_1]], 1, 0)</f>
        <v>1</v>
      </c>
      <c r="I755">
        <f>IF(Table1[[#This Row],[my_ent_2]]=Table1[[#This Row],[their_ent_2]], 1, 0)</f>
        <v>0</v>
      </c>
      <c r="J755">
        <f>IF(Table1[[#This Row],[same_1]]=1 &amp; Table1[[#This Row],[same_2]]=1, 1, 0)</f>
        <v>0</v>
      </c>
      <c r="K755">
        <f>IF(ISNUMBER(SEARCH(Table1[[#This Row],[their_ent_1]],Table1[[#This Row],[my_ent_1]])), 1, 0)</f>
        <v>1</v>
      </c>
      <c r="L755">
        <f>IF(ISNUMBER(SEARCH(Table1[[#This Row],[their_ent_2]],Table1[[#This Row],[my_ent_2]])), 1, 0)</f>
        <v>0</v>
      </c>
    </row>
    <row r="756" spans="1:12" x14ac:dyDescent="0.3">
      <c r="A756" t="s">
        <v>2430</v>
      </c>
      <c r="B756" t="s">
        <v>243</v>
      </c>
      <c r="C756" t="s">
        <v>2431</v>
      </c>
      <c r="D756" t="s">
        <v>59</v>
      </c>
      <c r="E756" t="s">
        <v>243</v>
      </c>
      <c r="F756">
        <v>1</v>
      </c>
      <c r="G756">
        <v>754</v>
      </c>
      <c r="H756">
        <f>IF(Table1[[#This Row],[my_ent_1]]=Table1[[#This Row],[their_ent_1]], 1, 0)</f>
        <v>0</v>
      </c>
      <c r="I756">
        <f>IF(Table1[[#This Row],[my_ent_2]]=Table1[[#This Row],[their_ent_2]], 1, 0)</f>
        <v>0</v>
      </c>
      <c r="J756">
        <f>IF(Table1[[#This Row],[same_1]]=1 &amp; Table1[[#This Row],[same_2]]=1, 1, 0)</f>
        <v>0</v>
      </c>
      <c r="K756">
        <f>IF(ISNUMBER(SEARCH(Table1[[#This Row],[their_ent_1]],Table1[[#This Row],[my_ent_1]])), 1, 0)</f>
        <v>0</v>
      </c>
      <c r="L756">
        <f>IF(ISNUMBER(SEARCH(Table1[[#This Row],[their_ent_2]],Table1[[#This Row],[my_ent_2]])), 1, 0)</f>
        <v>0</v>
      </c>
    </row>
    <row r="757" spans="1:12" x14ac:dyDescent="0.3">
      <c r="A757" t="s">
        <v>2432</v>
      </c>
      <c r="B757" t="s">
        <v>78</v>
      </c>
      <c r="C757" t="s">
        <v>2433</v>
      </c>
      <c r="D757" t="s">
        <v>450</v>
      </c>
      <c r="E757" t="s">
        <v>78</v>
      </c>
      <c r="F757">
        <v>1</v>
      </c>
      <c r="G757">
        <v>755</v>
      </c>
      <c r="H757">
        <f>IF(Table1[[#This Row],[my_ent_1]]=Table1[[#This Row],[their_ent_1]], 1, 0)</f>
        <v>0</v>
      </c>
      <c r="I757">
        <f>IF(Table1[[#This Row],[my_ent_2]]=Table1[[#This Row],[their_ent_2]], 1, 0)</f>
        <v>0</v>
      </c>
      <c r="J757">
        <f>IF(Table1[[#This Row],[same_1]]=1 &amp; Table1[[#This Row],[same_2]]=1, 1, 0)</f>
        <v>0</v>
      </c>
      <c r="K757">
        <f>IF(ISNUMBER(SEARCH(Table1[[#This Row],[their_ent_1]],Table1[[#This Row],[my_ent_1]])), 1, 0)</f>
        <v>0</v>
      </c>
      <c r="L757">
        <f>IF(ISNUMBER(SEARCH(Table1[[#This Row],[their_ent_2]],Table1[[#This Row],[my_ent_2]])), 1, 0)</f>
        <v>0</v>
      </c>
    </row>
    <row r="758" spans="1:12" x14ac:dyDescent="0.3">
      <c r="A758" t="s">
        <v>2434</v>
      </c>
      <c r="B758" t="s">
        <v>353</v>
      </c>
      <c r="C758" t="s">
        <v>353</v>
      </c>
      <c r="D758" t="s">
        <v>140</v>
      </c>
      <c r="E758" t="s">
        <v>2435</v>
      </c>
      <c r="F758">
        <v>1</v>
      </c>
      <c r="G758">
        <v>756</v>
      </c>
      <c r="H758">
        <f>IF(Table1[[#This Row],[my_ent_1]]=Table1[[#This Row],[their_ent_1]], 1, 0)</f>
        <v>1</v>
      </c>
      <c r="I758">
        <f>IF(Table1[[#This Row],[my_ent_2]]=Table1[[#This Row],[their_ent_2]], 1, 0)</f>
        <v>0</v>
      </c>
      <c r="J758">
        <f>IF(Table1[[#This Row],[same_1]]=1 &amp; Table1[[#This Row],[same_2]]=1, 1, 0)</f>
        <v>0</v>
      </c>
      <c r="K758">
        <f>IF(ISNUMBER(SEARCH(Table1[[#This Row],[their_ent_1]],Table1[[#This Row],[my_ent_1]])), 1, 0)</f>
        <v>1</v>
      </c>
      <c r="L758">
        <f>IF(ISNUMBER(SEARCH(Table1[[#This Row],[their_ent_2]],Table1[[#This Row],[my_ent_2]])), 1, 0)</f>
        <v>0</v>
      </c>
    </row>
    <row r="759" spans="1:12" x14ac:dyDescent="0.3">
      <c r="A759" t="s">
        <v>2436</v>
      </c>
      <c r="B759" t="s">
        <v>2437</v>
      </c>
      <c r="C759" t="s">
        <v>2437</v>
      </c>
      <c r="D759" t="s">
        <v>2438</v>
      </c>
      <c r="E759" t="s">
        <v>381</v>
      </c>
      <c r="F759">
        <v>1</v>
      </c>
      <c r="G759">
        <v>757</v>
      </c>
      <c r="H759">
        <f>IF(Table1[[#This Row],[my_ent_1]]=Table1[[#This Row],[their_ent_1]], 1, 0)</f>
        <v>1</v>
      </c>
      <c r="I759">
        <f>IF(Table1[[#This Row],[my_ent_2]]=Table1[[#This Row],[their_ent_2]], 1, 0)</f>
        <v>0</v>
      </c>
      <c r="J759">
        <f>IF(Table1[[#This Row],[same_1]]=1 &amp; Table1[[#This Row],[same_2]]=1, 1, 0)</f>
        <v>0</v>
      </c>
      <c r="K759">
        <f>IF(ISNUMBER(SEARCH(Table1[[#This Row],[their_ent_1]],Table1[[#This Row],[my_ent_1]])), 1, 0)</f>
        <v>1</v>
      </c>
      <c r="L759">
        <f>IF(ISNUMBER(SEARCH(Table1[[#This Row],[their_ent_2]],Table1[[#This Row],[my_ent_2]])), 1, 0)</f>
        <v>0</v>
      </c>
    </row>
    <row r="760" spans="1:12" x14ac:dyDescent="0.3">
      <c r="A760" t="s">
        <v>2439</v>
      </c>
      <c r="B760" t="s">
        <v>289</v>
      </c>
      <c r="C760" t="s">
        <v>289</v>
      </c>
      <c r="D760" t="s">
        <v>2440</v>
      </c>
      <c r="E760" t="s">
        <v>2441</v>
      </c>
      <c r="F760">
        <v>1</v>
      </c>
      <c r="G760">
        <v>758</v>
      </c>
      <c r="H760">
        <f>IF(Table1[[#This Row],[my_ent_1]]=Table1[[#This Row],[their_ent_1]], 1, 0)</f>
        <v>1</v>
      </c>
      <c r="I760">
        <f>IF(Table1[[#This Row],[my_ent_2]]=Table1[[#This Row],[their_ent_2]], 1, 0)</f>
        <v>0</v>
      </c>
      <c r="J760">
        <f>IF(Table1[[#This Row],[same_1]]=1 &amp; Table1[[#This Row],[same_2]]=1, 1, 0)</f>
        <v>0</v>
      </c>
      <c r="K760">
        <f>IF(ISNUMBER(SEARCH(Table1[[#This Row],[their_ent_1]],Table1[[#This Row],[my_ent_1]])), 1, 0)</f>
        <v>1</v>
      </c>
      <c r="L760">
        <f>IF(ISNUMBER(SEARCH(Table1[[#This Row],[their_ent_2]],Table1[[#This Row],[my_ent_2]])), 1, 0)</f>
        <v>0</v>
      </c>
    </row>
    <row r="761" spans="1:12" x14ac:dyDescent="0.3">
      <c r="A761" t="s">
        <v>2442</v>
      </c>
      <c r="B761" t="s">
        <v>707</v>
      </c>
      <c r="C761" t="s">
        <v>44</v>
      </c>
      <c r="D761" t="s">
        <v>44</v>
      </c>
      <c r="E761" t="s">
        <v>918</v>
      </c>
      <c r="F761">
        <v>1</v>
      </c>
      <c r="G761">
        <v>759</v>
      </c>
      <c r="H761">
        <f>IF(Table1[[#This Row],[my_ent_1]]=Table1[[#This Row],[their_ent_1]], 1, 0)</f>
        <v>0</v>
      </c>
      <c r="I761">
        <f>IF(Table1[[#This Row],[my_ent_2]]=Table1[[#This Row],[their_ent_2]], 1, 0)</f>
        <v>0</v>
      </c>
      <c r="J761">
        <f>IF(Table1[[#This Row],[same_1]]=1 &amp; Table1[[#This Row],[same_2]]=1, 1, 0)</f>
        <v>0</v>
      </c>
      <c r="K761">
        <f>IF(ISNUMBER(SEARCH(Table1[[#This Row],[their_ent_1]],Table1[[#This Row],[my_ent_1]])), 1, 0)</f>
        <v>0</v>
      </c>
      <c r="L761">
        <f>IF(ISNUMBER(SEARCH(Table1[[#This Row],[their_ent_2]],Table1[[#This Row],[my_ent_2]])), 1, 0)</f>
        <v>0</v>
      </c>
    </row>
    <row r="762" spans="1:12" x14ac:dyDescent="0.3">
      <c r="A762" t="s">
        <v>2443</v>
      </c>
      <c r="B762" t="s">
        <v>20</v>
      </c>
      <c r="C762" t="s">
        <v>203</v>
      </c>
      <c r="D762" t="s">
        <v>450</v>
      </c>
      <c r="E762" t="s">
        <v>407</v>
      </c>
      <c r="F762">
        <v>1</v>
      </c>
      <c r="G762">
        <v>760</v>
      </c>
      <c r="H762">
        <f>IF(Table1[[#This Row],[my_ent_1]]=Table1[[#This Row],[their_ent_1]], 1, 0)</f>
        <v>0</v>
      </c>
      <c r="I762">
        <f>IF(Table1[[#This Row],[my_ent_2]]=Table1[[#This Row],[their_ent_2]], 1, 0)</f>
        <v>0</v>
      </c>
      <c r="J762">
        <f>IF(Table1[[#This Row],[same_1]]=1 &amp; Table1[[#This Row],[same_2]]=1, 1, 0)</f>
        <v>0</v>
      </c>
      <c r="K762">
        <f>IF(ISNUMBER(SEARCH(Table1[[#This Row],[their_ent_1]],Table1[[#This Row],[my_ent_1]])), 1, 0)</f>
        <v>0</v>
      </c>
      <c r="L762">
        <f>IF(ISNUMBER(SEARCH(Table1[[#This Row],[their_ent_2]],Table1[[#This Row],[my_ent_2]])), 1, 0)</f>
        <v>0</v>
      </c>
    </row>
    <row r="763" spans="1:12" x14ac:dyDescent="0.3">
      <c r="A763" t="s">
        <v>2444</v>
      </c>
      <c r="B763" t="s">
        <v>1234</v>
      </c>
      <c r="C763" t="s">
        <v>1234</v>
      </c>
      <c r="D763" t="s">
        <v>2445</v>
      </c>
      <c r="E763" t="s">
        <v>2446</v>
      </c>
      <c r="F763">
        <v>1</v>
      </c>
      <c r="G763">
        <v>761</v>
      </c>
      <c r="H763">
        <f>IF(Table1[[#This Row],[my_ent_1]]=Table1[[#This Row],[their_ent_1]], 1, 0)</f>
        <v>1</v>
      </c>
      <c r="I763">
        <f>IF(Table1[[#This Row],[my_ent_2]]=Table1[[#This Row],[their_ent_2]], 1, 0)</f>
        <v>0</v>
      </c>
      <c r="J763">
        <f>IF(Table1[[#This Row],[same_1]]=1 &amp; Table1[[#This Row],[same_2]]=1, 1, 0)</f>
        <v>0</v>
      </c>
      <c r="K763">
        <f>IF(ISNUMBER(SEARCH(Table1[[#This Row],[their_ent_1]],Table1[[#This Row],[my_ent_1]])), 1, 0)</f>
        <v>1</v>
      </c>
      <c r="L763">
        <f>IF(ISNUMBER(SEARCH(Table1[[#This Row],[their_ent_2]],Table1[[#This Row],[my_ent_2]])), 1, 0)</f>
        <v>1</v>
      </c>
    </row>
    <row r="764" spans="1:12" x14ac:dyDescent="0.3">
      <c r="A764" t="s">
        <v>2447</v>
      </c>
      <c r="B764" t="s">
        <v>2448</v>
      </c>
      <c r="C764" t="s">
        <v>2449</v>
      </c>
      <c r="D764" t="s">
        <v>2450</v>
      </c>
      <c r="E764" t="s">
        <v>2450</v>
      </c>
      <c r="F764">
        <v>1</v>
      </c>
      <c r="G764">
        <v>762</v>
      </c>
      <c r="H764">
        <f>IF(Table1[[#This Row],[my_ent_1]]=Table1[[#This Row],[their_ent_1]], 1, 0)</f>
        <v>0</v>
      </c>
      <c r="I764">
        <f>IF(Table1[[#This Row],[my_ent_2]]=Table1[[#This Row],[their_ent_2]], 1, 0)</f>
        <v>1</v>
      </c>
      <c r="J764">
        <f>IF(Table1[[#This Row],[same_1]]=1 &amp; Table1[[#This Row],[same_2]]=1, 1, 0)</f>
        <v>0</v>
      </c>
      <c r="K764">
        <f>IF(ISNUMBER(SEARCH(Table1[[#This Row],[their_ent_1]],Table1[[#This Row],[my_ent_1]])), 1, 0)</f>
        <v>0</v>
      </c>
      <c r="L764">
        <f>IF(ISNUMBER(SEARCH(Table1[[#This Row],[their_ent_2]],Table1[[#This Row],[my_ent_2]])), 1, 0)</f>
        <v>1</v>
      </c>
    </row>
    <row r="765" spans="1:12" x14ac:dyDescent="0.3">
      <c r="A765" t="s">
        <v>2451</v>
      </c>
      <c r="B765" t="s">
        <v>2452</v>
      </c>
      <c r="C765" t="s">
        <v>2453</v>
      </c>
      <c r="D765" t="s">
        <v>353</v>
      </c>
      <c r="E765" t="s">
        <v>103</v>
      </c>
      <c r="F765">
        <v>1</v>
      </c>
      <c r="G765">
        <v>763</v>
      </c>
      <c r="H765">
        <f>IF(Table1[[#This Row],[my_ent_1]]=Table1[[#This Row],[their_ent_1]], 1, 0)</f>
        <v>0</v>
      </c>
      <c r="I765">
        <f>IF(Table1[[#This Row],[my_ent_2]]=Table1[[#This Row],[their_ent_2]], 1, 0)</f>
        <v>0</v>
      </c>
      <c r="J765">
        <f>IF(Table1[[#This Row],[same_1]]=1 &amp; Table1[[#This Row],[same_2]]=1, 1, 0)</f>
        <v>0</v>
      </c>
      <c r="K765">
        <f>IF(ISNUMBER(SEARCH(Table1[[#This Row],[their_ent_1]],Table1[[#This Row],[my_ent_1]])), 1, 0)</f>
        <v>0</v>
      </c>
      <c r="L765">
        <f>IF(ISNUMBER(SEARCH(Table1[[#This Row],[their_ent_2]],Table1[[#This Row],[my_ent_2]])), 1, 0)</f>
        <v>0</v>
      </c>
    </row>
    <row r="766" spans="1:12" x14ac:dyDescent="0.3">
      <c r="A766" t="s">
        <v>2454</v>
      </c>
      <c r="B766" t="s">
        <v>2455</v>
      </c>
      <c r="C766" t="s">
        <v>2456</v>
      </c>
      <c r="D766" t="s">
        <v>2457</v>
      </c>
      <c r="E766" t="s">
        <v>2458</v>
      </c>
      <c r="F766">
        <v>1</v>
      </c>
      <c r="G766">
        <v>764</v>
      </c>
      <c r="H766">
        <f>IF(Table1[[#This Row],[my_ent_1]]=Table1[[#This Row],[their_ent_1]], 1, 0)</f>
        <v>0</v>
      </c>
      <c r="I766">
        <f>IF(Table1[[#This Row],[my_ent_2]]=Table1[[#This Row],[their_ent_2]], 1, 0)</f>
        <v>0</v>
      </c>
      <c r="J766">
        <f>IF(Table1[[#This Row],[same_1]]=1 &amp; Table1[[#This Row],[same_2]]=1, 1, 0)</f>
        <v>0</v>
      </c>
      <c r="K766">
        <f>IF(ISNUMBER(SEARCH(Table1[[#This Row],[their_ent_1]],Table1[[#This Row],[my_ent_1]])), 1, 0)</f>
        <v>1</v>
      </c>
      <c r="L766">
        <f>IF(ISNUMBER(SEARCH(Table1[[#This Row],[their_ent_2]],Table1[[#This Row],[my_ent_2]])), 1, 0)</f>
        <v>1</v>
      </c>
    </row>
    <row r="767" spans="1:12" x14ac:dyDescent="0.3">
      <c r="A767" t="s">
        <v>2459</v>
      </c>
      <c r="B767" t="s">
        <v>2460</v>
      </c>
      <c r="C767" t="s">
        <v>2460</v>
      </c>
      <c r="D767" t="s">
        <v>376</v>
      </c>
      <c r="E767" t="s">
        <v>2461</v>
      </c>
      <c r="F767">
        <v>1</v>
      </c>
      <c r="G767">
        <v>765</v>
      </c>
      <c r="H767">
        <f>IF(Table1[[#This Row],[my_ent_1]]=Table1[[#This Row],[their_ent_1]], 1, 0)</f>
        <v>1</v>
      </c>
      <c r="I767">
        <f>IF(Table1[[#This Row],[my_ent_2]]=Table1[[#This Row],[their_ent_2]], 1, 0)</f>
        <v>0</v>
      </c>
      <c r="J767">
        <f>IF(Table1[[#This Row],[same_1]]=1 &amp; Table1[[#This Row],[same_2]]=1, 1, 0)</f>
        <v>0</v>
      </c>
      <c r="K767">
        <f>IF(ISNUMBER(SEARCH(Table1[[#This Row],[their_ent_1]],Table1[[#This Row],[my_ent_1]])), 1, 0)</f>
        <v>1</v>
      </c>
      <c r="L767">
        <f>IF(ISNUMBER(SEARCH(Table1[[#This Row],[their_ent_2]],Table1[[#This Row],[my_ent_2]])), 1, 0)</f>
        <v>0</v>
      </c>
    </row>
    <row r="768" spans="1:12" x14ac:dyDescent="0.3">
      <c r="A768" t="s">
        <v>2462</v>
      </c>
      <c r="B768" t="s">
        <v>20</v>
      </c>
      <c r="C768" t="s">
        <v>761</v>
      </c>
      <c r="D768" t="s">
        <v>26</v>
      </c>
      <c r="E768" t="s">
        <v>2232</v>
      </c>
      <c r="F768">
        <v>2</v>
      </c>
      <c r="G768">
        <v>766</v>
      </c>
      <c r="H768">
        <f>IF(Table1[[#This Row],[my_ent_1]]=Table1[[#This Row],[their_ent_1]], 1, 0)</f>
        <v>0</v>
      </c>
      <c r="I768">
        <f>IF(Table1[[#This Row],[my_ent_2]]=Table1[[#This Row],[their_ent_2]], 1, 0)</f>
        <v>0</v>
      </c>
      <c r="J768">
        <f>IF(Table1[[#This Row],[same_1]]=1 &amp; Table1[[#This Row],[same_2]]=1, 1, 0)</f>
        <v>0</v>
      </c>
      <c r="K768">
        <f>IF(ISNUMBER(SEARCH(Table1[[#This Row],[their_ent_1]],Table1[[#This Row],[my_ent_1]])), 1, 0)</f>
        <v>0</v>
      </c>
      <c r="L768">
        <f>IF(ISNUMBER(SEARCH(Table1[[#This Row],[their_ent_2]],Table1[[#This Row],[my_ent_2]])), 1, 0)</f>
        <v>0</v>
      </c>
    </row>
    <row r="769" spans="1:12" x14ac:dyDescent="0.3">
      <c r="A769" t="s">
        <v>2463</v>
      </c>
      <c r="B769" t="s">
        <v>2464</v>
      </c>
      <c r="C769" t="s">
        <v>2465</v>
      </c>
      <c r="D769" t="s">
        <v>2466</v>
      </c>
      <c r="E769" t="s">
        <v>2466</v>
      </c>
      <c r="F769">
        <v>2</v>
      </c>
      <c r="G769">
        <v>767</v>
      </c>
      <c r="H769">
        <f>IF(Table1[[#This Row],[my_ent_1]]=Table1[[#This Row],[their_ent_1]], 1, 0)</f>
        <v>0</v>
      </c>
      <c r="I769">
        <f>IF(Table1[[#This Row],[my_ent_2]]=Table1[[#This Row],[their_ent_2]], 1, 0)</f>
        <v>1</v>
      </c>
      <c r="J769">
        <f>IF(Table1[[#This Row],[same_1]]=1 &amp; Table1[[#This Row],[same_2]]=1, 1, 0)</f>
        <v>0</v>
      </c>
      <c r="K769">
        <f>IF(ISNUMBER(SEARCH(Table1[[#This Row],[their_ent_1]],Table1[[#This Row],[my_ent_1]])), 1, 0)</f>
        <v>0</v>
      </c>
      <c r="L769">
        <f>IF(ISNUMBER(SEARCH(Table1[[#This Row],[their_ent_2]],Table1[[#This Row],[my_ent_2]])), 1, 0)</f>
        <v>1</v>
      </c>
    </row>
    <row r="770" spans="1:12" x14ac:dyDescent="0.3">
      <c r="A770" t="s">
        <v>2467</v>
      </c>
      <c r="B770" t="s">
        <v>2468</v>
      </c>
      <c r="C770" t="s">
        <v>2469</v>
      </c>
      <c r="D770" t="s">
        <v>2469</v>
      </c>
      <c r="E770" t="s">
        <v>2470</v>
      </c>
      <c r="F770">
        <v>3</v>
      </c>
      <c r="G770">
        <v>768</v>
      </c>
      <c r="H770">
        <f>IF(Table1[[#This Row],[my_ent_1]]=Table1[[#This Row],[their_ent_1]], 1, 0)</f>
        <v>0</v>
      </c>
      <c r="I770">
        <f>IF(Table1[[#This Row],[my_ent_2]]=Table1[[#This Row],[their_ent_2]], 1, 0)</f>
        <v>0</v>
      </c>
      <c r="J770">
        <f>IF(Table1[[#This Row],[same_1]]=1 &amp; Table1[[#This Row],[same_2]]=1, 1, 0)</f>
        <v>0</v>
      </c>
      <c r="K770">
        <f>IF(ISNUMBER(SEARCH(Table1[[#This Row],[their_ent_1]],Table1[[#This Row],[my_ent_1]])), 1, 0)</f>
        <v>0</v>
      </c>
      <c r="L770">
        <f>IF(ISNUMBER(SEARCH(Table1[[#This Row],[their_ent_2]],Table1[[#This Row],[my_ent_2]])), 1, 0)</f>
        <v>0</v>
      </c>
    </row>
    <row r="771" spans="1:12" x14ac:dyDescent="0.3">
      <c r="A771" t="s">
        <v>2471</v>
      </c>
      <c r="B771" t="s">
        <v>845</v>
      </c>
      <c r="C771" t="s">
        <v>845</v>
      </c>
      <c r="D771" t="s">
        <v>175</v>
      </c>
      <c r="E771" t="s">
        <v>176</v>
      </c>
      <c r="F771">
        <v>3</v>
      </c>
      <c r="G771">
        <v>769</v>
      </c>
      <c r="H771">
        <f>IF(Table1[[#This Row],[my_ent_1]]=Table1[[#This Row],[their_ent_1]], 1, 0)</f>
        <v>1</v>
      </c>
      <c r="I771">
        <f>IF(Table1[[#This Row],[my_ent_2]]=Table1[[#This Row],[their_ent_2]], 1, 0)</f>
        <v>0</v>
      </c>
      <c r="J771">
        <f>IF(Table1[[#This Row],[same_1]]=1 &amp; Table1[[#This Row],[same_2]]=1, 1, 0)</f>
        <v>0</v>
      </c>
      <c r="K771">
        <f>IF(ISNUMBER(SEARCH(Table1[[#This Row],[their_ent_1]],Table1[[#This Row],[my_ent_1]])), 1, 0)</f>
        <v>1</v>
      </c>
      <c r="L771">
        <f>IF(ISNUMBER(SEARCH(Table1[[#This Row],[their_ent_2]],Table1[[#This Row],[my_ent_2]])), 1, 0)</f>
        <v>1</v>
      </c>
    </row>
    <row r="772" spans="1:12" x14ac:dyDescent="0.3">
      <c r="A772" t="s">
        <v>2472</v>
      </c>
      <c r="B772" t="s">
        <v>2473</v>
      </c>
      <c r="C772" t="s">
        <v>2473</v>
      </c>
      <c r="D772" t="s">
        <v>2474</v>
      </c>
      <c r="E772" t="s">
        <v>2475</v>
      </c>
      <c r="F772">
        <v>3</v>
      </c>
      <c r="G772">
        <v>770</v>
      </c>
      <c r="H772">
        <f>IF(Table1[[#This Row],[my_ent_1]]=Table1[[#This Row],[their_ent_1]], 1, 0)</f>
        <v>1</v>
      </c>
      <c r="I772">
        <f>IF(Table1[[#This Row],[my_ent_2]]=Table1[[#This Row],[their_ent_2]], 1, 0)</f>
        <v>0</v>
      </c>
      <c r="J772">
        <f>IF(Table1[[#This Row],[same_1]]=1 &amp; Table1[[#This Row],[same_2]]=1, 1, 0)</f>
        <v>0</v>
      </c>
      <c r="K772">
        <f>IF(ISNUMBER(SEARCH(Table1[[#This Row],[their_ent_1]],Table1[[#This Row],[my_ent_1]])), 1, 0)</f>
        <v>1</v>
      </c>
      <c r="L772">
        <f>IF(ISNUMBER(SEARCH(Table1[[#This Row],[their_ent_2]],Table1[[#This Row],[my_ent_2]])), 1, 0)</f>
        <v>1</v>
      </c>
    </row>
    <row r="773" spans="1:12" x14ac:dyDescent="0.3">
      <c r="A773" t="s">
        <v>2476</v>
      </c>
      <c r="B773" t="s">
        <v>2477</v>
      </c>
      <c r="C773" t="s">
        <v>2478</v>
      </c>
      <c r="D773" t="s">
        <v>2479</v>
      </c>
      <c r="E773" t="s">
        <v>2480</v>
      </c>
      <c r="F773">
        <v>3</v>
      </c>
      <c r="G773">
        <v>771</v>
      </c>
      <c r="H773">
        <f>IF(Table1[[#This Row],[my_ent_1]]=Table1[[#This Row],[their_ent_1]], 1, 0)</f>
        <v>0</v>
      </c>
      <c r="I773">
        <f>IF(Table1[[#This Row],[my_ent_2]]=Table1[[#This Row],[their_ent_2]], 1, 0)</f>
        <v>0</v>
      </c>
      <c r="J773">
        <f>IF(Table1[[#This Row],[same_1]]=1 &amp; Table1[[#This Row],[same_2]]=1, 1, 0)</f>
        <v>0</v>
      </c>
      <c r="K773">
        <f>IF(ISNUMBER(SEARCH(Table1[[#This Row],[their_ent_1]],Table1[[#This Row],[my_ent_1]])), 1, 0)</f>
        <v>0</v>
      </c>
      <c r="L773">
        <f>IF(ISNUMBER(SEARCH(Table1[[#This Row],[their_ent_2]],Table1[[#This Row],[my_ent_2]])), 1, 0)</f>
        <v>0</v>
      </c>
    </row>
    <row r="774" spans="1:12" x14ac:dyDescent="0.3">
      <c r="A774" t="s">
        <v>2481</v>
      </c>
      <c r="B774" t="s">
        <v>2482</v>
      </c>
      <c r="C774" t="s">
        <v>2483</v>
      </c>
      <c r="D774" t="s">
        <v>20</v>
      </c>
      <c r="E774" t="s">
        <v>20</v>
      </c>
      <c r="F774">
        <v>3</v>
      </c>
      <c r="G774">
        <v>772</v>
      </c>
      <c r="H774">
        <f>IF(Table1[[#This Row],[my_ent_1]]=Table1[[#This Row],[their_ent_1]], 1, 0)</f>
        <v>0</v>
      </c>
      <c r="I774">
        <f>IF(Table1[[#This Row],[my_ent_2]]=Table1[[#This Row],[their_ent_2]], 1, 0)</f>
        <v>1</v>
      </c>
      <c r="J774">
        <f>IF(Table1[[#This Row],[same_1]]=1 &amp; Table1[[#This Row],[same_2]]=1, 1, 0)</f>
        <v>0</v>
      </c>
      <c r="K774">
        <f>IF(ISNUMBER(SEARCH(Table1[[#This Row],[their_ent_1]],Table1[[#This Row],[my_ent_1]])), 1, 0)</f>
        <v>0</v>
      </c>
      <c r="L774">
        <f>IF(ISNUMBER(SEARCH(Table1[[#This Row],[their_ent_2]],Table1[[#This Row],[my_ent_2]])), 1, 0)</f>
        <v>1</v>
      </c>
    </row>
    <row r="775" spans="1:12" x14ac:dyDescent="0.3">
      <c r="A775" t="s">
        <v>2484</v>
      </c>
      <c r="B775" t="s">
        <v>2485</v>
      </c>
      <c r="C775" t="s">
        <v>2485</v>
      </c>
      <c r="D775" t="s">
        <v>175</v>
      </c>
      <c r="E775" t="s">
        <v>176</v>
      </c>
      <c r="F775">
        <v>3</v>
      </c>
      <c r="G775">
        <v>773</v>
      </c>
      <c r="H775">
        <f>IF(Table1[[#This Row],[my_ent_1]]=Table1[[#This Row],[their_ent_1]], 1, 0)</f>
        <v>1</v>
      </c>
      <c r="I775">
        <f>IF(Table1[[#This Row],[my_ent_2]]=Table1[[#This Row],[their_ent_2]], 1, 0)</f>
        <v>0</v>
      </c>
      <c r="J775">
        <f>IF(Table1[[#This Row],[same_1]]=1 &amp; Table1[[#This Row],[same_2]]=1, 1, 0)</f>
        <v>0</v>
      </c>
      <c r="K775">
        <f>IF(ISNUMBER(SEARCH(Table1[[#This Row],[their_ent_1]],Table1[[#This Row],[my_ent_1]])), 1, 0)</f>
        <v>1</v>
      </c>
      <c r="L775">
        <f>IF(ISNUMBER(SEARCH(Table1[[#This Row],[their_ent_2]],Table1[[#This Row],[my_ent_2]])), 1, 0)</f>
        <v>1</v>
      </c>
    </row>
    <row r="776" spans="1:12" x14ac:dyDescent="0.3">
      <c r="A776" t="s">
        <v>2486</v>
      </c>
      <c r="B776" t="s">
        <v>2487</v>
      </c>
      <c r="C776" t="s">
        <v>2488</v>
      </c>
      <c r="D776" t="s">
        <v>2488</v>
      </c>
      <c r="E776" t="s">
        <v>20</v>
      </c>
      <c r="F776">
        <v>3</v>
      </c>
      <c r="G776">
        <v>774</v>
      </c>
      <c r="H776">
        <f>IF(Table1[[#This Row],[my_ent_1]]=Table1[[#This Row],[their_ent_1]], 1, 0)</f>
        <v>0</v>
      </c>
      <c r="I776">
        <f>IF(Table1[[#This Row],[my_ent_2]]=Table1[[#This Row],[their_ent_2]], 1, 0)</f>
        <v>0</v>
      </c>
      <c r="J776">
        <f>IF(Table1[[#This Row],[same_1]]=1 &amp; Table1[[#This Row],[same_2]]=1, 1, 0)</f>
        <v>0</v>
      </c>
      <c r="K776">
        <f>IF(ISNUMBER(SEARCH(Table1[[#This Row],[their_ent_1]],Table1[[#This Row],[my_ent_1]])), 1, 0)</f>
        <v>0</v>
      </c>
      <c r="L776">
        <f>IF(ISNUMBER(SEARCH(Table1[[#This Row],[their_ent_2]],Table1[[#This Row],[my_ent_2]])), 1, 0)</f>
        <v>0</v>
      </c>
    </row>
    <row r="777" spans="1:12" x14ac:dyDescent="0.3">
      <c r="A777" t="s">
        <v>2489</v>
      </c>
      <c r="B777" t="s">
        <v>498</v>
      </c>
      <c r="C777" t="s">
        <v>763</v>
      </c>
      <c r="D777" t="s">
        <v>762</v>
      </c>
      <c r="E777" t="s">
        <v>20</v>
      </c>
      <c r="F777">
        <v>3</v>
      </c>
      <c r="G777">
        <v>775</v>
      </c>
      <c r="H777">
        <f>IF(Table1[[#This Row],[my_ent_1]]=Table1[[#This Row],[their_ent_1]], 1, 0)</f>
        <v>0</v>
      </c>
      <c r="I777">
        <f>IF(Table1[[#This Row],[my_ent_2]]=Table1[[#This Row],[their_ent_2]], 1, 0)</f>
        <v>0</v>
      </c>
      <c r="J777">
        <f>IF(Table1[[#This Row],[same_1]]=1 &amp; Table1[[#This Row],[same_2]]=1, 1, 0)</f>
        <v>0</v>
      </c>
      <c r="K777">
        <f>IF(ISNUMBER(SEARCH(Table1[[#This Row],[their_ent_1]],Table1[[#This Row],[my_ent_1]])), 1, 0)</f>
        <v>0</v>
      </c>
      <c r="L777">
        <f>IF(ISNUMBER(SEARCH(Table1[[#This Row],[their_ent_2]],Table1[[#This Row],[my_ent_2]])), 1, 0)</f>
        <v>0</v>
      </c>
    </row>
    <row r="778" spans="1:12" x14ac:dyDescent="0.3">
      <c r="A778" t="s">
        <v>2490</v>
      </c>
      <c r="B778" t="s">
        <v>127</v>
      </c>
      <c r="C778" t="s">
        <v>127</v>
      </c>
      <c r="D778" t="s">
        <v>260</v>
      </c>
      <c r="E778" t="s">
        <v>176</v>
      </c>
      <c r="F778">
        <v>3</v>
      </c>
      <c r="G778">
        <v>776</v>
      </c>
      <c r="H778">
        <f>IF(Table1[[#This Row],[my_ent_1]]=Table1[[#This Row],[their_ent_1]], 1, 0)</f>
        <v>1</v>
      </c>
      <c r="I778">
        <f>IF(Table1[[#This Row],[my_ent_2]]=Table1[[#This Row],[their_ent_2]], 1, 0)</f>
        <v>0</v>
      </c>
      <c r="J778">
        <f>IF(Table1[[#This Row],[same_1]]=1 &amp; Table1[[#This Row],[same_2]]=1, 1, 0)</f>
        <v>0</v>
      </c>
      <c r="K778">
        <f>IF(ISNUMBER(SEARCH(Table1[[#This Row],[their_ent_1]],Table1[[#This Row],[my_ent_1]])), 1, 0)</f>
        <v>1</v>
      </c>
      <c r="L778">
        <f>IF(ISNUMBER(SEARCH(Table1[[#This Row],[their_ent_2]],Table1[[#This Row],[my_ent_2]])), 1, 0)</f>
        <v>0</v>
      </c>
    </row>
    <row r="779" spans="1:12" x14ac:dyDescent="0.3">
      <c r="A779" t="s">
        <v>2491</v>
      </c>
      <c r="B779" t="s">
        <v>1042</v>
      </c>
      <c r="C779" t="s">
        <v>1042</v>
      </c>
      <c r="D779" t="s">
        <v>20</v>
      </c>
      <c r="E779" t="s">
        <v>407</v>
      </c>
      <c r="F779">
        <v>3</v>
      </c>
      <c r="G779">
        <v>777</v>
      </c>
      <c r="H779">
        <f>IF(Table1[[#This Row],[my_ent_1]]=Table1[[#This Row],[their_ent_1]], 1, 0)</f>
        <v>1</v>
      </c>
      <c r="I779">
        <f>IF(Table1[[#This Row],[my_ent_2]]=Table1[[#This Row],[their_ent_2]], 1, 0)</f>
        <v>0</v>
      </c>
      <c r="J779">
        <f>IF(Table1[[#This Row],[same_1]]=1 &amp; Table1[[#This Row],[same_2]]=1, 1, 0)</f>
        <v>0</v>
      </c>
      <c r="K779">
        <f>IF(ISNUMBER(SEARCH(Table1[[#This Row],[their_ent_1]],Table1[[#This Row],[my_ent_1]])), 1, 0)</f>
        <v>1</v>
      </c>
      <c r="L779">
        <f>IF(ISNUMBER(SEARCH(Table1[[#This Row],[their_ent_2]],Table1[[#This Row],[my_ent_2]])), 1, 0)</f>
        <v>0</v>
      </c>
    </row>
    <row r="780" spans="1:12" x14ac:dyDescent="0.3">
      <c r="A780" t="s">
        <v>2492</v>
      </c>
      <c r="B780" t="s">
        <v>175</v>
      </c>
      <c r="C780" t="s">
        <v>176</v>
      </c>
      <c r="D780" t="s">
        <v>20</v>
      </c>
      <c r="E780" t="s">
        <v>407</v>
      </c>
      <c r="F780">
        <v>3</v>
      </c>
      <c r="G780">
        <v>778</v>
      </c>
      <c r="H780">
        <f>IF(Table1[[#This Row],[my_ent_1]]=Table1[[#This Row],[their_ent_1]], 1, 0)</f>
        <v>0</v>
      </c>
      <c r="I780">
        <f>IF(Table1[[#This Row],[my_ent_2]]=Table1[[#This Row],[their_ent_2]], 1, 0)</f>
        <v>0</v>
      </c>
      <c r="J780">
        <f>IF(Table1[[#This Row],[same_1]]=1 &amp; Table1[[#This Row],[same_2]]=1, 1, 0)</f>
        <v>0</v>
      </c>
      <c r="K780">
        <f>IF(ISNUMBER(SEARCH(Table1[[#This Row],[their_ent_1]],Table1[[#This Row],[my_ent_1]])), 1, 0)</f>
        <v>1</v>
      </c>
      <c r="L780">
        <f>IF(ISNUMBER(SEARCH(Table1[[#This Row],[their_ent_2]],Table1[[#This Row],[my_ent_2]])), 1, 0)</f>
        <v>0</v>
      </c>
    </row>
    <row r="781" spans="1:12" x14ac:dyDescent="0.3">
      <c r="A781" t="s">
        <v>2493</v>
      </c>
      <c r="B781" t="s">
        <v>2494</v>
      </c>
      <c r="C781" t="s">
        <v>2495</v>
      </c>
      <c r="D781" t="s">
        <v>51</v>
      </c>
      <c r="E781" t="s">
        <v>2496</v>
      </c>
      <c r="F781">
        <v>3</v>
      </c>
      <c r="G781">
        <v>779</v>
      </c>
      <c r="H781">
        <f>IF(Table1[[#This Row],[my_ent_1]]=Table1[[#This Row],[their_ent_1]], 1, 0)</f>
        <v>0</v>
      </c>
      <c r="I781">
        <f>IF(Table1[[#This Row],[my_ent_2]]=Table1[[#This Row],[their_ent_2]], 1, 0)</f>
        <v>0</v>
      </c>
      <c r="J781">
        <f>IF(Table1[[#This Row],[same_1]]=1 &amp; Table1[[#This Row],[same_2]]=1, 1, 0)</f>
        <v>0</v>
      </c>
      <c r="K781">
        <f>IF(ISNUMBER(SEARCH(Table1[[#This Row],[their_ent_1]],Table1[[#This Row],[my_ent_1]])), 1, 0)</f>
        <v>1</v>
      </c>
      <c r="L781">
        <f>IF(ISNUMBER(SEARCH(Table1[[#This Row],[their_ent_2]],Table1[[#This Row],[my_ent_2]])), 1, 0)</f>
        <v>0</v>
      </c>
    </row>
    <row r="782" spans="1:12" x14ac:dyDescent="0.3">
      <c r="A782" t="s">
        <v>2497</v>
      </c>
      <c r="B782" t="s">
        <v>2498</v>
      </c>
      <c r="C782" t="s">
        <v>2499</v>
      </c>
      <c r="D782" t="s">
        <v>2500</v>
      </c>
      <c r="E782" t="s">
        <v>2501</v>
      </c>
      <c r="F782">
        <v>3</v>
      </c>
      <c r="G782">
        <v>780</v>
      </c>
      <c r="H782">
        <f>IF(Table1[[#This Row],[my_ent_1]]=Table1[[#This Row],[their_ent_1]], 1, 0)</f>
        <v>0</v>
      </c>
      <c r="I782">
        <f>IF(Table1[[#This Row],[my_ent_2]]=Table1[[#This Row],[their_ent_2]], 1, 0)</f>
        <v>0</v>
      </c>
      <c r="J782">
        <f>IF(Table1[[#This Row],[same_1]]=1 &amp; Table1[[#This Row],[same_2]]=1, 1, 0)</f>
        <v>0</v>
      </c>
      <c r="K782">
        <f>IF(ISNUMBER(SEARCH(Table1[[#This Row],[their_ent_1]],Table1[[#This Row],[my_ent_1]])), 1, 0)</f>
        <v>0</v>
      </c>
      <c r="L782">
        <f>IF(ISNUMBER(SEARCH(Table1[[#This Row],[their_ent_2]],Table1[[#This Row],[my_ent_2]])), 1, 0)</f>
        <v>0</v>
      </c>
    </row>
    <row r="783" spans="1:12" x14ac:dyDescent="0.3">
      <c r="A783" t="s">
        <v>2502</v>
      </c>
      <c r="B783" t="s">
        <v>2503</v>
      </c>
      <c r="C783" t="s">
        <v>2503</v>
      </c>
      <c r="D783" t="s">
        <v>381</v>
      </c>
      <c r="E783" t="s">
        <v>2504</v>
      </c>
      <c r="F783">
        <v>3</v>
      </c>
      <c r="G783">
        <v>781</v>
      </c>
      <c r="H783">
        <f>IF(Table1[[#This Row],[my_ent_1]]=Table1[[#This Row],[their_ent_1]], 1, 0)</f>
        <v>1</v>
      </c>
      <c r="I783">
        <f>IF(Table1[[#This Row],[my_ent_2]]=Table1[[#This Row],[their_ent_2]], 1, 0)</f>
        <v>0</v>
      </c>
      <c r="J783">
        <f>IF(Table1[[#This Row],[same_1]]=1 &amp; Table1[[#This Row],[same_2]]=1, 1, 0)</f>
        <v>0</v>
      </c>
      <c r="K783">
        <f>IF(ISNUMBER(SEARCH(Table1[[#This Row],[their_ent_1]],Table1[[#This Row],[my_ent_1]])), 1, 0)</f>
        <v>1</v>
      </c>
      <c r="L783">
        <f>IF(ISNUMBER(SEARCH(Table1[[#This Row],[their_ent_2]],Table1[[#This Row],[my_ent_2]])), 1, 0)</f>
        <v>0</v>
      </c>
    </row>
    <row r="784" spans="1:12" x14ac:dyDescent="0.3">
      <c r="A784" t="s">
        <v>2505</v>
      </c>
      <c r="B784" t="s">
        <v>2506</v>
      </c>
      <c r="C784" t="s">
        <v>2506</v>
      </c>
      <c r="D784" t="s">
        <v>20</v>
      </c>
      <c r="E784" t="s">
        <v>407</v>
      </c>
      <c r="F784">
        <v>3</v>
      </c>
      <c r="G784">
        <v>782</v>
      </c>
      <c r="H784">
        <f>IF(Table1[[#This Row],[my_ent_1]]=Table1[[#This Row],[their_ent_1]], 1, 0)</f>
        <v>1</v>
      </c>
      <c r="I784">
        <f>IF(Table1[[#This Row],[my_ent_2]]=Table1[[#This Row],[their_ent_2]], 1, 0)</f>
        <v>0</v>
      </c>
      <c r="J784">
        <f>IF(Table1[[#This Row],[same_1]]=1 &amp; Table1[[#This Row],[same_2]]=1, 1, 0)</f>
        <v>0</v>
      </c>
      <c r="K784">
        <f>IF(ISNUMBER(SEARCH(Table1[[#This Row],[their_ent_1]],Table1[[#This Row],[my_ent_1]])), 1, 0)</f>
        <v>1</v>
      </c>
      <c r="L784">
        <f>IF(ISNUMBER(SEARCH(Table1[[#This Row],[their_ent_2]],Table1[[#This Row],[my_ent_2]])), 1, 0)</f>
        <v>0</v>
      </c>
    </row>
    <row r="785" spans="1:12" x14ac:dyDescent="0.3">
      <c r="A785" t="s">
        <v>2507</v>
      </c>
      <c r="B785" t="s">
        <v>2508</v>
      </c>
      <c r="C785" t="s">
        <v>2509</v>
      </c>
      <c r="D785" t="s">
        <v>202</v>
      </c>
      <c r="E785" t="s">
        <v>353</v>
      </c>
      <c r="F785">
        <v>3</v>
      </c>
      <c r="G785">
        <v>783</v>
      </c>
      <c r="H785">
        <f>IF(Table1[[#This Row],[my_ent_1]]=Table1[[#This Row],[their_ent_1]], 1, 0)</f>
        <v>0</v>
      </c>
      <c r="I785">
        <f>IF(Table1[[#This Row],[my_ent_2]]=Table1[[#This Row],[their_ent_2]], 1, 0)</f>
        <v>0</v>
      </c>
      <c r="J785">
        <f>IF(Table1[[#This Row],[same_1]]=1 &amp; Table1[[#This Row],[same_2]]=1, 1, 0)</f>
        <v>0</v>
      </c>
      <c r="K785">
        <f>IF(ISNUMBER(SEARCH(Table1[[#This Row],[their_ent_1]],Table1[[#This Row],[my_ent_1]])), 1, 0)</f>
        <v>1</v>
      </c>
      <c r="L785">
        <f>IF(ISNUMBER(SEARCH(Table1[[#This Row],[their_ent_2]],Table1[[#This Row],[my_ent_2]])), 1, 0)</f>
        <v>1</v>
      </c>
    </row>
    <row r="786" spans="1:12" x14ac:dyDescent="0.3">
      <c r="A786" t="s">
        <v>2510</v>
      </c>
      <c r="B786" t="s">
        <v>381</v>
      </c>
      <c r="C786" t="s">
        <v>381</v>
      </c>
      <c r="D786" t="s">
        <v>863</v>
      </c>
      <c r="E786" t="s">
        <v>864</v>
      </c>
      <c r="F786">
        <v>3</v>
      </c>
      <c r="G786">
        <v>784</v>
      </c>
      <c r="H786">
        <f>IF(Table1[[#This Row],[my_ent_1]]=Table1[[#This Row],[their_ent_1]], 1, 0)</f>
        <v>1</v>
      </c>
      <c r="I786">
        <f>IF(Table1[[#This Row],[my_ent_2]]=Table1[[#This Row],[their_ent_2]], 1, 0)</f>
        <v>0</v>
      </c>
      <c r="J786">
        <f>IF(Table1[[#This Row],[same_1]]=1 &amp; Table1[[#This Row],[same_2]]=1, 1, 0)</f>
        <v>0</v>
      </c>
      <c r="K786">
        <f>IF(ISNUMBER(SEARCH(Table1[[#This Row],[their_ent_1]],Table1[[#This Row],[my_ent_1]])), 1, 0)</f>
        <v>1</v>
      </c>
      <c r="L786">
        <f>IF(ISNUMBER(SEARCH(Table1[[#This Row],[their_ent_2]],Table1[[#This Row],[my_ent_2]])), 1, 0)</f>
        <v>1</v>
      </c>
    </row>
    <row r="787" spans="1:12" x14ac:dyDescent="0.3">
      <c r="A787" t="s">
        <v>2511</v>
      </c>
      <c r="B787" t="s">
        <v>20</v>
      </c>
      <c r="C787" t="s">
        <v>20</v>
      </c>
      <c r="D787" t="s">
        <v>501</v>
      </c>
      <c r="E787" t="s">
        <v>392</v>
      </c>
      <c r="F787">
        <v>3</v>
      </c>
      <c r="G787">
        <v>785</v>
      </c>
      <c r="H787">
        <f>IF(Table1[[#This Row],[my_ent_1]]=Table1[[#This Row],[their_ent_1]], 1, 0)</f>
        <v>1</v>
      </c>
      <c r="I787">
        <f>IF(Table1[[#This Row],[my_ent_2]]=Table1[[#This Row],[their_ent_2]], 1, 0)</f>
        <v>0</v>
      </c>
      <c r="J787">
        <f>IF(Table1[[#This Row],[same_1]]=1 &amp; Table1[[#This Row],[same_2]]=1, 1, 0)</f>
        <v>0</v>
      </c>
      <c r="K787">
        <f>IF(ISNUMBER(SEARCH(Table1[[#This Row],[their_ent_1]],Table1[[#This Row],[my_ent_1]])), 1, 0)</f>
        <v>1</v>
      </c>
      <c r="L787">
        <f>IF(ISNUMBER(SEARCH(Table1[[#This Row],[their_ent_2]],Table1[[#This Row],[my_ent_2]])), 1, 0)</f>
        <v>1</v>
      </c>
    </row>
    <row r="788" spans="1:12" x14ac:dyDescent="0.3">
      <c r="A788" t="s">
        <v>2512</v>
      </c>
      <c r="B788" t="s">
        <v>20</v>
      </c>
      <c r="C788" t="s">
        <v>860</v>
      </c>
      <c r="D788" t="s">
        <v>643</v>
      </c>
      <c r="E788" t="s">
        <v>20</v>
      </c>
      <c r="F788">
        <v>3</v>
      </c>
      <c r="G788">
        <v>786</v>
      </c>
      <c r="H788">
        <f>IF(Table1[[#This Row],[my_ent_1]]=Table1[[#This Row],[their_ent_1]], 1, 0)</f>
        <v>0</v>
      </c>
      <c r="I788">
        <f>IF(Table1[[#This Row],[my_ent_2]]=Table1[[#This Row],[their_ent_2]], 1, 0)</f>
        <v>0</v>
      </c>
      <c r="J788">
        <f>IF(Table1[[#This Row],[same_1]]=1 &amp; Table1[[#This Row],[same_2]]=1, 1, 0)</f>
        <v>0</v>
      </c>
      <c r="K788">
        <f>IF(ISNUMBER(SEARCH(Table1[[#This Row],[their_ent_1]],Table1[[#This Row],[my_ent_1]])), 1, 0)</f>
        <v>0</v>
      </c>
      <c r="L788">
        <f>IF(ISNUMBER(SEARCH(Table1[[#This Row],[their_ent_2]],Table1[[#This Row],[my_ent_2]])), 1, 0)</f>
        <v>0</v>
      </c>
    </row>
    <row r="789" spans="1:12" x14ac:dyDescent="0.3">
      <c r="A789" t="s">
        <v>2513</v>
      </c>
      <c r="B789" t="s">
        <v>1559</v>
      </c>
      <c r="C789" t="s">
        <v>1559</v>
      </c>
      <c r="D789" t="s">
        <v>485</v>
      </c>
      <c r="E789" t="s">
        <v>273</v>
      </c>
      <c r="F789">
        <v>3</v>
      </c>
      <c r="G789">
        <v>787</v>
      </c>
      <c r="H789">
        <f>IF(Table1[[#This Row],[my_ent_1]]=Table1[[#This Row],[their_ent_1]], 1, 0)</f>
        <v>1</v>
      </c>
      <c r="I789">
        <f>IF(Table1[[#This Row],[my_ent_2]]=Table1[[#This Row],[their_ent_2]], 1, 0)</f>
        <v>0</v>
      </c>
      <c r="J789">
        <f>IF(Table1[[#This Row],[same_1]]=1 &amp; Table1[[#This Row],[same_2]]=1, 1, 0)</f>
        <v>0</v>
      </c>
      <c r="K789">
        <f>IF(ISNUMBER(SEARCH(Table1[[#This Row],[their_ent_1]],Table1[[#This Row],[my_ent_1]])), 1, 0)</f>
        <v>1</v>
      </c>
      <c r="L789">
        <f>IF(ISNUMBER(SEARCH(Table1[[#This Row],[their_ent_2]],Table1[[#This Row],[my_ent_2]])), 1, 0)</f>
        <v>0</v>
      </c>
    </row>
    <row r="790" spans="1:12" x14ac:dyDescent="0.3">
      <c r="A790" t="s">
        <v>2514</v>
      </c>
      <c r="B790" t="s">
        <v>2515</v>
      </c>
      <c r="C790" t="s">
        <v>1299</v>
      </c>
      <c r="D790" t="s">
        <v>1607</v>
      </c>
      <c r="E790" t="s">
        <v>1607</v>
      </c>
      <c r="F790">
        <v>3</v>
      </c>
      <c r="G790">
        <v>788</v>
      </c>
      <c r="H790">
        <f>IF(Table1[[#This Row],[my_ent_1]]=Table1[[#This Row],[their_ent_1]], 1, 0)</f>
        <v>0</v>
      </c>
      <c r="I790">
        <f>IF(Table1[[#This Row],[my_ent_2]]=Table1[[#This Row],[their_ent_2]], 1, 0)</f>
        <v>1</v>
      </c>
      <c r="J790">
        <f>IF(Table1[[#This Row],[same_1]]=1 &amp; Table1[[#This Row],[same_2]]=1, 1, 0)</f>
        <v>0</v>
      </c>
      <c r="K790">
        <f>IF(ISNUMBER(SEARCH(Table1[[#This Row],[their_ent_1]],Table1[[#This Row],[my_ent_1]])), 1, 0)</f>
        <v>0</v>
      </c>
      <c r="L790">
        <f>IF(ISNUMBER(SEARCH(Table1[[#This Row],[their_ent_2]],Table1[[#This Row],[my_ent_2]])), 1, 0)</f>
        <v>1</v>
      </c>
    </row>
    <row r="791" spans="1:12" x14ac:dyDescent="0.3">
      <c r="A791" t="s">
        <v>2516</v>
      </c>
      <c r="B791" t="s">
        <v>2517</v>
      </c>
      <c r="C791" t="s">
        <v>2517</v>
      </c>
      <c r="D791" t="s">
        <v>1809</v>
      </c>
      <c r="E791" t="s">
        <v>704</v>
      </c>
      <c r="F791">
        <v>3</v>
      </c>
      <c r="G791">
        <v>789</v>
      </c>
      <c r="H791">
        <f>IF(Table1[[#This Row],[my_ent_1]]=Table1[[#This Row],[their_ent_1]], 1, 0)</f>
        <v>1</v>
      </c>
      <c r="I791">
        <f>IF(Table1[[#This Row],[my_ent_2]]=Table1[[#This Row],[their_ent_2]], 1, 0)</f>
        <v>0</v>
      </c>
      <c r="J791">
        <f>IF(Table1[[#This Row],[same_1]]=1 &amp; Table1[[#This Row],[same_2]]=1, 1, 0)</f>
        <v>0</v>
      </c>
      <c r="K791">
        <f>IF(ISNUMBER(SEARCH(Table1[[#This Row],[their_ent_1]],Table1[[#This Row],[my_ent_1]])), 1, 0)</f>
        <v>1</v>
      </c>
      <c r="L791">
        <f>IF(ISNUMBER(SEARCH(Table1[[#This Row],[their_ent_2]],Table1[[#This Row],[my_ent_2]])), 1, 0)</f>
        <v>0</v>
      </c>
    </row>
    <row r="792" spans="1:12" x14ac:dyDescent="0.3">
      <c r="A792" t="s">
        <v>2518</v>
      </c>
      <c r="B792" t="s">
        <v>2519</v>
      </c>
      <c r="C792" t="s">
        <v>168</v>
      </c>
      <c r="D792" t="s">
        <v>2520</v>
      </c>
      <c r="E792" t="s">
        <v>2521</v>
      </c>
      <c r="F792">
        <v>3</v>
      </c>
      <c r="G792">
        <v>790</v>
      </c>
      <c r="H792">
        <f>IF(Table1[[#This Row],[my_ent_1]]=Table1[[#This Row],[their_ent_1]], 1, 0)</f>
        <v>0</v>
      </c>
      <c r="I792">
        <f>IF(Table1[[#This Row],[my_ent_2]]=Table1[[#This Row],[their_ent_2]], 1, 0)</f>
        <v>0</v>
      </c>
      <c r="J792">
        <f>IF(Table1[[#This Row],[same_1]]=1 &amp; Table1[[#This Row],[same_2]]=1, 1, 0)</f>
        <v>0</v>
      </c>
      <c r="K792">
        <f>IF(ISNUMBER(SEARCH(Table1[[#This Row],[their_ent_1]],Table1[[#This Row],[my_ent_1]])), 1, 0)</f>
        <v>1</v>
      </c>
      <c r="L792">
        <f>IF(ISNUMBER(SEARCH(Table1[[#This Row],[their_ent_2]],Table1[[#This Row],[my_ent_2]])), 1, 0)</f>
        <v>1</v>
      </c>
    </row>
    <row r="793" spans="1:12" x14ac:dyDescent="0.3">
      <c r="A793" t="s">
        <v>2522</v>
      </c>
      <c r="B793" t="s">
        <v>160</v>
      </c>
      <c r="C793" t="s">
        <v>194</v>
      </c>
      <c r="D793" t="s">
        <v>2523</v>
      </c>
      <c r="E793" t="s">
        <v>2320</v>
      </c>
      <c r="F793">
        <v>3</v>
      </c>
      <c r="G793">
        <v>791</v>
      </c>
      <c r="H793">
        <f>IF(Table1[[#This Row],[my_ent_1]]=Table1[[#This Row],[their_ent_1]], 1, 0)</f>
        <v>0</v>
      </c>
      <c r="I793">
        <f>IF(Table1[[#This Row],[my_ent_2]]=Table1[[#This Row],[their_ent_2]], 1, 0)</f>
        <v>0</v>
      </c>
      <c r="J793">
        <f>IF(Table1[[#This Row],[same_1]]=1 &amp; Table1[[#This Row],[same_2]]=1, 1, 0)</f>
        <v>0</v>
      </c>
      <c r="K793">
        <f>IF(ISNUMBER(SEARCH(Table1[[#This Row],[their_ent_1]],Table1[[#This Row],[my_ent_1]])), 1, 0)</f>
        <v>0</v>
      </c>
      <c r="L793">
        <f>IF(ISNUMBER(SEARCH(Table1[[#This Row],[their_ent_2]],Table1[[#This Row],[my_ent_2]])), 1, 0)</f>
        <v>1</v>
      </c>
    </row>
    <row r="794" spans="1:12" x14ac:dyDescent="0.3">
      <c r="A794" t="s">
        <v>2524</v>
      </c>
      <c r="B794" t="s">
        <v>2525</v>
      </c>
      <c r="C794" t="s">
        <v>2075</v>
      </c>
      <c r="D794" t="s">
        <v>1192</v>
      </c>
      <c r="E794" t="s">
        <v>2525</v>
      </c>
      <c r="F794">
        <v>3</v>
      </c>
      <c r="G794">
        <v>792</v>
      </c>
      <c r="H794">
        <f>IF(Table1[[#This Row],[my_ent_1]]=Table1[[#This Row],[their_ent_1]], 1, 0)</f>
        <v>0</v>
      </c>
      <c r="I794">
        <f>IF(Table1[[#This Row],[my_ent_2]]=Table1[[#This Row],[their_ent_2]], 1, 0)</f>
        <v>0</v>
      </c>
      <c r="J794">
        <f>IF(Table1[[#This Row],[same_1]]=1 &amp; Table1[[#This Row],[same_2]]=1, 1, 0)</f>
        <v>0</v>
      </c>
      <c r="K794">
        <f>IF(ISNUMBER(SEARCH(Table1[[#This Row],[their_ent_1]],Table1[[#This Row],[my_ent_1]])), 1, 0)</f>
        <v>0</v>
      </c>
      <c r="L794">
        <f>IF(ISNUMBER(SEARCH(Table1[[#This Row],[their_ent_2]],Table1[[#This Row],[my_ent_2]])), 1, 0)</f>
        <v>0</v>
      </c>
    </row>
    <row r="795" spans="1:12" x14ac:dyDescent="0.3">
      <c r="A795" t="s">
        <v>2526</v>
      </c>
      <c r="B795" t="s">
        <v>376</v>
      </c>
      <c r="C795" t="s">
        <v>786</v>
      </c>
      <c r="D795" t="s">
        <v>2527</v>
      </c>
      <c r="E795" t="s">
        <v>2528</v>
      </c>
      <c r="F795">
        <v>3</v>
      </c>
      <c r="G795">
        <v>793</v>
      </c>
      <c r="H795">
        <f>IF(Table1[[#This Row],[my_ent_1]]=Table1[[#This Row],[their_ent_1]], 1, 0)</f>
        <v>0</v>
      </c>
      <c r="I795">
        <f>IF(Table1[[#This Row],[my_ent_2]]=Table1[[#This Row],[their_ent_2]], 1, 0)</f>
        <v>0</v>
      </c>
      <c r="J795">
        <f>IF(Table1[[#This Row],[same_1]]=1 &amp; Table1[[#This Row],[same_2]]=1, 1, 0)</f>
        <v>0</v>
      </c>
      <c r="K795">
        <f>IF(ISNUMBER(SEARCH(Table1[[#This Row],[their_ent_1]],Table1[[#This Row],[my_ent_1]])), 1, 0)</f>
        <v>0</v>
      </c>
      <c r="L795">
        <f>IF(ISNUMBER(SEARCH(Table1[[#This Row],[their_ent_2]],Table1[[#This Row],[my_ent_2]])), 1, 0)</f>
        <v>0</v>
      </c>
    </row>
    <row r="796" spans="1:12" x14ac:dyDescent="0.3">
      <c r="A796" t="s">
        <v>2529</v>
      </c>
      <c r="B796" t="s">
        <v>30</v>
      </c>
      <c r="C796" t="s">
        <v>30</v>
      </c>
      <c r="D796" t="s">
        <v>2530</v>
      </c>
      <c r="E796" t="s">
        <v>1299</v>
      </c>
      <c r="F796">
        <v>3</v>
      </c>
      <c r="G796">
        <v>794</v>
      </c>
      <c r="H796">
        <f>IF(Table1[[#This Row],[my_ent_1]]=Table1[[#This Row],[their_ent_1]], 1, 0)</f>
        <v>1</v>
      </c>
      <c r="I796">
        <f>IF(Table1[[#This Row],[my_ent_2]]=Table1[[#This Row],[their_ent_2]], 1, 0)</f>
        <v>0</v>
      </c>
      <c r="J796">
        <f>IF(Table1[[#This Row],[same_1]]=1 &amp; Table1[[#This Row],[same_2]]=1, 1, 0)</f>
        <v>0</v>
      </c>
      <c r="K796">
        <f>IF(ISNUMBER(SEARCH(Table1[[#This Row],[their_ent_1]],Table1[[#This Row],[my_ent_1]])), 1, 0)</f>
        <v>1</v>
      </c>
      <c r="L796">
        <f>IF(ISNUMBER(SEARCH(Table1[[#This Row],[their_ent_2]],Table1[[#This Row],[my_ent_2]])), 1, 0)</f>
        <v>0</v>
      </c>
    </row>
    <row r="797" spans="1:12" x14ac:dyDescent="0.3">
      <c r="A797" t="s">
        <v>2531</v>
      </c>
      <c r="B797" t="s">
        <v>863</v>
      </c>
      <c r="C797" t="s">
        <v>864</v>
      </c>
      <c r="D797" t="s">
        <v>381</v>
      </c>
      <c r="E797" t="s">
        <v>381</v>
      </c>
      <c r="F797">
        <v>3</v>
      </c>
      <c r="G797">
        <v>795</v>
      </c>
      <c r="H797">
        <f>IF(Table1[[#This Row],[my_ent_1]]=Table1[[#This Row],[their_ent_1]], 1, 0)</f>
        <v>0</v>
      </c>
      <c r="I797">
        <f>IF(Table1[[#This Row],[my_ent_2]]=Table1[[#This Row],[their_ent_2]], 1, 0)</f>
        <v>1</v>
      </c>
      <c r="J797">
        <f>IF(Table1[[#This Row],[same_1]]=1 &amp; Table1[[#This Row],[same_2]]=1, 1, 0)</f>
        <v>0</v>
      </c>
      <c r="K797">
        <f>IF(ISNUMBER(SEARCH(Table1[[#This Row],[their_ent_1]],Table1[[#This Row],[my_ent_1]])), 1, 0)</f>
        <v>1</v>
      </c>
      <c r="L797">
        <f>IF(ISNUMBER(SEARCH(Table1[[#This Row],[their_ent_2]],Table1[[#This Row],[my_ent_2]])), 1, 0)</f>
        <v>1</v>
      </c>
    </row>
    <row r="798" spans="1:12" x14ac:dyDescent="0.3">
      <c r="A798" t="s">
        <v>2532</v>
      </c>
      <c r="B798" t="s">
        <v>78</v>
      </c>
      <c r="C798" t="s">
        <v>78</v>
      </c>
      <c r="D798" t="s">
        <v>1361</v>
      </c>
      <c r="E798" t="s">
        <v>2104</v>
      </c>
      <c r="F798">
        <v>3</v>
      </c>
      <c r="G798">
        <v>796</v>
      </c>
      <c r="H798">
        <f>IF(Table1[[#This Row],[my_ent_1]]=Table1[[#This Row],[their_ent_1]], 1, 0)</f>
        <v>1</v>
      </c>
      <c r="I798">
        <f>IF(Table1[[#This Row],[my_ent_2]]=Table1[[#This Row],[their_ent_2]], 1, 0)</f>
        <v>0</v>
      </c>
      <c r="J798">
        <f>IF(Table1[[#This Row],[same_1]]=1 &amp; Table1[[#This Row],[same_2]]=1, 1, 0)</f>
        <v>0</v>
      </c>
      <c r="K798">
        <f>IF(ISNUMBER(SEARCH(Table1[[#This Row],[their_ent_1]],Table1[[#This Row],[my_ent_1]])), 1, 0)</f>
        <v>1</v>
      </c>
      <c r="L798">
        <f>IF(ISNUMBER(SEARCH(Table1[[#This Row],[their_ent_2]],Table1[[#This Row],[my_ent_2]])), 1, 0)</f>
        <v>0</v>
      </c>
    </row>
    <row r="799" spans="1:12" x14ac:dyDescent="0.3">
      <c r="A799" t="s">
        <v>2533</v>
      </c>
      <c r="B799" t="s">
        <v>194</v>
      </c>
      <c r="C799" t="s">
        <v>128</v>
      </c>
      <c r="D799" t="s">
        <v>2534</v>
      </c>
      <c r="E799" t="s">
        <v>2534</v>
      </c>
      <c r="F799">
        <v>3</v>
      </c>
      <c r="G799">
        <v>797</v>
      </c>
      <c r="H799">
        <f>IF(Table1[[#This Row],[my_ent_1]]=Table1[[#This Row],[their_ent_1]], 1, 0)</f>
        <v>0</v>
      </c>
      <c r="I799">
        <f>IF(Table1[[#This Row],[my_ent_2]]=Table1[[#This Row],[their_ent_2]], 1, 0)</f>
        <v>1</v>
      </c>
      <c r="J799">
        <f>IF(Table1[[#This Row],[same_1]]=1 &amp; Table1[[#This Row],[same_2]]=1, 1, 0)</f>
        <v>0</v>
      </c>
      <c r="K799">
        <f>IF(ISNUMBER(SEARCH(Table1[[#This Row],[their_ent_1]],Table1[[#This Row],[my_ent_1]])), 1, 0)</f>
        <v>1</v>
      </c>
      <c r="L799">
        <f>IF(ISNUMBER(SEARCH(Table1[[#This Row],[their_ent_2]],Table1[[#This Row],[my_ent_2]])), 1, 0)</f>
        <v>1</v>
      </c>
    </row>
    <row r="800" spans="1:12" x14ac:dyDescent="0.3">
      <c r="A800" t="s">
        <v>2535</v>
      </c>
      <c r="B800" t="s">
        <v>20</v>
      </c>
      <c r="C800" t="s">
        <v>407</v>
      </c>
      <c r="D800" t="s">
        <v>381</v>
      </c>
      <c r="E800" t="s">
        <v>381</v>
      </c>
      <c r="F800">
        <v>3</v>
      </c>
      <c r="G800">
        <v>798</v>
      </c>
      <c r="H800">
        <f>IF(Table1[[#This Row],[my_ent_1]]=Table1[[#This Row],[their_ent_1]], 1, 0)</f>
        <v>0</v>
      </c>
      <c r="I800">
        <f>IF(Table1[[#This Row],[my_ent_2]]=Table1[[#This Row],[their_ent_2]], 1, 0)</f>
        <v>1</v>
      </c>
      <c r="J800">
        <f>IF(Table1[[#This Row],[same_1]]=1 &amp; Table1[[#This Row],[same_2]]=1, 1, 0)</f>
        <v>0</v>
      </c>
      <c r="K800">
        <f>IF(ISNUMBER(SEARCH(Table1[[#This Row],[their_ent_1]],Table1[[#This Row],[my_ent_1]])), 1, 0)</f>
        <v>0</v>
      </c>
      <c r="L800">
        <f>IF(ISNUMBER(SEARCH(Table1[[#This Row],[their_ent_2]],Table1[[#This Row],[my_ent_2]])), 1, 0)</f>
        <v>1</v>
      </c>
    </row>
    <row r="801" spans="1:12" x14ac:dyDescent="0.3">
      <c r="A801" t="s">
        <v>2536</v>
      </c>
      <c r="B801" t="s">
        <v>2537</v>
      </c>
      <c r="C801" t="s">
        <v>2538</v>
      </c>
      <c r="D801" t="s">
        <v>2539</v>
      </c>
      <c r="E801" t="s">
        <v>2539</v>
      </c>
      <c r="F801">
        <v>3</v>
      </c>
      <c r="G801">
        <v>799</v>
      </c>
      <c r="H801">
        <f>IF(Table1[[#This Row],[my_ent_1]]=Table1[[#This Row],[their_ent_1]], 1, 0)</f>
        <v>0</v>
      </c>
      <c r="I801">
        <f>IF(Table1[[#This Row],[my_ent_2]]=Table1[[#This Row],[their_ent_2]], 1, 0)</f>
        <v>1</v>
      </c>
      <c r="J801">
        <f>IF(Table1[[#This Row],[same_1]]=1 &amp; Table1[[#This Row],[same_2]]=1, 1, 0)</f>
        <v>0</v>
      </c>
      <c r="K801">
        <f>IF(ISNUMBER(SEARCH(Table1[[#This Row],[their_ent_1]],Table1[[#This Row],[my_ent_1]])), 1, 0)</f>
        <v>0</v>
      </c>
      <c r="L801">
        <f>IF(ISNUMBER(SEARCH(Table1[[#This Row],[their_ent_2]],Table1[[#This Row],[my_ent_2]])), 1, 0)</f>
        <v>1</v>
      </c>
    </row>
    <row r="802" spans="1:12" x14ac:dyDescent="0.3">
      <c r="A802" t="s">
        <v>2540</v>
      </c>
      <c r="B802" t="s">
        <v>2541</v>
      </c>
      <c r="C802" t="s">
        <v>2542</v>
      </c>
      <c r="D802" t="s">
        <v>2542</v>
      </c>
      <c r="E802" t="s">
        <v>392</v>
      </c>
      <c r="F802">
        <v>3</v>
      </c>
      <c r="G802">
        <v>800</v>
      </c>
      <c r="H802">
        <f>IF(Table1[[#This Row],[my_ent_1]]=Table1[[#This Row],[their_ent_1]], 1, 0)</f>
        <v>0</v>
      </c>
      <c r="I802">
        <f>IF(Table1[[#This Row],[my_ent_2]]=Table1[[#This Row],[their_ent_2]], 1, 0)</f>
        <v>0</v>
      </c>
      <c r="J802">
        <f>IF(Table1[[#This Row],[same_1]]=1 &amp; Table1[[#This Row],[same_2]]=1, 1, 0)</f>
        <v>0</v>
      </c>
      <c r="K802">
        <f>IF(ISNUMBER(SEARCH(Table1[[#This Row],[their_ent_1]],Table1[[#This Row],[my_ent_1]])), 1, 0)</f>
        <v>0</v>
      </c>
      <c r="L802">
        <f>IF(ISNUMBER(SEARCH(Table1[[#This Row],[their_ent_2]],Table1[[#This Row],[my_ent_2]])), 1, 0)</f>
        <v>0</v>
      </c>
    </row>
    <row r="803" spans="1:12" x14ac:dyDescent="0.3">
      <c r="A803" t="s">
        <v>2543</v>
      </c>
      <c r="B803" t="s">
        <v>20</v>
      </c>
      <c r="C803" t="s">
        <v>20</v>
      </c>
      <c r="D803" t="s">
        <v>202</v>
      </c>
      <c r="E803" t="s">
        <v>353</v>
      </c>
      <c r="F803">
        <v>3</v>
      </c>
      <c r="G803">
        <v>801</v>
      </c>
      <c r="H803">
        <f>IF(Table1[[#This Row],[my_ent_1]]=Table1[[#This Row],[their_ent_1]], 1, 0)</f>
        <v>1</v>
      </c>
      <c r="I803">
        <f>IF(Table1[[#This Row],[my_ent_2]]=Table1[[#This Row],[their_ent_2]], 1, 0)</f>
        <v>0</v>
      </c>
      <c r="J803">
        <f>IF(Table1[[#This Row],[same_1]]=1 &amp; Table1[[#This Row],[same_2]]=1, 1, 0)</f>
        <v>0</v>
      </c>
      <c r="K803">
        <f>IF(ISNUMBER(SEARCH(Table1[[#This Row],[their_ent_1]],Table1[[#This Row],[my_ent_1]])), 1, 0)</f>
        <v>1</v>
      </c>
      <c r="L803">
        <f>IF(ISNUMBER(SEARCH(Table1[[#This Row],[their_ent_2]],Table1[[#This Row],[my_ent_2]])), 1, 0)</f>
        <v>1</v>
      </c>
    </row>
    <row r="804" spans="1:12" x14ac:dyDescent="0.3">
      <c r="A804" t="s">
        <v>2544</v>
      </c>
      <c r="B804" t="s">
        <v>206</v>
      </c>
      <c r="C804" t="s">
        <v>31</v>
      </c>
      <c r="D804" t="s">
        <v>161</v>
      </c>
      <c r="E804" t="s">
        <v>161</v>
      </c>
      <c r="F804">
        <v>3</v>
      </c>
      <c r="G804">
        <v>802</v>
      </c>
      <c r="H804">
        <f>IF(Table1[[#This Row],[my_ent_1]]=Table1[[#This Row],[their_ent_1]], 1, 0)</f>
        <v>0</v>
      </c>
      <c r="I804">
        <f>IF(Table1[[#This Row],[my_ent_2]]=Table1[[#This Row],[their_ent_2]], 1, 0)</f>
        <v>1</v>
      </c>
      <c r="J804">
        <f>IF(Table1[[#This Row],[same_1]]=1 &amp; Table1[[#This Row],[same_2]]=1, 1, 0)</f>
        <v>0</v>
      </c>
      <c r="K804">
        <f>IF(ISNUMBER(SEARCH(Table1[[#This Row],[their_ent_1]],Table1[[#This Row],[my_ent_1]])), 1, 0)</f>
        <v>1</v>
      </c>
      <c r="L804">
        <f>IF(ISNUMBER(SEARCH(Table1[[#This Row],[their_ent_2]],Table1[[#This Row],[my_ent_2]])), 1, 0)</f>
        <v>1</v>
      </c>
    </row>
    <row r="805" spans="1:12" x14ac:dyDescent="0.3">
      <c r="A805" t="s">
        <v>2545</v>
      </c>
      <c r="B805" t="s">
        <v>2139</v>
      </c>
      <c r="C805" t="s">
        <v>740</v>
      </c>
      <c r="D805" t="s">
        <v>26</v>
      </c>
      <c r="E805" t="s">
        <v>2546</v>
      </c>
      <c r="F805">
        <v>3</v>
      </c>
      <c r="G805">
        <v>803</v>
      </c>
      <c r="H805">
        <f>IF(Table1[[#This Row],[my_ent_1]]=Table1[[#This Row],[their_ent_1]], 1, 0)</f>
        <v>0</v>
      </c>
      <c r="I805">
        <f>IF(Table1[[#This Row],[my_ent_2]]=Table1[[#This Row],[their_ent_2]], 1, 0)</f>
        <v>0</v>
      </c>
      <c r="J805">
        <f>IF(Table1[[#This Row],[same_1]]=1 &amp; Table1[[#This Row],[same_2]]=1, 1, 0)</f>
        <v>0</v>
      </c>
      <c r="K805">
        <f>IF(ISNUMBER(SEARCH(Table1[[#This Row],[their_ent_1]],Table1[[#This Row],[my_ent_1]])), 1, 0)</f>
        <v>0</v>
      </c>
      <c r="L805">
        <f>IF(ISNUMBER(SEARCH(Table1[[#This Row],[their_ent_2]],Table1[[#This Row],[my_ent_2]])), 1, 0)</f>
        <v>0</v>
      </c>
    </row>
    <row r="806" spans="1:12" x14ac:dyDescent="0.3">
      <c r="A806" t="s">
        <v>2547</v>
      </c>
      <c r="B806" t="s">
        <v>25</v>
      </c>
      <c r="C806" t="s">
        <v>26</v>
      </c>
      <c r="D806" t="s">
        <v>2548</v>
      </c>
      <c r="E806" t="s">
        <v>2548</v>
      </c>
      <c r="F806">
        <v>3</v>
      </c>
      <c r="G806">
        <v>804</v>
      </c>
      <c r="H806">
        <f>IF(Table1[[#This Row],[my_ent_1]]=Table1[[#This Row],[their_ent_1]], 1, 0)</f>
        <v>0</v>
      </c>
      <c r="I806">
        <f>IF(Table1[[#This Row],[my_ent_2]]=Table1[[#This Row],[their_ent_2]], 1, 0)</f>
        <v>1</v>
      </c>
      <c r="J806">
        <f>IF(Table1[[#This Row],[same_1]]=1 &amp; Table1[[#This Row],[same_2]]=1, 1, 0)</f>
        <v>0</v>
      </c>
      <c r="K806">
        <f>IF(ISNUMBER(SEARCH(Table1[[#This Row],[their_ent_1]],Table1[[#This Row],[my_ent_1]])), 1, 0)</f>
        <v>1</v>
      </c>
      <c r="L806">
        <f>IF(ISNUMBER(SEARCH(Table1[[#This Row],[their_ent_2]],Table1[[#This Row],[my_ent_2]])), 1, 0)</f>
        <v>1</v>
      </c>
    </row>
    <row r="807" spans="1:12" x14ac:dyDescent="0.3">
      <c r="A807" t="s">
        <v>2549</v>
      </c>
      <c r="B807" t="s">
        <v>20</v>
      </c>
      <c r="C807" t="s">
        <v>20</v>
      </c>
      <c r="D807" t="s">
        <v>1588</v>
      </c>
      <c r="E807" t="s">
        <v>335</v>
      </c>
      <c r="F807">
        <v>3</v>
      </c>
      <c r="G807">
        <v>805</v>
      </c>
      <c r="H807">
        <f>IF(Table1[[#This Row],[my_ent_1]]=Table1[[#This Row],[their_ent_1]], 1, 0)</f>
        <v>1</v>
      </c>
      <c r="I807">
        <f>IF(Table1[[#This Row],[my_ent_2]]=Table1[[#This Row],[their_ent_2]], 1, 0)</f>
        <v>0</v>
      </c>
      <c r="J807">
        <f>IF(Table1[[#This Row],[same_1]]=1 &amp; Table1[[#This Row],[same_2]]=1, 1, 0)</f>
        <v>0</v>
      </c>
      <c r="K807">
        <f>IF(ISNUMBER(SEARCH(Table1[[#This Row],[their_ent_1]],Table1[[#This Row],[my_ent_1]])), 1, 0)</f>
        <v>1</v>
      </c>
      <c r="L807">
        <f>IF(ISNUMBER(SEARCH(Table1[[#This Row],[their_ent_2]],Table1[[#This Row],[my_ent_2]])), 1, 0)</f>
        <v>1</v>
      </c>
    </row>
    <row r="808" spans="1:12" x14ac:dyDescent="0.3">
      <c r="A808" t="s">
        <v>2550</v>
      </c>
      <c r="B808" t="s">
        <v>2551</v>
      </c>
      <c r="C808" t="s">
        <v>748</v>
      </c>
      <c r="D808" t="s">
        <v>1174</v>
      </c>
      <c r="E808" t="s">
        <v>746</v>
      </c>
      <c r="F808">
        <v>3</v>
      </c>
      <c r="G808">
        <v>806</v>
      </c>
      <c r="H808">
        <f>IF(Table1[[#This Row],[my_ent_1]]=Table1[[#This Row],[their_ent_1]], 1, 0)</f>
        <v>0</v>
      </c>
      <c r="I808">
        <f>IF(Table1[[#This Row],[my_ent_2]]=Table1[[#This Row],[their_ent_2]], 1, 0)</f>
        <v>0</v>
      </c>
      <c r="J808">
        <f>IF(Table1[[#This Row],[same_1]]=1 &amp; Table1[[#This Row],[same_2]]=1, 1, 0)</f>
        <v>0</v>
      </c>
      <c r="K808">
        <f>IF(ISNUMBER(SEARCH(Table1[[#This Row],[their_ent_1]],Table1[[#This Row],[my_ent_1]])), 1, 0)</f>
        <v>0</v>
      </c>
      <c r="L808">
        <f>IF(ISNUMBER(SEARCH(Table1[[#This Row],[their_ent_2]],Table1[[#This Row],[my_ent_2]])), 1, 0)</f>
        <v>0</v>
      </c>
    </row>
    <row r="809" spans="1:12" x14ac:dyDescent="0.3">
      <c r="A809" t="s">
        <v>2552</v>
      </c>
      <c r="B809" t="s">
        <v>992</v>
      </c>
      <c r="C809" t="s">
        <v>707</v>
      </c>
      <c r="D809" t="s">
        <v>2553</v>
      </c>
      <c r="E809" t="s">
        <v>992</v>
      </c>
      <c r="F809">
        <v>3</v>
      </c>
      <c r="G809">
        <v>807</v>
      </c>
      <c r="H809">
        <f>IF(Table1[[#This Row],[my_ent_1]]=Table1[[#This Row],[their_ent_1]], 1, 0)</f>
        <v>0</v>
      </c>
      <c r="I809">
        <f>IF(Table1[[#This Row],[my_ent_2]]=Table1[[#This Row],[their_ent_2]], 1, 0)</f>
        <v>0</v>
      </c>
      <c r="J809">
        <f>IF(Table1[[#This Row],[same_1]]=1 &amp; Table1[[#This Row],[same_2]]=1, 1, 0)</f>
        <v>0</v>
      </c>
      <c r="K809">
        <f>IF(ISNUMBER(SEARCH(Table1[[#This Row],[their_ent_1]],Table1[[#This Row],[my_ent_1]])), 1, 0)</f>
        <v>0</v>
      </c>
      <c r="L809">
        <f>IF(ISNUMBER(SEARCH(Table1[[#This Row],[their_ent_2]],Table1[[#This Row],[my_ent_2]])), 1, 0)</f>
        <v>0</v>
      </c>
    </row>
    <row r="810" spans="1:12" x14ac:dyDescent="0.3">
      <c r="A810" t="s">
        <v>2554</v>
      </c>
      <c r="B810" t="s">
        <v>381</v>
      </c>
      <c r="C810" t="s">
        <v>381</v>
      </c>
      <c r="D810" t="s">
        <v>160</v>
      </c>
      <c r="E810" t="s">
        <v>2555</v>
      </c>
      <c r="F810">
        <v>3</v>
      </c>
      <c r="G810">
        <v>808</v>
      </c>
      <c r="H810">
        <f>IF(Table1[[#This Row],[my_ent_1]]=Table1[[#This Row],[their_ent_1]], 1, 0)</f>
        <v>1</v>
      </c>
      <c r="I810">
        <f>IF(Table1[[#This Row],[my_ent_2]]=Table1[[#This Row],[their_ent_2]], 1, 0)</f>
        <v>0</v>
      </c>
      <c r="J810">
        <f>IF(Table1[[#This Row],[same_1]]=1 &amp; Table1[[#This Row],[same_2]]=1, 1, 0)</f>
        <v>0</v>
      </c>
      <c r="K810">
        <f>IF(ISNUMBER(SEARCH(Table1[[#This Row],[their_ent_1]],Table1[[#This Row],[my_ent_1]])), 1, 0)</f>
        <v>1</v>
      </c>
      <c r="L810">
        <f>IF(ISNUMBER(SEARCH(Table1[[#This Row],[their_ent_2]],Table1[[#This Row],[my_ent_2]])), 1, 0)</f>
        <v>0</v>
      </c>
    </row>
    <row r="811" spans="1:12" x14ac:dyDescent="0.3">
      <c r="A811" t="s">
        <v>2556</v>
      </c>
      <c r="B811" t="s">
        <v>2557</v>
      </c>
      <c r="C811" t="s">
        <v>2558</v>
      </c>
      <c r="D811" t="s">
        <v>78</v>
      </c>
      <c r="E811" t="s">
        <v>78</v>
      </c>
      <c r="F811">
        <v>3</v>
      </c>
      <c r="G811">
        <v>809</v>
      </c>
      <c r="H811">
        <f>IF(Table1[[#This Row],[my_ent_1]]=Table1[[#This Row],[their_ent_1]], 1, 0)</f>
        <v>0</v>
      </c>
      <c r="I811">
        <f>IF(Table1[[#This Row],[my_ent_2]]=Table1[[#This Row],[their_ent_2]], 1, 0)</f>
        <v>1</v>
      </c>
      <c r="J811">
        <f>IF(Table1[[#This Row],[same_1]]=1 &amp; Table1[[#This Row],[same_2]]=1, 1, 0)</f>
        <v>0</v>
      </c>
      <c r="K811">
        <f>IF(ISNUMBER(SEARCH(Table1[[#This Row],[their_ent_1]],Table1[[#This Row],[my_ent_1]])), 1, 0)</f>
        <v>0</v>
      </c>
      <c r="L811">
        <f>IF(ISNUMBER(SEARCH(Table1[[#This Row],[their_ent_2]],Table1[[#This Row],[my_ent_2]])), 1, 0)</f>
        <v>1</v>
      </c>
    </row>
    <row r="812" spans="1:12" x14ac:dyDescent="0.3">
      <c r="A812" t="s">
        <v>2559</v>
      </c>
      <c r="B812" t="s">
        <v>2560</v>
      </c>
      <c r="C812" t="s">
        <v>2561</v>
      </c>
      <c r="D812" t="s">
        <v>450</v>
      </c>
      <c r="E812" t="s">
        <v>2560</v>
      </c>
      <c r="F812">
        <v>3</v>
      </c>
      <c r="G812">
        <v>810</v>
      </c>
      <c r="H812">
        <f>IF(Table1[[#This Row],[my_ent_1]]=Table1[[#This Row],[their_ent_1]], 1, 0)</f>
        <v>0</v>
      </c>
      <c r="I812">
        <f>IF(Table1[[#This Row],[my_ent_2]]=Table1[[#This Row],[their_ent_2]], 1, 0)</f>
        <v>0</v>
      </c>
      <c r="J812">
        <f>IF(Table1[[#This Row],[same_1]]=1 &amp; Table1[[#This Row],[same_2]]=1, 1, 0)</f>
        <v>0</v>
      </c>
      <c r="K812">
        <f>IF(ISNUMBER(SEARCH(Table1[[#This Row],[their_ent_1]],Table1[[#This Row],[my_ent_1]])), 1, 0)</f>
        <v>0</v>
      </c>
      <c r="L812">
        <f>IF(ISNUMBER(SEARCH(Table1[[#This Row],[their_ent_2]],Table1[[#This Row],[my_ent_2]])), 1, 0)</f>
        <v>0</v>
      </c>
    </row>
    <row r="813" spans="1:12" x14ac:dyDescent="0.3">
      <c r="A813" t="s">
        <v>2562</v>
      </c>
      <c r="B813" t="s">
        <v>2563</v>
      </c>
      <c r="C813" t="s">
        <v>2563</v>
      </c>
      <c r="D813" t="s">
        <v>1257</v>
      </c>
      <c r="E813" t="s">
        <v>2564</v>
      </c>
      <c r="F813">
        <v>3</v>
      </c>
      <c r="G813">
        <v>811</v>
      </c>
      <c r="H813">
        <f>IF(Table1[[#This Row],[my_ent_1]]=Table1[[#This Row],[their_ent_1]], 1, 0)</f>
        <v>1</v>
      </c>
      <c r="I813">
        <f>IF(Table1[[#This Row],[my_ent_2]]=Table1[[#This Row],[their_ent_2]], 1, 0)</f>
        <v>0</v>
      </c>
      <c r="J813">
        <f>IF(Table1[[#This Row],[same_1]]=1 &amp; Table1[[#This Row],[same_2]]=1, 1, 0)</f>
        <v>0</v>
      </c>
      <c r="K813">
        <f>IF(ISNUMBER(SEARCH(Table1[[#This Row],[their_ent_1]],Table1[[#This Row],[my_ent_1]])), 1, 0)</f>
        <v>1</v>
      </c>
      <c r="L813">
        <f>IF(ISNUMBER(SEARCH(Table1[[#This Row],[their_ent_2]],Table1[[#This Row],[my_ent_2]])), 1, 0)</f>
        <v>0</v>
      </c>
    </row>
    <row r="814" spans="1:12" x14ac:dyDescent="0.3">
      <c r="A814" t="s">
        <v>2565</v>
      </c>
      <c r="B814" t="s">
        <v>20</v>
      </c>
      <c r="C814" t="s">
        <v>20</v>
      </c>
      <c r="D814" t="s">
        <v>112</v>
      </c>
      <c r="E814" t="s">
        <v>241</v>
      </c>
      <c r="F814">
        <v>3</v>
      </c>
      <c r="G814">
        <v>812</v>
      </c>
      <c r="H814">
        <f>IF(Table1[[#This Row],[my_ent_1]]=Table1[[#This Row],[their_ent_1]], 1, 0)</f>
        <v>1</v>
      </c>
      <c r="I814">
        <f>IF(Table1[[#This Row],[my_ent_2]]=Table1[[#This Row],[their_ent_2]], 1, 0)</f>
        <v>0</v>
      </c>
      <c r="J814">
        <f>IF(Table1[[#This Row],[same_1]]=1 &amp; Table1[[#This Row],[same_2]]=1, 1, 0)</f>
        <v>0</v>
      </c>
      <c r="K814">
        <f>IF(ISNUMBER(SEARCH(Table1[[#This Row],[their_ent_1]],Table1[[#This Row],[my_ent_1]])), 1, 0)</f>
        <v>1</v>
      </c>
      <c r="L814">
        <f>IF(ISNUMBER(SEARCH(Table1[[#This Row],[their_ent_2]],Table1[[#This Row],[my_ent_2]])), 1, 0)</f>
        <v>0</v>
      </c>
    </row>
    <row r="815" spans="1:12" x14ac:dyDescent="0.3">
      <c r="A815" t="s">
        <v>2566</v>
      </c>
      <c r="B815" t="s">
        <v>1916</v>
      </c>
      <c r="C815" t="s">
        <v>1916</v>
      </c>
      <c r="D815" t="s">
        <v>2567</v>
      </c>
      <c r="E815" t="s">
        <v>2568</v>
      </c>
      <c r="F815">
        <v>3</v>
      </c>
      <c r="G815">
        <v>813</v>
      </c>
      <c r="H815">
        <f>IF(Table1[[#This Row],[my_ent_1]]=Table1[[#This Row],[their_ent_1]], 1, 0)</f>
        <v>1</v>
      </c>
      <c r="I815">
        <f>IF(Table1[[#This Row],[my_ent_2]]=Table1[[#This Row],[their_ent_2]], 1, 0)</f>
        <v>0</v>
      </c>
      <c r="J815">
        <f>IF(Table1[[#This Row],[same_1]]=1 &amp; Table1[[#This Row],[same_2]]=1, 1, 0)</f>
        <v>0</v>
      </c>
      <c r="K815">
        <f>IF(ISNUMBER(SEARCH(Table1[[#This Row],[their_ent_1]],Table1[[#This Row],[my_ent_1]])), 1, 0)</f>
        <v>1</v>
      </c>
      <c r="L815">
        <f>IF(ISNUMBER(SEARCH(Table1[[#This Row],[their_ent_2]],Table1[[#This Row],[my_ent_2]])), 1, 0)</f>
        <v>0</v>
      </c>
    </row>
    <row r="816" spans="1:12" x14ac:dyDescent="0.3">
      <c r="A816" t="s">
        <v>2569</v>
      </c>
      <c r="B816" t="s">
        <v>20</v>
      </c>
      <c r="C816" t="s">
        <v>20</v>
      </c>
      <c r="D816" t="s">
        <v>2570</v>
      </c>
      <c r="E816" t="s">
        <v>2571</v>
      </c>
      <c r="F816">
        <v>4</v>
      </c>
      <c r="G816">
        <v>814</v>
      </c>
      <c r="H816">
        <f>IF(Table1[[#This Row],[my_ent_1]]=Table1[[#This Row],[their_ent_1]], 1, 0)</f>
        <v>1</v>
      </c>
      <c r="I816">
        <f>IF(Table1[[#This Row],[my_ent_2]]=Table1[[#This Row],[their_ent_2]], 1, 0)</f>
        <v>0</v>
      </c>
      <c r="J816">
        <f>IF(Table1[[#This Row],[same_1]]=1 &amp; Table1[[#This Row],[same_2]]=1, 1, 0)</f>
        <v>0</v>
      </c>
      <c r="K816">
        <f>IF(ISNUMBER(SEARCH(Table1[[#This Row],[their_ent_1]],Table1[[#This Row],[my_ent_1]])), 1, 0)</f>
        <v>1</v>
      </c>
      <c r="L816">
        <f>IF(ISNUMBER(SEARCH(Table1[[#This Row],[their_ent_2]],Table1[[#This Row],[my_ent_2]])), 1, 0)</f>
        <v>0</v>
      </c>
    </row>
    <row r="817" spans="1:12" x14ac:dyDescent="0.3">
      <c r="A817" t="s">
        <v>2572</v>
      </c>
      <c r="B817" t="s">
        <v>323</v>
      </c>
      <c r="C817" t="s">
        <v>485</v>
      </c>
      <c r="D817" t="s">
        <v>2573</v>
      </c>
      <c r="E817" t="s">
        <v>2573</v>
      </c>
      <c r="F817">
        <v>4</v>
      </c>
      <c r="G817">
        <v>815</v>
      </c>
      <c r="H817">
        <f>IF(Table1[[#This Row],[my_ent_1]]=Table1[[#This Row],[their_ent_1]], 1, 0)</f>
        <v>0</v>
      </c>
      <c r="I817">
        <f>IF(Table1[[#This Row],[my_ent_2]]=Table1[[#This Row],[their_ent_2]], 1, 0)</f>
        <v>1</v>
      </c>
      <c r="J817">
        <f>IF(Table1[[#This Row],[same_1]]=1 &amp; Table1[[#This Row],[same_2]]=1, 1, 0)</f>
        <v>0</v>
      </c>
      <c r="K817">
        <f>IF(ISNUMBER(SEARCH(Table1[[#This Row],[their_ent_1]],Table1[[#This Row],[my_ent_1]])), 1, 0)</f>
        <v>0</v>
      </c>
      <c r="L817">
        <f>IF(ISNUMBER(SEARCH(Table1[[#This Row],[their_ent_2]],Table1[[#This Row],[my_ent_2]])), 1, 0)</f>
        <v>1</v>
      </c>
    </row>
    <row r="818" spans="1:12" x14ac:dyDescent="0.3">
      <c r="A818" t="s">
        <v>2574</v>
      </c>
      <c r="B818" t="s">
        <v>2575</v>
      </c>
      <c r="C818" t="s">
        <v>2576</v>
      </c>
      <c r="D818" t="s">
        <v>2577</v>
      </c>
      <c r="E818" t="s">
        <v>392</v>
      </c>
      <c r="F818">
        <v>4</v>
      </c>
      <c r="G818">
        <v>816</v>
      </c>
      <c r="H818">
        <f>IF(Table1[[#This Row],[my_ent_1]]=Table1[[#This Row],[their_ent_1]], 1, 0)</f>
        <v>0</v>
      </c>
      <c r="I818">
        <f>IF(Table1[[#This Row],[my_ent_2]]=Table1[[#This Row],[their_ent_2]], 1, 0)</f>
        <v>0</v>
      </c>
      <c r="J818">
        <f>IF(Table1[[#This Row],[same_1]]=1 &amp; Table1[[#This Row],[same_2]]=1, 1, 0)</f>
        <v>0</v>
      </c>
      <c r="K818">
        <f>IF(ISNUMBER(SEARCH(Table1[[#This Row],[their_ent_1]],Table1[[#This Row],[my_ent_1]])), 1, 0)</f>
        <v>0</v>
      </c>
      <c r="L818">
        <f>IF(ISNUMBER(SEARCH(Table1[[#This Row],[their_ent_2]],Table1[[#This Row],[my_ent_2]])), 1, 0)</f>
        <v>0</v>
      </c>
    </row>
    <row r="819" spans="1:12" x14ac:dyDescent="0.3">
      <c r="A819" t="s">
        <v>2578</v>
      </c>
      <c r="B819" t="s">
        <v>2579</v>
      </c>
      <c r="C819" t="s">
        <v>2579</v>
      </c>
      <c r="D819" t="s">
        <v>2580</v>
      </c>
      <c r="E819" t="s">
        <v>2581</v>
      </c>
      <c r="F819">
        <v>4</v>
      </c>
      <c r="G819">
        <v>817</v>
      </c>
      <c r="H819">
        <f>IF(Table1[[#This Row],[my_ent_1]]=Table1[[#This Row],[their_ent_1]], 1, 0)</f>
        <v>1</v>
      </c>
      <c r="I819">
        <f>IF(Table1[[#This Row],[my_ent_2]]=Table1[[#This Row],[their_ent_2]], 1, 0)</f>
        <v>0</v>
      </c>
      <c r="J819">
        <f>IF(Table1[[#This Row],[same_1]]=1 &amp; Table1[[#This Row],[same_2]]=1, 1, 0)</f>
        <v>0</v>
      </c>
      <c r="K819">
        <f>IF(ISNUMBER(SEARCH(Table1[[#This Row],[their_ent_1]],Table1[[#This Row],[my_ent_1]])), 1, 0)</f>
        <v>1</v>
      </c>
      <c r="L819">
        <f>IF(ISNUMBER(SEARCH(Table1[[#This Row],[their_ent_2]],Table1[[#This Row],[my_ent_2]])), 1, 0)</f>
        <v>0</v>
      </c>
    </row>
    <row r="820" spans="1:12" x14ac:dyDescent="0.3">
      <c r="A820" t="s">
        <v>2582</v>
      </c>
      <c r="B820" t="s">
        <v>2340</v>
      </c>
      <c r="C820" t="s">
        <v>642</v>
      </c>
      <c r="D820" t="s">
        <v>353</v>
      </c>
      <c r="E820" t="s">
        <v>353</v>
      </c>
      <c r="F820">
        <v>4</v>
      </c>
      <c r="G820">
        <v>818</v>
      </c>
      <c r="H820">
        <f>IF(Table1[[#This Row],[my_ent_1]]=Table1[[#This Row],[their_ent_1]], 1, 0)</f>
        <v>0</v>
      </c>
      <c r="I820">
        <f>IF(Table1[[#This Row],[my_ent_2]]=Table1[[#This Row],[their_ent_2]], 1, 0)</f>
        <v>1</v>
      </c>
      <c r="J820">
        <f>IF(Table1[[#This Row],[same_1]]=1 &amp; Table1[[#This Row],[same_2]]=1, 1, 0)</f>
        <v>0</v>
      </c>
      <c r="K820">
        <f>IF(ISNUMBER(SEARCH(Table1[[#This Row],[their_ent_1]],Table1[[#This Row],[my_ent_1]])), 1, 0)</f>
        <v>1</v>
      </c>
      <c r="L820">
        <f>IF(ISNUMBER(SEARCH(Table1[[#This Row],[their_ent_2]],Table1[[#This Row],[my_ent_2]])), 1, 0)</f>
        <v>1</v>
      </c>
    </row>
    <row r="821" spans="1:12" x14ac:dyDescent="0.3">
      <c r="A821" t="s">
        <v>2583</v>
      </c>
      <c r="B821" t="s">
        <v>1501</v>
      </c>
      <c r="C821" t="s">
        <v>168</v>
      </c>
      <c r="D821" t="s">
        <v>2584</v>
      </c>
      <c r="E821" t="s">
        <v>2584</v>
      </c>
      <c r="F821">
        <v>4</v>
      </c>
      <c r="G821">
        <v>819</v>
      </c>
      <c r="H821">
        <f>IF(Table1[[#This Row],[my_ent_1]]=Table1[[#This Row],[their_ent_1]], 1, 0)</f>
        <v>0</v>
      </c>
      <c r="I821">
        <f>IF(Table1[[#This Row],[my_ent_2]]=Table1[[#This Row],[their_ent_2]], 1, 0)</f>
        <v>1</v>
      </c>
      <c r="J821">
        <f>IF(Table1[[#This Row],[same_1]]=1 &amp; Table1[[#This Row],[same_2]]=1, 1, 0)</f>
        <v>0</v>
      </c>
      <c r="K821">
        <f>IF(ISNUMBER(SEARCH(Table1[[#This Row],[their_ent_1]],Table1[[#This Row],[my_ent_1]])), 1, 0)</f>
        <v>0</v>
      </c>
      <c r="L821">
        <f>IF(ISNUMBER(SEARCH(Table1[[#This Row],[their_ent_2]],Table1[[#This Row],[my_ent_2]])), 1, 0)</f>
        <v>1</v>
      </c>
    </row>
    <row r="822" spans="1:12" x14ac:dyDescent="0.3">
      <c r="A822" t="s">
        <v>2585</v>
      </c>
      <c r="B822" t="s">
        <v>2345</v>
      </c>
      <c r="C822" t="s">
        <v>20</v>
      </c>
      <c r="D822" t="s">
        <v>44</v>
      </c>
      <c r="E822" t="s">
        <v>2586</v>
      </c>
      <c r="F822">
        <v>3</v>
      </c>
      <c r="G822">
        <v>820</v>
      </c>
      <c r="H822">
        <f>IF(Table1[[#This Row],[my_ent_1]]=Table1[[#This Row],[their_ent_1]], 1, 0)</f>
        <v>0</v>
      </c>
      <c r="I822">
        <f>IF(Table1[[#This Row],[my_ent_2]]=Table1[[#This Row],[their_ent_2]], 1, 0)</f>
        <v>0</v>
      </c>
      <c r="J822">
        <f>IF(Table1[[#This Row],[same_1]]=1 &amp; Table1[[#This Row],[same_2]]=1, 1, 0)</f>
        <v>0</v>
      </c>
      <c r="K822">
        <f>IF(ISNUMBER(SEARCH(Table1[[#This Row],[their_ent_1]],Table1[[#This Row],[my_ent_1]])), 1, 0)</f>
        <v>1</v>
      </c>
      <c r="L822">
        <f>IF(ISNUMBER(SEARCH(Table1[[#This Row],[their_ent_2]],Table1[[#This Row],[my_ent_2]])), 1, 0)</f>
        <v>0</v>
      </c>
    </row>
    <row r="823" spans="1:12" x14ac:dyDescent="0.3">
      <c r="A823" t="s">
        <v>2587</v>
      </c>
      <c r="B823" t="s">
        <v>2588</v>
      </c>
      <c r="C823" t="s">
        <v>402</v>
      </c>
      <c r="D823" t="s">
        <v>2589</v>
      </c>
      <c r="E823" t="s">
        <v>2589</v>
      </c>
      <c r="F823">
        <v>2</v>
      </c>
      <c r="G823">
        <v>821</v>
      </c>
      <c r="H823">
        <f>IF(Table1[[#This Row],[my_ent_1]]=Table1[[#This Row],[their_ent_1]], 1, 0)</f>
        <v>0</v>
      </c>
      <c r="I823">
        <f>IF(Table1[[#This Row],[my_ent_2]]=Table1[[#This Row],[their_ent_2]], 1, 0)</f>
        <v>1</v>
      </c>
      <c r="J823">
        <f>IF(Table1[[#This Row],[same_1]]=1 &amp; Table1[[#This Row],[same_2]]=1, 1, 0)</f>
        <v>0</v>
      </c>
      <c r="K823">
        <f>IF(ISNUMBER(SEARCH(Table1[[#This Row],[their_ent_1]],Table1[[#This Row],[my_ent_1]])), 1, 0)</f>
        <v>0</v>
      </c>
      <c r="L823">
        <f>IF(ISNUMBER(SEARCH(Table1[[#This Row],[their_ent_2]],Table1[[#This Row],[my_ent_2]])), 1, 0)</f>
        <v>1</v>
      </c>
    </row>
    <row r="824" spans="1:12" x14ac:dyDescent="0.3">
      <c r="A824" t="s">
        <v>2590</v>
      </c>
      <c r="B824" t="s">
        <v>2591</v>
      </c>
      <c r="C824" t="s">
        <v>2592</v>
      </c>
      <c r="D824" t="s">
        <v>2593</v>
      </c>
      <c r="E824" t="s">
        <v>2594</v>
      </c>
      <c r="F824">
        <v>1</v>
      </c>
      <c r="G824">
        <v>822</v>
      </c>
      <c r="H824">
        <f>IF(Table1[[#This Row],[my_ent_1]]=Table1[[#This Row],[their_ent_1]], 1, 0)</f>
        <v>0</v>
      </c>
      <c r="I824">
        <f>IF(Table1[[#This Row],[my_ent_2]]=Table1[[#This Row],[their_ent_2]], 1, 0)</f>
        <v>0</v>
      </c>
      <c r="J824">
        <f>IF(Table1[[#This Row],[same_1]]=1 &amp; Table1[[#This Row],[same_2]]=1, 1, 0)</f>
        <v>0</v>
      </c>
      <c r="K824">
        <f>IF(ISNUMBER(SEARCH(Table1[[#This Row],[their_ent_1]],Table1[[#This Row],[my_ent_1]])), 1, 0)</f>
        <v>0</v>
      </c>
      <c r="L824">
        <f>IF(ISNUMBER(SEARCH(Table1[[#This Row],[their_ent_2]],Table1[[#This Row],[my_ent_2]])), 1, 0)</f>
        <v>0</v>
      </c>
    </row>
    <row r="825" spans="1:12" x14ac:dyDescent="0.3">
      <c r="A825" t="s">
        <v>2595</v>
      </c>
      <c r="B825" t="s">
        <v>680</v>
      </c>
      <c r="C825" t="s">
        <v>2596</v>
      </c>
      <c r="D825" t="s">
        <v>2596</v>
      </c>
      <c r="E825" t="s">
        <v>710</v>
      </c>
      <c r="F825">
        <v>3</v>
      </c>
      <c r="G825">
        <v>823</v>
      </c>
      <c r="H825">
        <f>IF(Table1[[#This Row],[my_ent_1]]=Table1[[#This Row],[their_ent_1]], 1, 0)</f>
        <v>0</v>
      </c>
      <c r="I825">
        <f>IF(Table1[[#This Row],[my_ent_2]]=Table1[[#This Row],[their_ent_2]], 1, 0)</f>
        <v>0</v>
      </c>
      <c r="J825">
        <f>IF(Table1[[#This Row],[same_1]]=1 &amp; Table1[[#This Row],[same_2]]=1, 1, 0)</f>
        <v>0</v>
      </c>
      <c r="K825">
        <f>IF(ISNUMBER(SEARCH(Table1[[#This Row],[their_ent_1]],Table1[[#This Row],[my_ent_1]])), 1, 0)</f>
        <v>0</v>
      </c>
      <c r="L825">
        <f>IF(ISNUMBER(SEARCH(Table1[[#This Row],[their_ent_2]],Table1[[#This Row],[my_ent_2]])), 1, 0)</f>
        <v>0</v>
      </c>
    </row>
    <row r="826" spans="1:12" x14ac:dyDescent="0.3">
      <c r="A826" t="s">
        <v>2597</v>
      </c>
      <c r="B826" t="s">
        <v>44</v>
      </c>
      <c r="C826" t="s">
        <v>2598</v>
      </c>
      <c r="D826" t="s">
        <v>44</v>
      </c>
      <c r="E826" t="s">
        <v>44</v>
      </c>
      <c r="F826">
        <v>3</v>
      </c>
      <c r="G826">
        <v>824</v>
      </c>
      <c r="H826">
        <f>IF(Table1[[#This Row],[my_ent_1]]=Table1[[#This Row],[their_ent_1]], 1, 0)</f>
        <v>0</v>
      </c>
      <c r="I826">
        <f>IF(Table1[[#This Row],[my_ent_2]]=Table1[[#This Row],[their_ent_2]], 1, 0)</f>
        <v>1</v>
      </c>
      <c r="J826">
        <f>IF(Table1[[#This Row],[same_1]]=1 &amp; Table1[[#This Row],[same_2]]=1, 1, 0)</f>
        <v>0</v>
      </c>
      <c r="K826">
        <f>IF(ISNUMBER(SEARCH(Table1[[#This Row],[their_ent_1]],Table1[[#This Row],[my_ent_1]])), 1, 0)</f>
        <v>0</v>
      </c>
      <c r="L826">
        <f>IF(ISNUMBER(SEARCH(Table1[[#This Row],[their_ent_2]],Table1[[#This Row],[my_ent_2]])), 1, 0)</f>
        <v>1</v>
      </c>
    </row>
    <row r="827" spans="1:12" x14ac:dyDescent="0.3">
      <c r="A827" t="s">
        <v>2599</v>
      </c>
      <c r="B827" t="s">
        <v>2600</v>
      </c>
      <c r="C827" t="s">
        <v>2601</v>
      </c>
      <c r="D827" t="s">
        <v>2602</v>
      </c>
      <c r="E827" t="s">
        <v>2603</v>
      </c>
      <c r="F827">
        <v>3</v>
      </c>
      <c r="G827">
        <v>825</v>
      </c>
      <c r="H827">
        <f>IF(Table1[[#This Row],[my_ent_1]]=Table1[[#This Row],[their_ent_1]], 1, 0)</f>
        <v>0</v>
      </c>
      <c r="I827">
        <f>IF(Table1[[#This Row],[my_ent_2]]=Table1[[#This Row],[their_ent_2]], 1, 0)</f>
        <v>0</v>
      </c>
      <c r="J827">
        <f>IF(Table1[[#This Row],[same_1]]=1 &amp; Table1[[#This Row],[same_2]]=1, 1, 0)</f>
        <v>0</v>
      </c>
      <c r="K827">
        <f>IF(ISNUMBER(SEARCH(Table1[[#This Row],[their_ent_1]],Table1[[#This Row],[my_ent_1]])), 1, 0)</f>
        <v>0</v>
      </c>
      <c r="L827">
        <f>IF(ISNUMBER(SEARCH(Table1[[#This Row],[their_ent_2]],Table1[[#This Row],[my_ent_2]])), 1, 0)</f>
        <v>0</v>
      </c>
    </row>
    <row r="828" spans="1:12" x14ac:dyDescent="0.3">
      <c r="A828" t="s">
        <v>2604</v>
      </c>
      <c r="B828" t="s">
        <v>2605</v>
      </c>
      <c r="C828" t="s">
        <v>2606</v>
      </c>
      <c r="D828" t="s">
        <v>2607</v>
      </c>
      <c r="E828" t="s">
        <v>2607</v>
      </c>
      <c r="F828">
        <v>2</v>
      </c>
      <c r="G828">
        <v>826</v>
      </c>
      <c r="H828">
        <f>IF(Table1[[#This Row],[my_ent_1]]=Table1[[#This Row],[their_ent_1]], 1, 0)</f>
        <v>0</v>
      </c>
      <c r="I828">
        <f>IF(Table1[[#This Row],[my_ent_2]]=Table1[[#This Row],[their_ent_2]], 1, 0)</f>
        <v>1</v>
      </c>
      <c r="J828">
        <f>IF(Table1[[#This Row],[same_1]]=1 &amp; Table1[[#This Row],[same_2]]=1, 1, 0)</f>
        <v>0</v>
      </c>
      <c r="K828">
        <f>IF(ISNUMBER(SEARCH(Table1[[#This Row],[their_ent_1]],Table1[[#This Row],[my_ent_1]])), 1, 0)</f>
        <v>0</v>
      </c>
      <c r="L828">
        <f>IF(ISNUMBER(SEARCH(Table1[[#This Row],[their_ent_2]],Table1[[#This Row],[my_ent_2]])), 1, 0)</f>
        <v>1</v>
      </c>
    </row>
    <row r="829" spans="1:12" x14ac:dyDescent="0.3">
      <c r="A829" t="s">
        <v>2608</v>
      </c>
      <c r="B829" t="s">
        <v>2609</v>
      </c>
      <c r="C829" t="s">
        <v>2610</v>
      </c>
      <c r="D829" t="s">
        <v>2611</v>
      </c>
      <c r="E829" t="s">
        <v>2611</v>
      </c>
      <c r="F829">
        <v>3</v>
      </c>
      <c r="G829">
        <v>827</v>
      </c>
      <c r="H829">
        <f>IF(Table1[[#This Row],[my_ent_1]]=Table1[[#This Row],[their_ent_1]], 1, 0)</f>
        <v>0</v>
      </c>
      <c r="I829">
        <f>IF(Table1[[#This Row],[my_ent_2]]=Table1[[#This Row],[their_ent_2]], 1, 0)</f>
        <v>1</v>
      </c>
      <c r="J829">
        <f>IF(Table1[[#This Row],[same_1]]=1 &amp; Table1[[#This Row],[same_2]]=1, 1, 0)</f>
        <v>0</v>
      </c>
      <c r="K829">
        <f>IF(ISNUMBER(SEARCH(Table1[[#This Row],[their_ent_1]],Table1[[#This Row],[my_ent_1]])), 1, 0)</f>
        <v>1</v>
      </c>
      <c r="L829">
        <f>IF(ISNUMBER(SEARCH(Table1[[#This Row],[their_ent_2]],Table1[[#This Row],[my_ent_2]])), 1, 0)</f>
        <v>1</v>
      </c>
    </row>
    <row r="830" spans="1:12" x14ac:dyDescent="0.3">
      <c r="A830" t="s">
        <v>2612</v>
      </c>
      <c r="B830" t="s">
        <v>389</v>
      </c>
      <c r="C830" t="s">
        <v>31</v>
      </c>
      <c r="D830" t="s">
        <v>2613</v>
      </c>
      <c r="E830" t="s">
        <v>2613</v>
      </c>
      <c r="F830">
        <v>3</v>
      </c>
      <c r="G830">
        <v>828</v>
      </c>
      <c r="H830">
        <f>IF(Table1[[#This Row],[my_ent_1]]=Table1[[#This Row],[their_ent_1]], 1, 0)</f>
        <v>0</v>
      </c>
      <c r="I830">
        <f>IF(Table1[[#This Row],[my_ent_2]]=Table1[[#This Row],[their_ent_2]], 1, 0)</f>
        <v>1</v>
      </c>
      <c r="J830">
        <f>IF(Table1[[#This Row],[same_1]]=1 &amp; Table1[[#This Row],[same_2]]=1, 1, 0)</f>
        <v>0</v>
      </c>
      <c r="K830">
        <f>IF(ISNUMBER(SEARCH(Table1[[#This Row],[their_ent_1]],Table1[[#This Row],[my_ent_1]])), 1, 0)</f>
        <v>0</v>
      </c>
      <c r="L830">
        <f>IF(ISNUMBER(SEARCH(Table1[[#This Row],[their_ent_2]],Table1[[#This Row],[my_ent_2]])), 1, 0)</f>
        <v>1</v>
      </c>
    </row>
    <row r="831" spans="1:12" x14ac:dyDescent="0.3">
      <c r="A831" t="s">
        <v>2614</v>
      </c>
      <c r="B831" t="s">
        <v>2615</v>
      </c>
      <c r="C831" t="s">
        <v>171</v>
      </c>
      <c r="D831" t="s">
        <v>2616</v>
      </c>
      <c r="E831" t="s">
        <v>2616</v>
      </c>
      <c r="F831">
        <v>4</v>
      </c>
      <c r="G831">
        <v>829</v>
      </c>
      <c r="H831">
        <f>IF(Table1[[#This Row],[my_ent_1]]=Table1[[#This Row],[their_ent_1]], 1, 0)</f>
        <v>0</v>
      </c>
      <c r="I831">
        <f>IF(Table1[[#This Row],[my_ent_2]]=Table1[[#This Row],[their_ent_2]], 1, 0)</f>
        <v>1</v>
      </c>
      <c r="J831">
        <f>IF(Table1[[#This Row],[same_1]]=1 &amp; Table1[[#This Row],[same_2]]=1, 1, 0)</f>
        <v>0</v>
      </c>
      <c r="K831">
        <f>IF(ISNUMBER(SEARCH(Table1[[#This Row],[their_ent_1]],Table1[[#This Row],[my_ent_1]])), 1, 0)</f>
        <v>1</v>
      </c>
      <c r="L831">
        <f>IF(ISNUMBER(SEARCH(Table1[[#This Row],[their_ent_2]],Table1[[#This Row],[my_ent_2]])), 1, 0)</f>
        <v>1</v>
      </c>
    </row>
    <row r="832" spans="1:12" x14ac:dyDescent="0.3">
      <c r="A832" t="s">
        <v>2617</v>
      </c>
      <c r="B832" t="s">
        <v>20</v>
      </c>
      <c r="C832" t="s">
        <v>20</v>
      </c>
      <c r="D832" t="s">
        <v>175</v>
      </c>
      <c r="E832" t="s">
        <v>176</v>
      </c>
      <c r="F832">
        <v>3</v>
      </c>
      <c r="G832">
        <v>830</v>
      </c>
      <c r="H832">
        <f>IF(Table1[[#This Row],[my_ent_1]]=Table1[[#This Row],[their_ent_1]], 1, 0)</f>
        <v>1</v>
      </c>
      <c r="I832">
        <f>IF(Table1[[#This Row],[my_ent_2]]=Table1[[#This Row],[their_ent_2]], 1, 0)</f>
        <v>0</v>
      </c>
      <c r="J832">
        <f>IF(Table1[[#This Row],[same_1]]=1 &amp; Table1[[#This Row],[same_2]]=1, 1, 0)</f>
        <v>0</v>
      </c>
      <c r="K832">
        <f>IF(ISNUMBER(SEARCH(Table1[[#This Row],[their_ent_1]],Table1[[#This Row],[my_ent_1]])), 1, 0)</f>
        <v>1</v>
      </c>
      <c r="L832">
        <f>IF(ISNUMBER(SEARCH(Table1[[#This Row],[their_ent_2]],Table1[[#This Row],[my_ent_2]])), 1, 0)</f>
        <v>1</v>
      </c>
    </row>
    <row r="833" spans="1:12" x14ac:dyDescent="0.3">
      <c r="A833" t="s">
        <v>2618</v>
      </c>
      <c r="B833" t="s">
        <v>353</v>
      </c>
      <c r="C833" t="s">
        <v>296</v>
      </c>
      <c r="D833" t="s">
        <v>78</v>
      </c>
      <c r="E833" t="s">
        <v>324</v>
      </c>
      <c r="F833">
        <v>3</v>
      </c>
      <c r="G833">
        <v>831</v>
      </c>
      <c r="H833">
        <f>IF(Table1[[#This Row],[my_ent_1]]=Table1[[#This Row],[their_ent_1]], 1, 0)</f>
        <v>0</v>
      </c>
      <c r="I833">
        <f>IF(Table1[[#This Row],[my_ent_2]]=Table1[[#This Row],[their_ent_2]], 1, 0)</f>
        <v>0</v>
      </c>
      <c r="J833">
        <f>IF(Table1[[#This Row],[same_1]]=1 &amp; Table1[[#This Row],[same_2]]=1, 1, 0)</f>
        <v>0</v>
      </c>
      <c r="K833">
        <f>IF(ISNUMBER(SEARCH(Table1[[#This Row],[their_ent_1]],Table1[[#This Row],[my_ent_1]])), 1, 0)</f>
        <v>0</v>
      </c>
      <c r="L833">
        <f>IF(ISNUMBER(SEARCH(Table1[[#This Row],[their_ent_2]],Table1[[#This Row],[my_ent_2]])), 1, 0)</f>
        <v>0</v>
      </c>
    </row>
    <row r="834" spans="1:12" x14ac:dyDescent="0.3">
      <c r="A834" t="s">
        <v>2619</v>
      </c>
      <c r="B834" t="s">
        <v>2620</v>
      </c>
      <c r="C834" t="s">
        <v>2620</v>
      </c>
      <c r="D834" t="s">
        <v>2621</v>
      </c>
      <c r="E834" t="s">
        <v>2622</v>
      </c>
      <c r="F834">
        <v>3</v>
      </c>
      <c r="G834">
        <v>832</v>
      </c>
      <c r="H834">
        <f>IF(Table1[[#This Row],[my_ent_1]]=Table1[[#This Row],[their_ent_1]], 1, 0)</f>
        <v>1</v>
      </c>
      <c r="I834">
        <f>IF(Table1[[#This Row],[my_ent_2]]=Table1[[#This Row],[their_ent_2]], 1, 0)</f>
        <v>0</v>
      </c>
      <c r="J834">
        <f>IF(Table1[[#This Row],[same_1]]=1 &amp; Table1[[#This Row],[same_2]]=1, 1, 0)</f>
        <v>0</v>
      </c>
      <c r="K834">
        <f>IF(ISNUMBER(SEARCH(Table1[[#This Row],[their_ent_1]],Table1[[#This Row],[my_ent_1]])), 1, 0)</f>
        <v>1</v>
      </c>
      <c r="L834">
        <f>IF(ISNUMBER(SEARCH(Table1[[#This Row],[their_ent_2]],Table1[[#This Row],[my_ent_2]])), 1, 0)</f>
        <v>1</v>
      </c>
    </row>
    <row r="835" spans="1:12" x14ac:dyDescent="0.3">
      <c r="A835" t="s">
        <v>2623</v>
      </c>
      <c r="B835" t="s">
        <v>2624</v>
      </c>
      <c r="C835" t="s">
        <v>937</v>
      </c>
      <c r="D835" t="s">
        <v>20</v>
      </c>
      <c r="E835" t="s">
        <v>20</v>
      </c>
      <c r="F835">
        <v>3</v>
      </c>
      <c r="G835">
        <v>833</v>
      </c>
      <c r="H835">
        <f>IF(Table1[[#This Row],[my_ent_1]]=Table1[[#This Row],[their_ent_1]], 1, 0)</f>
        <v>0</v>
      </c>
      <c r="I835">
        <f>IF(Table1[[#This Row],[my_ent_2]]=Table1[[#This Row],[their_ent_2]], 1, 0)</f>
        <v>1</v>
      </c>
      <c r="J835">
        <f>IF(Table1[[#This Row],[same_1]]=1 &amp; Table1[[#This Row],[same_2]]=1, 1, 0)</f>
        <v>0</v>
      </c>
      <c r="K835">
        <f>IF(ISNUMBER(SEARCH(Table1[[#This Row],[their_ent_1]],Table1[[#This Row],[my_ent_1]])), 1, 0)</f>
        <v>0</v>
      </c>
      <c r="L835">
        <f>IF(ISNUMBER(SEARCH(Table1[[#This Row],[their_ent_2]],Table1[[#This Row],[my_ent_2]])), 1, 0)</f>
        <v>1</v>
      </c>
    </row>
    <row r="836" spans="1:12" x14ac:dyDescent="0.3">
      <c r="A836" t="s">
        <v>2625</v>
      </c>
      <c r="B836" t="s">
        <v>2626</v>
      </c>
      <c r="C836" t="s">
        <v>2626</v>
      </c>
      <c r="D836" t="s">
        <v>20</v>
      </c>
      <c r="E836" t="s">
        <v>407</v>
      </c>
      <c r="F836">
        <v>4</v>
      </c>
      <c r="G836">
        <v>834</v>
      </c>
      <c r="H836">
        <f>IF(Table1[[#This Row],[my_ent_1]]=Table1[[#This Row],[their_ent_1]], 1, 0)</f>
        <v>1</v>
      </c>
      <c r="I836">
        <f>IF(Table1[[#This Row],[my_ent_2]]=Table1[[#This Row],[their_ent_2]], 1, 0)</f>
        <v>0</v>
      </c>
      <c r="J836">
        <f>IF(Table1[[#This Row],[same_1]]=1 &amp; Table1[[#This Row],[same_2]]=1, 1, 0)</f>
        <v>0</v>
      </c>
      <c r="K836">
        <f>IF(ISNUMBER(SEARCH(Table1[[#This Row],[their_ent_1]],Table1[[#This Row],[my_ent_1]])), 1, 0)</f>
        <v>1</v>
      </c>
      <c r="L836">
        <f>IF(ISNUMBER(SEARCH(Table1[[#This Row],[their_ent_2]],Table1[[#This Row],[my_ent_2]])), 1, 0)</f>
        <v>0</v>
      </c>
    </row>
    <row r="837" spans="1:12" x14ac:dyDescent="0.3">
      <c r="A837" t="s">
        <v>2627</v>
      </c>
      <c r="B837" t="s">
        <v>2628</v>
      </c>
      <c r="C837" t="s">
        <v>2629</v>
      </c>
      <c r="D837" t="s">
        <v>2630</v>
      </c>
      <c r="E837" t="s">
        <v>2630</v>
      </c>
      <c r="F837">
        <v>1</v>
      </c>
      <c r="G837">
        <v>835</v>
      </c>
      <c r="H837">
        <f>IF(Table1[[#This Row],[my_ent_1]]=Table1[[#This Row],[their_ent_1]], 1, 0)</f>
        <v>0</v>
      </c>
      <c r="I837">
        <f>IF(Table1[[#This Row],[my_ent_2]]=Table1[[#This Row],[their_ent_2]], 1, 0)</f>
        <v>1</v>
      </c>
      <c r="J837">
        <f>IF(Table1[[#This Row],[same_1]]=1 &amp; Table1[[#This Row],[same_2]]=1, 1, 0)</f>
        <v>0</v>
      </c>
      <c r="K837">
        <f>IF(ISNUMBER(SEARCH(Table1[[#This Row],[their_ent_1]],Table1[[#This Row],[my_ent_1]])), 1, 0)</f>
        <v>0</v>
      </c>
      <c r="L837">
        <f>IF(ISNUMBER(SEARCH(Table1[[#This Row],[their_ent_2]],Table1[[#This Row],[my_ent_2]])), 1, 0)</f>
        <v>1</v>
      </c>
    </row>
    <row r="838" spans="1:12" x14ac:dyDescent="0.3">
      <c r="A838" t="s">
        <v>2631</v>
      </c>
      <c r="B838" t="s">
        <v>2632</v>
      </c>
      <c r="C838" t="s">
        <v>2633</v>
      </c>
      <c r="D838" t="s">
        <v>2634</v>
      </c>
      <c r="E838" t="s">
        <v>2634</v>
      </c>
      <c r="F838">
        <v>1</v>
      </c>
      <c r="G838">
        <v>836</v>
      </c>
      <c r="H838">
        <f>IF(Table1[[#This Row],[my_ent_1]]=Table1[[#This Row],[their_ent_1]], 1, 0)</f>
        <v>0</v>
      </c>
      <c r="I838">
        <f>IF(Table1[[#This Row],[my_ent_2]]=Table1[[#This Row],[their_ent_2]], 1, 0)</f>
        <v>1</v>
      </c>
      <c r="J838">
        <f>IF(Table1[[#This Row],[same_1]]=1 &amp; Table1[[#This Row],[same_2]]=1, 1, 0)</f>
        <v>0</v>
      </c>
      <c r="K838">
        <f>IF(ISNUMBER(SEARCH(Table1[[#This Row],[their_ent_1]],Table1[[#This Row],[my_ent_1]])), 1, 0)</f>
        <v>0</v>
      </c>
      <c r="L838">
        <f>IF(ISNUMBER(SEARCH(Table1[[#This Row],[their_ent_2]],Table1[[#This Row],[my_ent_2]])), 1, 0)</f>
        <v>1</v>
      </c>
    </row>
    <row r="839" spans="1:12" x14ac:dyDescent="0.3">
      <c r="A839" t="s">
        <v>2635</v>
      </c>
      <c r="B839" t="s">
        <v>2054</v>
      </c>
      <c r="C839" t="s">
        <v>2636</v>
      </c>
      <c r="D839" t="s">
        <v>2636</v>
      </c>
      <c r="E839" t="s">
        <v>1361</v>
      </c>
      <c r="F839">
        <v>2</v>
      </c>
      <c r="G839">
        <v>837</v>
      </c>
      <c r="H839">
        <f>IF(Table1[[#This Row],[my_ent_1]]=Table1[[#This Row],[their_ent_1]], 1, 0)</f>
        <v>0</v>
      </c>
      <c r="I839">
        <f>IF(Table1[[#This Row],[my_ent_2]]=Table1[[#This Row],[their_ent_2]], 1, 0)</f>
        <v>0</v>
      </c>
      <c r="J839">
        <f>IF(Table1[[#This Row],[same_1]]=1 &amp; Table1[[#This Row],[same_2]]=1, 1, 0)</f>
        <v>0</v>
      </c>
      <c r="K839">
        <f>IF(ISNUMBER(SEARCH(Table1[[#This Row],[their_ent_1]],Table1[[#This Row],[my_ent_1]])), 1, 0)</f>
        <v>0</v>
      </c>
      <c r="L839">
        <f>IF(ISNUMBER(SEARCH(Table1[[#This Row],[their_ent_2]],Table1[[#This Row],[my_ent_2]])), 1, 0)</f>
        <v>0</v>
      </c>
    </row>
    <row r="840" spans="1:12" x14ac:dyDescent="0.3">
      <c r="A840" t="s">
        <v>2637</v>
      </c>
      <c r="B840" t="s">
        <v>44</v>
      </c>
      <c r="C840" t="s">
        <v>44</v>
      </c>
      <c r="D840" t="s">
        <v>103</v>
      </c>
      <c r="E840" t="s">
        <v>643</v>
      </c>
      <c r="F840">
        <v>4</v>
      </c>
      <c r="G840">
        <v>838</v>
      </c>
      <c r="H840">
        <f>IF(Table1[[#This Row],[my_ent_1]]=Table1[[#This Row],[their_ent_1]], 1, 0)</f>
        <v>1</v>
      </c>
      <c r="I840">
        <f>IF(Table1[[#This Row],[my_ent_2]]=Table1[[#This Row],[their_ent_2]], 1, 0)</f>
        <v>0</v>
      </c>
      <c r="J840">
        <f>IF(Table1[[#This Row],[same_1]]=1 &amp; Table1[[#This Row],[same_2]]=1, 1, 0)</f>
        <v>0</v>
      </c>
      <c r="K840">
        <f>IF(ISNUMBER(SEARCH(Table1[[#This Row],[their_ent_1]],Table1[[#This Row],[my_ent_1]])), 1, 0)</f>
        <v>1</v>
      </c>
      <c r="L840">
        <f>IF(ISNUMBER(SEARCH(Table1[[#This Row],[their_ent_2]],Table1[[#This Row],[my_ent_2]])), 1, 0)</f>
        <v>0</v>
      </c>
    </row>
    <row r="841" spans="1:12" x14ac:dyDescent="0.3">
      <c r="A841" t="s">
        <v>2638</v>
      </c>
      <c r="B841" t="s">
        <v>2639</v>
      </c>
      <c r="C841" t="s">
        <v>2640</v>
      </c>
      <c r="D841" t="s">
        <v>2640</v>
      </c>
      <c r="E841" t="s">
        <v>127</v>
      </c>
      <c r="F841">
        <v>3</v>
      </c>
      <c r="G841">
        <v>839</v>
      </c>
      <c r="H841">
        <f>IF(Table1[[#This Row],[my_ent_1]]=Table1[[#This Row],[their_ent_1]], 1, 0)</f>
        <v>0</v>
      </c>
      <c r="I841">
        <f>IF(Table1[[#This Row],[my_ent_2]]=Table1[[#This Row],[their_ent_2]], 1, 0)</f>
        <v>0</v>
      </c>
      <c r="J841">
        <f>IF(Table1[[#This Row],[same_1]]=1 &amp; Table1[[#This Row],[same_2]]=1, 1, 0)</f>
        <v>0</v>
      </c>
      <c r="K841">
        <f>IF(ISNUMBER(SEARCH(Table1[[#This Row],[their_ent_1]],Table1[[#This Row],[my_ent_1]])), 1, 0)</f>
        <v>0</v>
      </c>
      <c r="L841">
        <f>IF(ISNUMBER(SEARCH(Table1[[#This Row],[their_ent_2]],Table1[[#This Row],[my_ent_2]])), 1, 0)</f>
        <v>0</v>
      </c>
    </row>
    <row r="842" spans="1:12" x14ac:dyDescent="0.3">
      <c r="A842" t="s">
        <v>2641</v>
      </c>
      <c r="B842" t="s">
        <v>2642</v>
      </c>
      <c r="C842" t="s">
        <v>2642</v>
      </c>
      <c r="D842" t="s">
        <v>2643</v>
      </c>
      <c r="E842" t="s">
        <v>1132</v>
      </c>
      <c r="F842">
        <v>2</v>
      </c>
      <c r="G842">
        <v>840</v>
      </c>
      <c r="H842">
        <f>IF(Table1[[#This Row],[my_ent_1]]=Table1[[#This Row],[their_ent_1]], 1, 0)</f>
        <v>1</v>
      </c>
      <c r="I842">
        <f>IF(Table1[[#This Row],[my_ent_2]]=Table1[[#This Row],[their_ent_2]], 1, 0)</f>
        <v>0</v>
      </c>
      <c r="J842">
        <f>IF(Table1[[#This Row],[same_1]]=1 &amp; Table1[[#This Row],[same_2]]=1, 1, 0)</f>
        <v>0</v>
      </c>
      <c r="K842">
        <f>IF(ISNUMBER(SEARCH(Table1[[#This Row],[their_ent_1]],Table1[[#This Row],[my_ent_1]])), 1, 0)</f>
        <v>1</v>
      </c>
      <c r="L842">
        <f>IF(ISNUMBER(SEARCH(Table1[[#This Row],[their_ent_2]],Table1[[#This Row],[my_ent_2]])), 1, 0)</f>
        <v>0</v>
      </c>
    </row>
    <row r="843" spans="1:12" x14ac:dyDescent="0.3">
      <c r="A843" t="s">
        <v>2644</v>
      </c>
      <c r="B843" t="s">
        <v>2645</v>
      </c>
      <c r="C843" t="s">
        <v>1651</v>
      </c>
      <c r="D843" t="s">
        <v>1651</v>
      </c>
      <c r="E843" t="s">
        <v>2646</v>
      </c>
      <c r="F843">
        <v>1</v>
      </c>
      <c r="G843">
        <v>841</v>
      </c>
      <c r="H843">
        <f>IF(Table1[[#This Row],[my_ent_1]]=Table1[[#This Row],[their_ent_1]], 1, 0)</f>
        <v>0</v>
      </c>
      <c r="I843">
        <f>IF(Table1[[#This Row],[my_ent_2]]=Table1[[#This Row],[their_ent_2]], 1, 0)</f>
        <v>0</v>
      </c>
      <c r="J843">
        <f>IF(Table1[[#This Row],[same_1]]=1 &amp; Table1[[#This Row],[same_2]]=1, 1, 0)</f>
        <v>0</v>
      </c>
      <c r="K843">
        <f>IF(ISNUMBER(SEARCH(Table1[[#This Row],[their_ent_1]],Table1[[#This Row],[my_ent_1]])), 1, 0)</f>
        <v>0</v>
      </c>
      <c r="L843">
        <f>IF(ISNUMBER(SEARCH(Table1[[#This Row],[their_ent_2]],Table1[[#This Row],[my_ent_2]])), 1, 0)</f>
        <v>0</v>
      </c>
    </row>
    <row r="844" spans="1:12" x14ac:dyDescent="0.3">
      <c r="A844" t="s">
        <v>2647</v>
      </c>
      <c r="B844" t="s">
        <v>2648</v>
      </c>
      <c r="C844" t="s">
        <v>2648</v>
      </c>
      <c r="D844" t="s">
        <v>2649</v>
      </c>
      <c r="E844" t="s">
        <v>26</v>
      </c>
      <c r="F844">
        <v>1</v>
      </c>
      <c r="G844">
        <v>842</v>
      </c>
      <c r="H844">
        <f>IF(Table1[[#This Row],[my_ent_1]]=Table1[[#This Row],[their_ent_1]], 1, 0)</f>
        <v>1</v>
      </c>
      <c r="I844">
        <f>IF(Table1[[#This Row],[my_ent_2]]=Table1[[#This Row],[their_ent_2]], 1, 0)</f>
        <v>0</v>
      </c>
      <c r="J844">
        <f>IF(Table1[[#This Row],[same_1]]=1 &amp; Table1[[#This Row],[same_2]]=1, 1, 0)</f>
        <v>0</v>
      </c>
      <c r="K844">
        <f>IF(ISNUMBER(SEARCH(Table1[[#This Row],[their_ent_1]],Table1[[#This Row],[my_ent_1]])), 1, 0)</f>
        <v>1</v>
      </c>
      <c r="L844">
        <f>IF(ISNUMBER(SEARCH(Table1[[#This Row],[their_ent_2]],Table1[[#This Row],[my_ent_2]])), 1, 0)</f>
        <v>1</v>
      </c>
    </row>
    <row r="845" spans="1:12" x14ac:dyDescent="0.3">
      <c r="A845" t="s">
        <v>2650</v>
      </c>
      <c r="B845" t="s">
        <v>2651</v>
      </c>
      <c r="C845" t="s">
        <v>2652</v>
      </c>
      <c r="D845" t="s">
        <v>2653</v>
      </c>
      <c r="E845" t="s">
        <v>1774</v>
      </c>
      <c r="F845">
        <v>3</v>
      </c>
      <c r="G845">
        <v>843</v>
      </c>
      <c r="H845">
        <f>IF(Table1[[#This Row],[my_ent_1]]=Table1[[#This Row],[their_ent_1]], 1, 0)</f>
        <v>0</v>
      </c>
      <c r="I845">
        <f>IF(Table1[[#This Row],[my_ent_2]]=Table1[[#This Row],[their_ent_2]], 1, 0)</f>
        <v>0</v>
      </c>
      <c r="J845">
        <f>IF(Table1[[#This Row],[same_1]]=1 &amp; Table1[[#This Row],[same_2]]=1, 1, 0)</f>
        <v>0</v>
      </c>
      <c r="K845">
        <f>IF(ISNUMBER(SEARCH(Table1[[#This Row],[their_ent_1]],Table1[[#This Row],[my_ent_1]])), 1, 0)</f>
        <v>0</v>
      </c>
      <c r="L845">
        <f>IF(ISNUMBER(SEARCH(Table1[[#This Row],[their_ent_2]],Table1[[#This Row],[my_ent_2]])), 1, 0)</f>
        <v>0</v>
      </c>
    </row>
    <row r="846" spans="1:12" x14ac:dyDescent="0.3">
      <c r="A846" t="s">
        <v>2654</v>
      </c>
      <c r="B846" t="s">
        <v>2655</v>
      </c>
      <c r="C846" t="s">
        <v>2656</v>
      </c>
      <c r="D846" t="s">
        <v>2657</v>
      </c>
      <c r="E846" t="s">
        <v>2658</v>
      </c>
      <c r="F846">
        <v>4</v>
      </c>
      <c r="G846">
        <v>844</v>
      </c>
      <c r="H846">
        <f>IF(Table1[[#This Row],[my_ent_1]]=Table1[[#This Row],[their_ent_1]], 1, 0)</f>
        <v>0</v>
      </c>
      <c r="I846">
        <f>IF(Table1[[#This Row],[my_ent_2]]=Table1[[#This Row],[their_ent_2]], 1, 0)</f>
        <v>0</v>
      </c>
      <c r="J846">
        <f>IF(Table1[[#This Row],[same_1]]=1 &amp; Table1[[#This Row],[same_2]]=1, 1, 0)</f>
        <v>0</v>
      </c>
      <c r="K846">
        <f>IF(ISNUMBER(SEARCH(Table1[[#This Row],[their_ent_1]],Table1[[#This Row],[my_ent_1]])), 1, 0)</f>
        <v>0</v>
      </c>
      <c r="L846">
        <f>IF(ISNUMBER(SEARCH(Table1[[#This Row],[their_ent_2]],Table1[[#This Row],[my_ent_2]])), 1, 0)</f>
        <v>0</v>
      </c>
    </row>
    <row r="847" spans="1:12" x14ac:dyDescent="0.3">
      <c r="A847" t="s">
        <v>2510</v>
      </c>
      <c r="B847" t="s">
        <v>381</v>
      </c>
      <c r="C847" t="s">
        <v>381</v>
      </c>
      <c r="D847" t="s">
        <v>863</v>
      </c>
      <c r="E847" t="s">
        <v>864</v>
      </c>
      <c r="F847">
        <v>3</v>
      </c>
      <c r="G847">
        <v>845</v>
      </c>
      <c r="H847">
        <f>IF(Table1[[#This Row],[my_ent_1]]=Table1[[#This Row],[their_ent_1]], 1, 0)</f>
        <v>1</v>
      </c>
      <c r="I847">
        <f>IF(Table1[[#This Row],[my_ent_2]]=Table1[[#This Row],[their_ent_2]], 1, 0)</f>
        <v>0</v>
      </c>
      <c r="J847">
        <f>IF(Table1[[#This Row],[same_1]]=1 &amp; Table1[[#This Row],[same_2]]=1, 1, 0)</f>
        <v>0</v>
      </c>
      <c r="K847">
        <f>IF(ISNUMBER(SEARCH(Table1[[#This Row],[their_ent_1]],Table1[[#This Row],[my_ent_1]])), 1, 0)</f>
        <v>1</v>
      </c>
      <c r="L847">
        <f>IF(ISNUMBER(SEARCH(Table1[[#This Row],[their_ent_2]],Table1[[#This Row],[my_ent_2]])), 1, 0)</f>
        <v>1</v>
      </c>
    </row>
    <row r="848" spans="1:12" x14ac:dyDescent="0.3">
      <c r="A848" t="s">
        <v>2659</v>
      </c>
      <c r="B848" t="s">
        <v>202</v>
      </c>
      <c r="C848" t="s">
        <v>353</v>
      </c>
      <c r="D848" t="s">
        <v>1941</v>
      </c>
      <c r="E848" t="s">
        <v>1941</v>
      </c>
      <c r="F848">
        <v>1</v>
      </c>
      <c r="G848">
        <v>846</v>
      </c>
      <c r="H848">
        <f>IF(Table1[[#This Row],[my_ent_1]]=Table1[[#This Row],[their_ent_1]], 1, 0)</f>
        <v>0</v>
      </c>
      <c r="I848">
        <f>IF(Table1[[#This Row],[my_ent_2]]=Table1[[#This Row],[their_ent_2]], 1, 0)</f>
        <v>1</v>
      </c>
      <c r="J848">
        <f>IF(Table1[[#This Row],[same_1]]=1 &amp; Table1[[#This Row],[same_2]]=1, 1, 0)</f>
        <v>0</v>
      </c>
      <c r="K848">
        <f>IF(ISNUMBER(SEARCH(Table1[[#This Row],[their_ent_1]],Table1[[#This Row],[my_ent_1]])), 1, 0)</f>
        <v>1</v>
      </c>
      <c r="L848">
        <f>IF(ISNUMBER(SEARCH(Table1[[#This Row],[their_ent_2]],Table1[[#This Row],[my_ent_2]])), 1, 0)</f>
        <v>1</v>
      </c>
    </row>
    <row r="849" spans="1:12" x14ac:dyDescent="0.3">
      <c r="A849" t="s">
        <v>2660</v>
      </c>
      <c r="B849" t="s">
        <v>2661</v>
      </c>
      <c r="C849" t="s">
        <v>2661</v>
      </c>
      <c r="D849" t="s">
        <v>2662</v>
      </c>
      <c r="E849" t="s">
        <v>2663</v>
      </c>
      <c r="F849">
        <v>1</v>
      </c>
      <c r="G849">
        <v>847</v>
      </c>
      <c r="H849">
        <f>IF(Table1[[#This Row],[my_ent_1]]=Table1[[#This Row],[their_ent_1]], 1, 0)</f>
        <v>1</v>
      </c>
      <c r="I849">
        <f>IF(Table1[[#This Row],[my_ent_2]]=Table1[[#This Row],[their_ent_2]], 1, 0)</f>
        <v>0</v>
      </c>
      <c r="J849">
        <f>IF(Table1[[#This Row],[same_1]]=1 &amp; Table1[[#This Row],[same_2]]=1, 1, 0)</f>
        <v>0</v>
      </c>
      <c r="K849">
        <f>IF(ISNUMBER(SEARCH(Table1[[#This Row],[their_ent_1]],Table1[[#This Row],[my_ent_1]])), 1, 0)</f>
        <v>1</v>
      </c>
      <c r="L849">
        <f>IF(ISNUMBER(SEARCH(Table1[[#This Row],[their_ent_2]],Table1[[#This Row],[my_ent_2]])), 1, 0)</f>
        <v>0</v>
      </c>
    </row>
    <row r="850" spans="1:12" x14ac:dyDescent="0.3">
      <c r="A850" t="s">
        <v>2664</v>
      </c>
      <c r="B850" t="s">
        <v>238</v>
      </c>
      <c r="C850" t="s">
        <v>238</v>
      </c>
      <c r="D850" t="s">
        <v>2665</v>
      </c>
      <c r="E850" t="s">
        <v>2666</v>
      </c>
      <c r="F850">
        <v>3</v>
      </c>
      <c r="G850">
        <v>848</v>
      </c>
      <c r="H850">
        <f>IF(Table1[[#This Row],[my_ent_1]]=Table1[[#This Row],[their_ent_1]], 1, 0)</f>
        <v>1</v>
      </c>
      <c r="I850">
        <f>IF(Table1[[#This Row],[my_ent_2]]=Table1[[#This Row],[their_ent_2]], 1, 0)</f>
        <v>0</v>
      </c>
      <c r="J850">
        <f>IF(Table1[[#This Row],[same_1]]=1 &amp; Table1[[#This Row],[same_2]]=1, 1, 0)</f>
        <v>0</v>
      </c>
      <c r="K850">
        <f>IF(ISNUMBER(SEARCH(Table1[[#This Row],[their_ent_1]],Table1[[#This Row],[my_ent_1]])), 1, 0)</f>
        <v>1</v>
      </c>
      <c r="L850">
        <f>IF(ISNUMBER(SEARCH(Table1[[#This Row],[their_ent_2]],Table1[[#This Row],[my_ent_2]])), 1, 0)</f>
        <v>0</v>
      </c>
    </row>
    <row r="851" spans="1:12" x14ac:dyDescent="0.3">
      <c r="A851" t="s">
        <v>2667</v>
      </c>
      <c r="B851" t="s">
        <v>2668</v>
      </c>
      <c r="C851" t="s">
        <v>2669</v>
      </c>
      <c r="D851" t="s">
        <v>2669</v>
      </c>
      <c r="E851" t="s">
        <v>1377</v>
      </c>
      <c r="F851">
        <v>3</v>
      </c>
      <c r="G851">
        <v>849</v>
      </c>
      <c r="H851">
        <f>IF(Table1[[#This Row],[my_ent_1]]=Table1[[#This Row],[their_ent_1]], 1, 0)</f>
        <v>0</v>
      </c>
      <c r="I851">
        <f>IF(Table1[[#This Row],[my_ent_2]]=Table1[[#This Row],[their_ent_2]], 1, 0)</f>
        <v>0</v>
      </c>
      <c r="J851">
        <f>IF(Table1[[#This Row],[same_1]]=1 &amp; Table1[[#This Row],[same_2]]=1, 1, 0)</f>
        <v>0</v>
      </c>
      <c r="K851">
        <f>IF(ISNUMBER(SEARCH(Table1[[#This Row],[their_ent_1]],Table1[[#This Row],[my_ent_1]])), 1, 0)</f>
        <v>0</v>
      </c>
      <c r="L851">
        <f>IF(ISNUMBER(SEARCH(Table1[[#This Row],[their_ent_2]],Table1[[#This Row],[my_ent_2]])), 1, 0)</f>
        <v>0</v>
      </c>
    </row>
    <row r="852" spans="1:12" x14ac:dyDescent="0.3">
      <c r="A852" t="s">
        <v>2670</v>
      </c>
      <c r="B852" t="s">
        <v>450</v>
      </c>
      <c r="C852" t="s">
        <v>2671</v>
      </c>
      <c r="D852" t="s">
        <v>2672</v>
      </c>
      <c r="E852" t="s">
        <v>2672</v>
      </c>
      <c r="F852">
        <v>2</v>
      </c>
      <c r="G852">
        <v>850</v>
      </c>
      <c r="H852">
        <f>IF(Table1[[#This Row],[my_ent_1]]=Table1[[#This Row],[their_ent_1]], 1, 0)</f>
        <v>0</v>
      </c>
      <c r="I852">
        <f>IF(Table1[[#This Row],[my_ent_2]]=Table1[[#This Row],[their_ent_2]], 1, 0)</f>
        <v>1</v>
      </c>
      <c r="J852">
        <f>IF(Table1[[#This Row],[same_1]]=1 &amp; Table1[[#This Row],[same_2]]=1, 1, 0)</f>
        <v>0</v>
      </c>
      <c r="K852">
        <f>IF(ISNUMBER(SEARCH(Table1[[#This Row],[their_ent_1]],Table1[[#This Row],[my_ent_1]])), 1, 0)</f>
        <v>0</v>
      </c>
      <c r="L852">
        <f>IF(ISNUMBER(SEARCH(Table1[[#This Row],[their_ent_2]],Table1[[#This Row],[my_ent_2]])), 1, 0)</f>
        <v>1</v>
      </c>
    </row>
    <row r="853" spans="1:12" x14ac:dyDescent="0.3">
      <c r="A853" t="s">
        <v>2673</v>
      </c>
      <c r="B853" t="s">
        <v>860</v>
      </c>
      <c r="C853" t="s">
        <v>2674</v>
      </c>
      <c r="D853" t="s">
        <v>2674</v>
      </c>
      <c r="E853" t="s">
        <v>103</v>
      </c>
      <c r="F853">
        <v>3</v>
      </c>
      <c r="G853">
        <v>851</v>
      </c>
      <c r="H853">
        <f>IF(Table1[[#This Row],[my_ent_1]]=Table1[[#This Row],[their_ent_1]], 1, 0)</f>
        <v>0</v>
      </c>
      <c r="I853">
        <f>IF(Table1[[#This Row],[my_ent_2]]=Table1[[#This Row],[their_ent_2]], 1, 0)</f>
        <v>0</v>
      </c>
      <c r="J853">
        <f>IF(Table1[[#This Row],[same_1]]=1 &amp; Table1[[#This Row],[same_2]]=1, 1, 0)</f>
        <v>0</v>
      </c>
      <c r="K853">
        <f>IF(ISNUMBER(SEARCH(Table1[[#This Row],[their_ent_1]],Table1[[#This Row],[my_ent_1]])), 1, 0)</f>
        <v>0</v>
      </c>
      <c r="L853">
        <f>IF(ISNUMBER(SEARCH(Table1[[#This Row],[their_ent_2]],Table1[[#This Row],[my_ent_2]])), 1, 0)</f>
        <v>0</v>
      </c>
    </row>
    <row r="854" spans="1:12" x14ac:dyDescent="0.3">
      <c r="A854" t="s">
        <v>2675</v>
      </c>
      <c r="B854" t="s">
        <v>2676</v>
      </c>
      <c r="C854" t="s">
        <v>2677</v>
      </c>
      <c r="D854" t="s">
        <v>59</v>
      </c>
      <c r="E854" t="s">
        <v>2678</v>
      </c>
      <c r="F854">
        <v>3</v>
      </c>
      <c r="G854">
        <v>852</v>
      </c>
      <c r="H854">
        <f>IF(Table1[[#This Row],[my_ent_1]]=Table1[[#This Row],[their_ent_1]], 1, 0)</f>
        <v>0</v>
      </c>
      <c r="I854">
        <f>IF(Table1[[#This Row],[my_ent_2]]=Table1[[#This Row],[their_ent_2]], 1, 0)</f>
        <v>0</v>
      </c>
      <c r="J854">
        <f>IF(Table1[[#This Row],[same_1]]=1 &amp; Table1[[#This Row],[same_2]]=1, 1, 0)</f>
        <v>0</v>
      </c>
      <c r="K854">
        <f>IF(ISNUMBER(SEARCH(Table1[[#This Row],[their_ent_1]],Table1[[#This Row],[my_ent_1]])), 1, 0)</f>
        <v>1</v>
      </c>
      <c r="L854">
        <f>IF(ISNUMBER(SEARCH(Table1[[#This Row],[their_ent_2]],Table1[[#This Row],[my_ent_2]])), 1, 0)</f>
        <v>0</v>
      </c>
    </row>
    <row r="855" spans="1:12" x14ac:dyDescent="0.3">
      <c r="A855" t="s">
        <v>2679</v>
      </c>
      <c r="B855" t="s">
        <v>20</v>
      </c>
      <c r="C855" t="s">
        <v>20</v>
      </c>
      <c r="D855" t="s">
        <v>202</v>
      </c>
      <c r="E855" t="s">
        <v>353</v>
      </c>
      <c r="F855">
        <v>3</v>
      </c>
      <c r="G855">
        <v>853</v>
      </c>
      <c r="H855">
        <f>IF(Table1[[#This Row],[my_ent_1]]=Table1[[#This Row],[their_ent_1]], 1, 0)</f>
        <v>1</v>
      </c>
      <c r="I855">
        <f>IF(Table1[[#This Row],[my_ent_2]]=Table1[[#This Row],[their_ent_2]], 1, 0)</f>
        <v>0</v>
      </c>
      <c r="J855">
        <f>IF(Table1[[#This Row],[same_1]]=1 &amp; Table1[[#This Row],[same_2]]=1, 1, 0)</f>
        <v>0</v>
      </c>
      <c r="K855">
        <f>IF(ISNUMBER(SEARCH(Table1[[#This Row],[their_ent_1]],Table1[[#This Row],[my_ent_1]])), 1, 0)</f>
        <v>1</v>
      </c>
      <c r="L855">
        <f>IF(ISNUMBER(SEARCH(Table1[[#This Row],[their_ent_2]],Table1[[#This Row],[my_ent_2]])), 1, 0)</f>
        <v>1</v>
      </c>
    </row>
    <row r="856" spans="1:12" x14ac:dyDescent="0.3">
      <c r="A856" t="s">
        <v>2680</v>
      </c>
      <c r="B856" t="s">
        <v>175</v>
      </c>
      <c r="C856" t="s">
        <v>176</v>
      </c>
      <c r="D856" t="s">
        <v>63</v>
      </c>
      <c r="E856" t="s">
        <v>63</v>
      </c>
      <c r="F856">
        <v>3</v>
      </c>
      <c r="G856">
        <v>854</v>
      </c>
      <c r="H856">
        <f>IF(Table1[[#This Row],[my_ent_1]]=Table1[[#This Row],[their_ent_1]], 1, 0)</f>
        <v>0</v>
      </c>
      <c r="I856">
        <f>IF(Table1[[#This Row],[my_ent_2]]=Table1[[#This Row],[their_ent_2]], 1, 0)</f>
        <v>1</v>
      </c>
      <c r="J856">
        <f>IF(Table1[[#This Row],[same_1]]=1 &amp; Table1[[#This Row],[same_2]]=1, 1, 0)</f>
        <v>0</v>
      </c>
      <c r="K856">
        <f>IF(ISNUMBER(SEARCH(Table1[[#This Row],[their_ent_1]],Table1[[#This Row],[my_ent_1]])), 1, 0)</f>
        <v>1</v>
      </c>
      <c r="L856">
        <f>IF(ISNUMBER(SEARCH(Table1[[#This Row],[their_ent_2]],Table1[[#This Row],[my_ent_2]])), 1, 0)</f>
        <v>1</v>
      </c>
    </row>
    <row r="857" spans="1:12" x14ac:dyDescent="0.3">
      <c r="A857" t="s">
        <v>2681</v>
      </c>
      <c r="B857" t="s">
        <v>2682</v>
      </c>
      <c r="C857" t="s">
        <v>2682</v>
      </c>
      <c r="D857" t="s">
        <v>376</v>
      </c>
      <c r="E857" t="s">
        <v>392</v>
      </c>
      <c r="F857">
        <v>1</v>
      </c>
      <c r="G857">
        <v>855</v>
      </c>
      <c r="H857">
        <f>IF(Table1[[#This Row],[my_ent_1]]=Table1[[#This Row],[their_ent_1]], 1, 0)</f>
        <v>1</v>
      </c>
      <c r="I857">
        <f>IF(Table1[[#This Row],[my_ent_2]]=Table1[[#This Row],[their_ent_2]], 1, 0)</f>
        <v>0</v>
      </c>
      <c r="J857">
        <f>IF(Table1[[#This Row],[same_1]]=1 &amp; Table1[[#This Row],[same_2]]=1, 1, 0)</f>
        <v>0</v>
      </c>
      <c r="K857">
        <f>IF(ISNUMBER(SEARCH(Table1[[#This Row],[their_ent_1]],Table1[[#This Row],[my_ent_1]])), 1, 0)</f>
        <v>1</v>
      </c>
      <c r="L857">
        <f>IF(ISNUMBER(SEARCH(Table1[[#This Row],[their_ent_2]],Table1[[#This Row],[my_ent_2]])), 1, 0)</f>
        <v>0</v>
      </c>
    </row>
    <row r="858" spans="1:12" x14ac:dyDescent="0.3">
      <c r="A858" t="s">
        <v>2683</v>
      </c>
      <c r="B858" t="s">
        <v>191</v>
      </c>
      <c r="C858" t="s">
        <v>191</v>
      </c>
      <c r="D858" t="s">
        <v>918</v>
      </c>
      <c r="E858" t="s">
        <v>2684</v>
      </c>
      <c r="F858">
        <v>2</v>
      </c>
      <c r="G858">
        <v>856</v>
      </c>
      <c r="H858">
        <f>IF(Table1[[#This Row],[my_ent_1]]=Table1[[#This Row],[their_ent_1]], 1, 0)</f>
        <v>1</v>
      </c>
      <c r="I858">
        <f>IF(Table1[[#This Row],[my_ent_2]]=Table1[[#This Row],[their_ent_2]], 1, 0)</f>
        <v>0</v>
      </c>
      <c r="J858">
        <f>IF(Table1[[#This Row],[same_1]]=1 &amp; Table1[[#This Row],[same_2]]=1, 1, 0)</f>
        <v>0</v>
      </c>
      <c r="K858">
        <f>IF(ISNUMBER(SEARCH(Table1[[#This Row],[their_ent_1]],Table1[[#This Row],[my_ent_1]])), 1, 0)</f>
        <v>1</v>
      </c>
      <c r="L858">
        <f>IF(ISNUMBER(SEARCH(Table1[[#This Row],[their_ent_2]],Table1[[#This Row],[my_ent_2]])), 1, 0)</f>
        <v>0</v>
      </c>
    </row>
    <row r="859" spans="1:12" x14ac:dyDescent="0.3">
      <c r="A859" t="s">
        <v>2685</v>
      </c>
      <c r="B859" t="s">
        <v>281</v>
      </c>
      <c r="C859" t="s">
        <v>2686</v>
      </c>
      <c r="D859" t="s">
        <v>2687</v>
      </c>
      <c r="E859" t="s">
        <v>279</v>
      </c>
      <c r="F859">
        <v>3</v>
      </c>
      <c r="G859">
        <v>857</v>
      </c>
      <c r="H859">
        <f>IF(Table1[[#This Row],[my_ent_1]]=Table1[[#This Row],[their_ent_1]], 1, 0)</f>
        <v>0</v>
      </c>
      <c r="I859">
        <f>IF(Table1[[#This Row],[my_ent_2]]=Table1[[#This Row],[their_ent_2]], 1, 0)</f>
        <v>0</v>
      </c>
      <c r="J859">
        <f>IF(Table1[[#This Row],[same_1]]=1 &amp; Table1[[#This Row],[same_2]]=1, 1, 0)</f>
        <v>0</v>
      </c>
      <c r="K859">
        <f>IF(ISNUMBER(SEARCH(Table1[[#This Row],[their_ent_1]],Table1[[#This Row],[my_ent_1]])), 1, 0)</f>
        <v>0</v>
      </c>
      <c r="L859">
        <f>IF(ISNUMBER(SEARCH(Table1[[#This Row],[their_ent_2]],Table1[[#This Row],[my_ent_2]])), 1, 0)</f>
        <v>0</v>
      </c>
    </row>
    <row r="860" spans="1:12" x14ac:dyDescent="0.3">
      <c r="A860" t="s">
        <v>2688</v>
      </c>
      <c r="B860" t="s">
        <v>2689</v>
      </c>
      <c r="C860" t="s">
        <v>2689</v>
      </c>
      <c r="D860" t="s">
        <v>2690</v>
      </c>
      <c r="E860" t="s">
        <v>2691</v>
      </c>
      <c r="F860">
        <v>3</v>
      </c>
      <c r="G860">
        <v>858</v>
      </c>
      <c r="H860">
        <f>IF(Table1[[#This Row],[my_ent_1]]=Table1[[#This Row],[their_ent_1]], 1, 0)</f>
        <v>1</v>
      </c>
      <c r="I860">
        <f>IF(Table1[[#This Row],[my_ent_2]]=Table1[[#This Row],[their_ent_2]], 1, 0)</f>
        <v>0</v>
      </c>
      <c r="J860">
        <f>IF(Table1[[#This Row],[same_1]]=1 &amp; Table1[[#This Row],[same_2]]=1, 1, 0)</f>
        <v>0</v>
      </c>
      <c r="K860">
        <f>IF(ISNUMBER(SEARCH(Table1[[#This Row],[their_ent_1]],Table1[[#This Row],[my_ent_1]])), 1, 0)</f>
        <v>1</v>
      </c>
      <c r="L860">
        <f>IF(ISNUMBER(SEARCH(Table1[[#This Row],[their_ent_2]],Table1[[#This Row],[my_ent_2]])), 1, 0)</f>
        <v>1</v>
      </c>
    </row>
    <row r="861" spans="1:12" x14ac:dyDescent="0.3">
      <c r="A861" t="s">
        <v>2692</v>
      </c>
      <c r="B861" t="s">
        <v>2530</v>
      </c>
      <c r="C861" t="s">
        <v>2530</v>
      </c>
      <c r="D861" t="s">
        <v>157</v>
      </c>
      <c r="E861" t="s">
        <v>894</v>
      </c>
      <c r="F861">
        <v>1</v>
      </c>
      <c r="G861">
        <v>859</v>
      </c>
      <c r="H861">
        <f>IF(Table1[[#This Row],[my_ent_1]]=Table1[[#This Row],[their_ent_1]], 1, 0)</f>
        <v>1</v>
      </c>
      <c r="I861">
        <f>IF(Table1[[#This Row],[my_ent_2]]=Table1[[#This Row],[their_ent_2]], 1, 0)</f>
        <v>0</v>
      </c>
      <c r="J861">
        <f>IF(Table1[[#This Row],[same_1]]=1 &amp; Table1[[#This Row],[same_2]]=1, 1, 0)</f>
        <v>0</v>
      </c>
      <c r="K861">
        <f>IF(ISNUMBER(SEARCH(Table1[[#This Row],[their_ent_1]],Table1[[#This Row],[my_ent_1]])), 1, 0)</f>
        <v>1</v>
      </c>
      <c r="L861">
        <f>IF(ISNUMBER(SEARCH(Table1[[#This Row],[their_ent_2]],Table1[[#This Row],[my_ent_2]])), 1, 0)</f>
        <v>0</v>
      </c>
    </row>
    <row r="862" spans="1:12" x14ac:dyDescent="0.3">
      <c r="A862" t="s">
        <v>2693</v>
      </c>
      <c r="B862" t="s">
        <v>2104</v>
      </c>
      <c r="C862" t="s">
        <v>2104</v>
      </c>
      <c r="D862" t="s">
        <v>2694</v>
      </c>
      <c r="E862" t="s">
        <v>31</v>
      </c>
      <c r="F862">
        <v>3</v>
      </c>
      <c r="G862">
        <v>860</v>
      </c>
      <c r="H862">
        <f>IF(Table1[[#This Row],[my_ent_1]]=Table1[[#This Row],[their_ent_1]], 1, 0)</f>
        <v>1</v>
      </c>
      <c r="I862">
        <f>IF(Table1[[#This Row],[my_ent_2]]=Table1[[#This Row],[their_ent_2]], 1, 0)</f>
        <v>0</v>
      </c>
      <c r="J862">
        <f>IF(Table1[[#This Row],[same_1]]=1 &amp; Table1[[#This Row],[same_2]]=1, 1, 0)</f>
        <v>0</v>
      </c>
      <c r="K862">
        <f>IF(ISNUMBER(SEARCH(Table1[[#This Row],[their_ent_1]],Table1[[#This Row],[my_ent_1]])), 1, 0)</f>
        <v>1</v>
      </c>
      <c r="L862">
        <f>IF(ISNUMBER(SEARCH(Table1[[#This Row],[their_ent_2]],Table1[[#This Row],[my_ent_2]])), 1, 0)</f>
        <v>0</v>
      </c>
    </row>
    <row r="863" spans="1:12" x14ac:dyDescent="0.3">
      <c r="A863" t="s">
        <v>2695</v>
      </c>
      <c r="B863" t="s">
        <v>2696</v>
      </c>
      <c r="C863" t="s">
        <v>381</v>
      </c>
      <c r="D863" t="s">
        <v>26</v>
      </c>
      <c r="E863" t="s">
        <v>707</v>
      </c>
      <c r="F863">
        <v>1</v>
      </c>
      <c r="G863">
        <v>861</v>
      </c>
      <c r="H863">
        <f>IF(Table1[[#This Row],[my_ent_1]]=Table1[[#This Row],[their_ent_1]], 1, 0)</f>
        <v>0</v>
      </c>
      <c r="I863">
        <f>IF(Table1[[#This Row],[my_ent_2]]=Table1[[#This Row],[their_ent_2]], 1, 0)</f>
        <v>0</v>
      </c>
      <c r="J863">
        <f>IF(Table1[[#This Row],[same_1]]=1 &amp; Table1[[#This Row],[same_2]]=1, 1, 0)</f>
        <v>0</v>
      </c>
      <c r="K863">
        <f>IF(ISNUMBER(SEARCH(Table1[[#This Row],[their_ent_1]],Table1[[#This Row],[my_ent_1]])), 1, 0)</f>
        <v>1</v>
      </c>
      <c r="L863">
        <f>IF(ISNUMBER(SEARCH(Table1[[#This Row],[their_ent_2]],Table1[[#This Row],[my_ent_2]])), 1, 0)</f>
        <v>0</v>
      </c>
    </row>
    <row r="864" spans="1:12" x14ac:dyDescent="0.3">
      <c r="A864" t="s">
        <v>2697</v>
      </c>
      <c r="B864" t="s">
        <v>20</v>
      </c>
      <c r="C864" t="s">
        <v>20</v>
      </c>
      <c r="D864" t="s">
        <v>128</v>
      </c>
      <c r="E864" t="s">
        <v>1425</v>
      </c>
      <c r="F864">
        <v>1</v>
      </c>
      <c r="G864">
        <v>862</v>
      </c>
      <c r="H864">
        <f>IF(Table1[[#This Row],[my_ent_1]]=Table1[[#This Row],[their_ent_1]], 1, 0)</f>
        <v>1</v>
      </c>
      <c r="I864">
        <f>IF(Table1[[#This Row],[my_ent_2]]=Table1[[#This Row],[their_ent_2]], 1, 0)</f>
        <v>0</v>
      </c>
      <c r="J864">
        <f>IF(Table1[[#This Row],[same_1]]=1 &amp; Table1[[#This Row],[same_2]]=1, 1, 0)</f>
        <v>0</v>
      </c>
      <c r="K864">
        <f>IF(ISNUMBER(SEARCH(Table1[[#This Row],[their_ent_1]],Table1[[#This Row],[my_ent_1]])), 1, 0)</f>
        <v>1</v>
      </c>
      <c r="L864">
        <f>IF(ISNUMBER(SEARCH(Table1[[#This Row],[their_ent_2]],Table1[[#This Row],[my_ent_2]])), 1, 0)</f>
        <v>0</v>
      </c>
    </row>
    <row r="865" spans="1:12" x14ac:dyDescent="0.3">
      <c r="A865" t="s">
        <v>2698</v>
      </c>
      <c r="B865" t="s">
        <v>2699</v>
      </c>
      <c r="C865" t="s">
        <v>12</v>
      </c>
      <c r="D865" t="s">
        <v>959</v>
      </c>
      <c r="E865" t="s">
        <v>2699</v>
      </c>
      <c r="F865">
        <v>3</v>
      </c>
      <c r="G865">
        <v>863</v>
      </c>
      <c r="H865">
        <f>IF(Table1[[#This Row],[my_ent_1]]=Table1[[#This Row],[their_ent_1]], 1, 0)</f>
        <v>0</v>
      </c>
      <c r="I865">
        <f>IF(Table1[[#This Row],[my_ent_2]]=Table1[[#This Row],[their_ent_2]], 1, 0)</f>
        <v>0</v>
      </c>
      <c r="J865">
        <f>IF(Table1[[#This Row],[same_1]]=1 &amp; Table1[[#This Row],[same_2]]=1, 1, 0)</f>
        <v>0</v>
      </c>
      <c r="K865">
        <f>IF(ISNUMBER(SEARCH(Table1[[#This Row],[their_ent_1]],Table1[[#This Row],[my_ent_1]])), 1, 0)</f>
        <v>0</v>
      </c>
      <c r="L865">
        <f>IF(ISNUMBER(SEARCH(Table1[[#This Row],[their_ent_2]],Table1[[#This Row],[my_ent_2]])), 1, 0)</f>
        <v>0</v>
      </c>
    </row>
    <row r="866" spans="1:12" x14ac:dyDescent="0.3">
      <c r="A866" t="s">
        <v>2700</v>
      </c>
      <c r="B866" t="s">
        <v>2701</v>
      </c>
      <c r="C866" t="s">
        <v>2701</v>
      </c>
      <c r="D866" t="s">
        <v>1426</v>
      </c>
      <c r="E866" t="s">
        <v>2702</v>
      </c>
      <c r="F866">
        <v>1</v>
      </c>
      <c r="G866">
        <v>864</v>
      </c>
      <c r="H866">
        <f>IF(Table1[[#This Row],[my_ent_1]]=Table1[[#This Row],[their_ent_1]], 1, 0)</f>
        <v>1</v>
      </c>
      <c r="I866">
        <f>IF(Table1[[#This Row],[my_ent_2]]=Table1[[#This Row],[their_ent_2]], 1, 0)</f>
        <v>0</v>
      </c>
      <c r="J866">
        <f>IF(Table1[[#This Row],[same_1]]=1 &amp; Table1[[#This Row],[same_2]]=1, 1, 0)</f>
        <v>0</v>
      </c>
      <c r="K866">
        <f>IF(ISNUMBER(SEARCH(Table1[[#This Row],[their_ent_1]],Table1[[#This Row],[my_ent_1]])), 1, 0)</f>
        <v>1</v>
      </c>
      <c r="L866">
        <f>IF(ISNUMBER(SEARCH(Table1[[#This Row],[their_ent_2]],Table1[[#This Row],[my_ent_2]])), 1, 0)</f>
        <v>0</v>
      </c>
    </row>
    <row r="867" spans="1:12" x14ac:dyDescent="0.3">
      <c r="A867" t="s">
        <v>2703</v>
      </c>
      <c r="B867" t="s">
        <v>353</v>
      </c>
      <c r="C867" t="s">
        <v>353</v>
      </c>
      <c r="D867" t="s">
        <v>78</v>
      </c>
      <c r="E867" t="s">
        <v>2704</v>
      </c>
      <c r="F867">
        <v>1</v>
      </c>
      <c r="G867">
        <v>865</v>
      </c>
      <c r="H867">
        <f>IF(Table1[[#This Row],[my_ent_1]]=Table1[[#This Row],[their_ent_1]], 1, 0)</f>
        <v>1</v>
      </c>
      <c r="I867">
        <f>IF(Table1[[#This Row],[my_ent_2]]=Table1[[#This Row],[their_ent_2]], 1, 0)</f>
        <v>0</v>
      </c>
      <c r="J867">
        <f>IF(Table1[[#This Row],[same_1]]=1 &amp; Table1[[#This Row],[same_2]]=1, 1, 0)</f>
        <v>0</v>
      </c>
      <c r="K867">
        <f>IF(ISNUMBER(SEARCH(Table1[[#This Row],[their_ent_1]],Table1[[#This Row],[my_ent_1]])), 1, 0)</f>
        <v>1</v>
      </c>
      <c r="L867">
        <f>IF(ISNUMBER(SEARCH(Table1[[#This Row],[their_ent_2]],Table1[[#This Row],[my_ent_2]])), 1, 0)</f>
        <v>0</v>
      </c>
    </row>
    <row r="868" spans="1:12" x14ac:dyDescent="0.3">
      <c r="A868" t="s">
        <v>2705</v>
      </c>
      <c r="B868" t="s">
        <v>2706</v>
      </c>
      <c r="C868" t="s">
        <v>2706</v>
      </c>
      <c r="D868" t="s">
        <v>2707</v>
      </c>
      <c r="E868" t="s">
        <v>2708</v>
      </c>
      <c r="F868">
        <v>1</v>
      </c>
      <c r="G868">
        <v>866</v>
      </c>
      <c r="H868">
        <f>IF(Table1[[#This Row],[my_ent_1]]=Table1[[#This Row],[their_ent_1]], 1, 0)</f>
        <v>1</v>
      </c>
      <c r="I868">
        <f>IF(Table1[[#This Row],[my_ent_2]]=Table1[[#This Row],[their_ent_2]], 1, 0)</f>
        <v>0</v>
      </c>
      <c r="J868">
        <f>IF(Table1[[#This Row],[same_1]]=1 &amp; Table1[[#This Row],[same_2]]=1, 1, 0)</f>
        <v>0</v>
      </c>
      <c r="K868">
        <f>IF(ISNUMBER(SEARCH(Table1[[#This Row],[their_ent_1]],Table1[[#This Row],[my_ent_1]])), 1, 0)</f>
        <v>1</v>
      </c>
      <c r="L868">
        <f>IF(ISNUMBER(SEARCH(Table1[[#This Row],[their_ent_2]],Table1[[#This Row],[my_ent_2]])), 1, 0)</f>
        <v>1</v>
      </c>
    </row>
    <row r="869" spans="1:12" x14ac:dyDescent="0.3">
      <c r="A869" t="s">
        <v>2709</v>
      </c>
      <c r="B869" t="s">
        <v>2710</v>
      </c>
      <c r="C869" t="s">
        <v>2711</v>
      </c>
      <c r="D869" t="s">
        <v>2712</v>
      </c>
      <c r="E869" t="s">
        <v>2713</v>
      </c>
      <c r="F869">
        <v>3</v>
      </c>
      <c r="G869">
        <v>867</v>
      </c>
      <c r="H869">
        <f>IF(Table1[[#This Row],[my_ent_1]]=Table1[[#This Row],[their_ent_1]], 1, 0)</f>
        <v>0</v>
      </c>
      <c r="I869">
        <f>IF(Table1[[#This Row],[my_ent_2]]=Table1[[#This Row],[their_ent_2]], 1, 0)</f>
        <v>0</v>
      </c>
      <c r="J869">
        <f>IF(Table1[[#This Row],[same_1]]=1 &amp; Table1[[#This Row],[same_2]]=1, 1, 0)</f>
        <v>0</v>
      </c>
      <c r="K869">
        <f>IF(ISNUMBER(SEARCH(Table1[[#This Row],[their_ent_1]],Table1[[#This Row],[my_ent_1]])), 1, 0)</f>
        <v>0</v>
      </c>
      <c r="L869">
        <f>IF(ISNUMBER(SEARCH(Table1[[#This Row],[their_ent_2]],Table1[[#This Row],[my_ent_2]])), 1, 0)</f>
        <v>0</v>
      </c>
    </row>
    <row r="870" spans="1:12" x14ac:dyDescent="0.3">
      <c r="A870" t="s">
        <v>2714</v>
      </c>
      <c r="B870" t="s">
        <v>2715</v>
      </c>
      <c r="C870" t="s">
        <v>2715</v>
      </c>
      <c r="D870" t="s">
        <v>2280</v>
      </c>
      <c r="E870" t="s">
        <v>26</v>
      </c>
      <c r="F870">
        <v>1</v>
      </c>
      <c r="G870">
        <v>868</v>
      </c>
      <c r="H870">
        <f>IF(Table1[[#This Row],[my_ent_1]]=Table1[[#This Row],[their_ent_1]], 1, 0)</f>
        <v>1</v>
      </c>
      <c r="I870">
        <f>IF(Table1[[#This Row],[my_ent_2]]=Table1[[#This Row],[their_ent_2]], 1, 0)</f>
        <v>0</v>
      </c>
      <c r="J870">
        <f>IF(Table1[[#This Row],[same_1]]=1 &amp; Table1[[#This Row],[same_2]]=1, 1, 0)</f>
        <v>0</v>
      </c>
      <c r="K870">
        <f>IF(ISNUMBER(SEARCH(Table1[[#This Row],[their_ent_1]],Table1[[#This Row],[my_ent_1]])), 1, 0)</f>
        <v>1</v>
      </c>
      <c r="L870">
        <f>IF(ISNUMBER(SEARCH(Table1[[#This Row],[their_ent_2]],Table1[[#This Row],[my_ent_2]])), 1, 0)</f>
        <v>0</v>
      </c>
    </row>
    <row r="871" spans="1:12" x14ac:dyDescent="0.3">
      <c r="A871" t="s">
        <v>2716</v>
      </c>
      <c r="B871" t="s">
        <v>1071</v>
      </c>
      <c r="C871" t="s">
        <v>2717</v>
      </c>
      <c r="D871" t="s">
        <v>2718</v>
      </c>
      <c r="E871" t="s">
        <v>2719</v>
      </c>
      <c r="F871">
        <v>3</v>
      </c>
      <c r="G871">
        <v>869</v>
      </c>
      <c r="H871">
        <f>IF(Table1[[#This Row],[my_ent_1]]=Table1[[#This Row],[their_ent_1]], 1, 0)</f>
        <v>0</v>
      </c>
      <c r="I871">
        <f>IF(Table1[[#This Row],[my_ent_2]]=Table1[[#This Row],[their_ent_2]], 1, 0)</f>
        <v>0</v>
      </c>
      <c r="J871">
        <f>IF(Table1[[#This Row],[same_1]]=1 &amp; Table1[[#This Row],[same_2]]=1, 1, 0)</f>
        <v>0</v>
      </c>
      <c r="K871">
        <f>IF(ISNUMBER(SEARCH(Table1[[#This Row],[their_ent_1]],Table1[[#This Row],[my_ent_1]])), 1, 0)</f>
        <v>0</v>
      </c>
      <c r="L871">
        <f>IF(ISNUMBER(SEARCH(Table1[[#This Row],[their_ent_2]],Table1[[#This Row],[my_ent_2]])), 1, 0)</f>
        <v>0</v>
      </c>
    </row>
    <row r="872" spans="1:12" x14ac:dyDescent="0.3">
      <c r="A872" t="s">
        <v>2720</v>
      </c>
      <c r="B872" t="s">
        <v>2721</v>
      </c>
      <c r="C872" t="s">
        <v>2722</v>
      </c>
      <c r="D872" t="s">
        <v>2723</v>
      </c>
      <c r="E872" t="s">
        <v>2723</v>
      </c>
      <c r="F872">
        <v>4</v>
      </c>
      <c r="G872">
        <v>870</v>
      </c>
      <c r="H872">
        <f>IF(Table1[[#This Row],[my_ent_1]]=Table1[[#This Row],[their_ent_1]], 1, 0)</f>
        <v>0</v>
      </c>
      <c r="I872">
        <f>IF(Table1[[#This Row],[my_ent_2]]=Table1[[#This Row],[their_ent_2]], 1, 0)</f>
        <v>1</v>
      </c>
      <c r="J872">
        <f>IF(Table1[[#This Row],[same_1]]=1 &amp; Table1[[#This Row],[same_2]]=1, 1, 0)</f>
        <v>0</v>
      </c>
      <c r="K872">
        <f>IF(ISNUMBER(SEARCH(Table1[[#This Row],[their_ent_1]],Table1[[#This Row],[my_ent_1]])), 1, 0)</f>
        <v>1</v>
      </c>
      <c r="L872">
        <f>IF(ISNUMBER(SEARCH(Table1[[#This Row],[their_ent_2]],Table1[[#This Row],[my_ent_2]])), 1, 0)</f>
        <v>1</v>
      </c>
    </row>
    <row r="873" spans="1:12" x14ac:dyDescent="0.3">
      <c r="A873" t="s">
        <v>2724</v>
      </c>
      <c r="B873" t="s">
        <v>2725</v>
      </c>
      <c r="C873" t="s">
        <v>2725</v>
      </c>
      <c r="D873" t="s">
        <v>2726</v>
      </c>
      <c r="E873" t="s">
        <v>198</v>
      </c>
      <c r="F873">
        <v>1</v>
      </c>
      <c r="G873">
        <v>871</v>
      </c>
      <c r="H873">
        <f>IF(Table1[[#This Row],[my_ent_1]]=Table1[[#This Row],[their_ent_1]], 1, 0)</f>
        <v>1</v>
      </c>
      <c r="I873">
        <f>IF(Table1[[#This Row],[my_ent_2]]=Table1[[#This Row],[their_ent_2]], 1, 0)</f>
        <v>0</v>
      </c>
      <c r="J873">
        <f>IF(Table1[[#This Row],[same_1]]=1 &amp; Table1[[#This Row],[same_2]]=1, 1, 0)</f>
        <v>0</v>
      </c>
      <c r="K873">
        <f>IF(ISNUMBER(SEARCH(Table1[[#This Row],[their_ent_1]],Table1[[#This Row],[my_ent_1]])), 1, 0)</f>
        <v>1</v>
      </c>
      <c r="L873">
        <f>IF(ISNUMBER(SEARCH(Table1[[#This Row],[their_ent_2]],Table1[[#This Row],[my_ent_2]])), 1, 0)</f>
        <v>0</v>
      </c>
    </row>
    <row r="874" spans="1:12" x14ac:dyDescent="0.3">
      <c r="A874" t="s">
        <v>2727</v>
      </c>
      <c r="B874" t="s">
        <v>2728</v>
      </c>
      <c r="C874" t="s">
        <v>686</v>
      </c>
      <c r="D874" t="s">
        <v>2728</v>
      </c>
      <c r="E874" t="s">
        <v>2729</v>
      </c>
      <c r="F874">
        <v>1</v>
      </c>
      <c r="G874">
        <v>872</v>
      </c>
      <c r="H874">
        <f>IF(Table1[[#This Row],[my_ent_1]]=Table1[[#This Row],[their_ent_1]], 1, 0)</f>
        <v>0</v>
      </c>
      <c r="I874">
        <f>IF(Table1[[#This Row],[my_ent_2]]=Table1[[#This Row],[their_ent_2]], 1, 0)</f>
        <v>0</v>
      </c>
      <c r="J874">
        <f>IF(Table1[[#This Row],[same_1]]=1 &amp; Table1[[#This Row],[same_2]]=1, 1, 0)</f>
        <v>0</v>
      </c>
      <c r="K874">
        <f>IF(ISNUMBER(SEARCH(Table1[[#This Row],[their_ent_1]],Table1[[#This Row],[my_ent_1]])), 1, 0)</f>
        <v>0</v>
      </c>
      <c r="L874">
        <f>IF(ISNUMBER(SEARCH(Table1[[#This Row],[their_ent_2]],Table1[[#This Row],[my_ent_2]])), 1, 0)</f>
        <v>0</v>
      </c>
    </row>
    <row r="875" spans="1:12" x14ac:dyDescent="0.3">
      <c r="A875" t="s">
        <v>2730</v>
      </c>
      <c r="B875" t="s">
        <v>2731</v>
      </c>
      <c r="C875" t="s">
        <v>2731</v>
      </c>
      <c r="D875" t="s">
        <v>678</v>
      </c>
      <c r="E875" t="s">
        <v>2732</v>
      </c>
      <c r="F875">
        <v>1</v>
      </c>
      <c r="G875">
        <v>873</v>
      </c>
      <c r="H875">
        <f>IF(Table1[[#This Row],[my_ent_1]]=Table1[[#This Row],[their_ent_1]], 1, 0)</f>
        <v>1</v>
      </c>
      <c r="I875">
        <f>IF(Table1[[#This Row],[my_ent_2]]=Table1[[#This Row],[their_ent_2]], 1, 0)</f>
        <v>0</v>
      </c>
      <c r="J875">
        <f>IF(Table1[[#This Row],[same_1]]=1 &amp; Table1[[#This Row],[same_2]]=1, 1, 0)</f>
        <v>0</v>
      </c>
      <c r="K875">
        <f>IF(ISNUMBER(SEARCH(Table1[[#This Row],[their_ent_1]],Table1[[#This Row],[my_ent_1]])), 1, 0)</f>
        <v>1</v>
      </c>
      <c r="L875">
        <f>IF(ISNUMBER(SEARCH(Table1[[#This Row],[their_ent_2]],Table1[[#This Row],[my_ent_2]])), 1, 0)</f>
        <v>0</v>
      </c>
    </row>
    <row r="876" spans="1:12" x14ac:dyDescent="0.3">
      <c r="A876" t="s">
        <v>2733</v>
      </c>
      <c r="B876" t="s">
        <v>2734</v>
      </c>
      <c r="C876" t="s">
        <v>2734</v>
      </c>
      <c r="D876" t="s">
        <v>2735</v>
      </c>
      <c r="E876" t="s">
        <v>2736</v>
      </c>
      <c r="F876">
        <v>1</v>
      </c>
      <c r="G876">
        <v>874</v>
      </c>
      <c r="H876">
        <f>IF(Table1[[#This Row],[my_ent_1]]=Table1[[#This Row],[their_ent_1]], 1, 0)</f>
        <v>1</v>
      </c>
      <c r="I876">
        <f>IF(Table1[[#This Row],[my_ent_2]]=Table1[[#This Row],[their_ent_2]], 1, 0)</f>
        <v>0</v>
      </c>
      <c r="J876">
        <f>IF(Table1[[#This Row],[same_1]]=1 &amp; Table1[[#This Row],[same_2]]=1, 1, 0)</f>
        <v>0</v>
      </c>
      <c r="K876">
        <f>IF(ISNUMBER(SEARCH(Table1[[#This Row],[their_ent_1]],Table1[[#This Row],[my_ent_1]])), 1, 0)</f>
        <v>1</v>
      </c>
      <c r="L876">
        <f>IF(ISNUMBER(SEARCH(Table1[[#This Row],[their_ent_2]],Table1[[#This Row],[my_ent_2]])), 1, 0)</f>
        <v>0</v>
      </c>
    </row>
    <row r="877" spans="1:12" x14ac:dyDescent="0.3">
      <c r="A877" t="s">
        <v>2737</v>
      </c>
      <c r="B877" t="s">
        <v>2738</v>
      </c>
      <c r="C877" t="s">
        <v>2739</v>
      </c>
      <c r="D877" t="s">
        <v>2740</v>
      </c>
      <c r="E877" t="s">
        <v>2740</v>
      </c>
      <c r="F877">
        <v>3</v>
      </c>
      <c r="G877">
        <v>875</v>
      </c>
      <c r="H877">
        <f>IF(Table1[[#This Row],[my_ent_1]]=Table1[[#This Row],[their_ent_1]], 1, 0)</f>
        <v>0</v>
      </c>
      <c r="I877">
        <f>IF(Table1[[#This Row],[my_ent_2]]=Table1[[#This Row],[their_ent_2]], 1, 0)</f>
        <v>1</v>
      </c>
      <c r="J877">
        <f>IF(Table1[[#This Row],[same_1]]=1 &amp; Table1[[#This Row],[same_2]]=1, 1, 0)</f>
        <v>0</v>
      </c>
      <c r="K877">
        <f>IF(ISNUMBER(SEARCH(Table1[[#This Row],[their_ent_1]],Table1[[#This Row],[my_ent_1]])), 1, 0)</f>
        <v>0</v>
      </c>
      <c r="L877">
        <f>IF(ISNUMBER(SEARCH(Table1[[#This Row],[their_ent_2]],Table1[[#This Row],[my_ent_2]])), 1, 0)</f>
        <v>1</v>
      </c>
    </row>
    <row r="878" spans="1:12" x14ac:dyDescent="0.3">
      <c r="A878" t="s">
        <v>2741</v>
      </c>
      <c r="B878" t="s">
        <v>103</v>
      </c>
      <c r="C878" t="s">
        <v>103</v>
      </c>
      <c r="D878" t="s">
        <v>2742</v>
      </c>
      <c r="E878" t="s">
        <v>2743</v>
      </c>
      <c r="F878">
        <v>3</v>
      </c>
      <c r="G878">
        <v>876</v>
      </c>
      <c r="H878">
        <f>IF(Table1[[#This Row],[my_ent_1]]=Table1[[#This Row],[their_ent_1]], 1, 0)</f>
        <v>1</v>
      </c>
      <c r="I878">
        <f>IF(Table1[[#This Row],[my_ent_2]]=Table1[[#This Row],[their_ent_2]], 1, 0)</f>
        <v>0</v>
      </c>
      <c r="J878">
        <f>IF(Table1[[#This Row],[same_1]]=1 &amp; Table1[[#This Row],[same_2]]=1, 1, 0)</f>
        <v>0</v>
      </c>
      <c r="K878">
        <f>IF(ISNUMBER(SEARCH(Table1[[#This Row],[their_ent_1]],Table1[[#This Row],[my_ent_1]])), 1, 0)</f>
        <v>1</v>
      </c>
      <c r="L878">
        <f>IF(ISNUMBER(SEARCH(Table1[[#This Row],[their_ent_2]],Table1[[#This Row],[my_ent_2]])), 1, 0)</f>
        <v>1</v>
      </c>
    </row>
    <row r="879" spans="1:12" x14ac:dyDescent="0.3">
      <c r="A879" t="s">
        <v>2744</v>
      </c>
      <c r="B879" t="s">
        <v>576</v>
      </c>
      <c r="C879" t="s">
        <v>2745</v>
      </c>
      <c r="D879" t="s">
        <v>723</v>
      </c>
      <c r="E879" t="s">
        <v>2746</v>
      </c>
      <c r="F879">
        <v>2</v>
      </c>
      <c r="G879">
        <v>877</v>
      </c>
      <c r="H879">
        <f>IF(Table1[[#This Row],[my_ent_1]]=Table1[[#This Row],[their_ent_1]], 1, 0)</f>
        <v>0</v>
      </c>
      <c r="I879">
        <f>IF(Table1[[#This Row],[my_ent_2]]=Table1[[#This Row],[their_ent_2]], 1, 0)</f>
        <v>0</v>
      </c>
      <c r="J879">
        <f>IF(Table1[[#This Row],[same_1]]=1 &amp; Table1[[#This Row],[same_2]]=1, 1, 0)</f>
        <v>0</v>
      </c>
      <c r="K879">
        <f>IF(ISNUMBER(SEARCH(Table1[[#This Row],[their_ent_1]],Table1[[#This Row],[my_ent_1]])), 1, 0)</f>
        <v>0</v>
      </c>
      <c r="L879">
        <f>IF(ISNUMBER(SEARCH(Table1[[#This Row],[their_ent_2]],Table1[[#This Row],[my_ent_2]])), 1, 0)</f>
        <v>0</v>
      </c>
    </row>
    <row r="880" spans="1:12" x14ac:dyDescent="0.3">
      <c r="A880" t="s">
        <v>2747</v>
      </c>
      <c r="B880" t="s">
        <v>160</v>
      </c>
      <c r="C880" t="s">
        <v>160</v>
      </c>
      <c r="D880" t="s">
        <v>36</v>
      </c>
      <c r="E880" t="s">
        <v>2748</v>
      </c>
      <c r="F880">
        <v>3</v>
      </c>
      <c r="G880">
        <v>878</v>
      </c>
      <c r="H880">
        <f>IF(Table1[[#This Row],[my_ent_1]]=Table1[[#This Row],[their_ent_1]], 1, 0)</f>
        <v>1</v>
      </c>
      <c r="I880">
        <f>IF(Table1[[#This Row],[my_ent_2]]=Table1[[#This Row],[their_ent_2]], 1, 0)</f>
        <v>0</v>
      </c>
      <c r="J880">
        <f>IF(Table1[[#This Row],[same_1]]=1 &amp; Table1[[#This Row],[same_2]]=1, 1, 0)</f>
        <v>0</v>
      </c>
      <c r="K880">
        <f>IF(ISNUMBER(SEARCH(Table1[[#This Row],[their_ent_1]],Table1[[#This Row],[my_ent_1]])), 1, 0)</f>
        <v>1</v>
      </c>
      <c r="L880">
        <f>IF(ISNUMBER(SEARCH(Table1[[#This Row],[their_ent_2]],Table1[[#This Row],[my_ent_2]])), 1, 0)</f>
        <v>0</v>
      </c>
    </row>
    <row r="881" spans="1:12" x14ac:dyDescent="0.3">
      <c r="A881" t="s">
        <v>2749</v>
      </c>
      <c r="B881" t="s">
        <v>2750</v>
      </c>
      <c r="C881" t="s">
        <v>2751</v>
      </c>
      <c r="D881" t="s">
        <v>142</v>
      </c>
      <c r="E881" t="s">
        <v>2752</v>
      </c>
      <c r="F881">
        <v>1</v>
      </c>
      <c r="G881">
        <v>879</v>
      </c>
      <c r="H881">
        <f>IF(Table1[[#This Row],[my_ent_1]]=Table1[[#This Row],[their_ent_1]], 1, 0)</f>
        <v>0</v>
      </c>
      <c r="I881">
        <f>IF(Table1[[#This Row],[my_ent_2]]=Table1[[#This Row],[their_ent_2]], 1, 0)</f>
        <v>0</v>
      </c>
      <c r="J881">
        <f>IF(Table1[[#This Row],[same_1]]=1 &amp; Table1[[#This Row],[same_2]]=1, 1, 0)</f>
        <v>0</v>
      </c>
      <c r="K881">
        <f>IF(ISNUMBER(SEARCH(Table1[[#This Row],[their_ent_1]],Table1[[#This Row],[my_ent_1]])), 1, 0)</f>
        <v>0</v>
      </c>
      <c r="L881">
        <f>IF(ISNUMBER(SEARCH(Table1[[#This Row],[their_ent_2]],Table1[[#This Row],[my_ent_2]])), 1, 0)</f>
        <v>0</v>
      </c>
    </row>
    <row r="882" spans="1:12" x14ac:dyDescent="0.3">
      <c r="A882" t="s">
        <v>2753</v>
      </c>
      <c r="B882" t="s">
        <v>127</v>
      </c>
      <c r="C882" t="s">
        <v>127</v>
      </c>
      <c r="D882" t="s">
        <v>381</v>
      </c>
      <c r="E882" t="s">
        <v>407</v>
      </c>
      <c r="F882">
        <v>3</v>
      </c>
      <c r="G882">
        <v>880</v>
      </c>
      <c r="H882">
        <f>IF(Table1[[#This Row],[my_ent_1]]=Table1[[#This Row],[their_ent_1]], 1, 0)</f>
        <v>1</v>
      </c>
      <c r="I882">
        <f>IF(Table1[[#This Row],[my_ent_2]]=Table1[[#This Row],[their_ent_2]], 1, 0)</f>
        <v>0</v>
      </c>
      <c r="J882">
        <f>IF(Table1[[#This Row],[same_1]]=1 &amp; Table1[[#This Row],[same_2]]=1, 1, 0)</f>
        <v>0</v>
      </c>
      <c r="K882">
        <f>IF(ISNUMBER(SEARCH(Table1[[#This Row],[their_ent_1]],Table1[[#This Row],[my_ent_1]])), 1, 0)</f>
        <v>1</v>
      </c>
      <c r="L882">
        <f>IF(ISNUMBER(SEARCH(Table1[[#This Row],[their_ent_2]],Table1[[#This Row],[my_ent_2]])), 1, 0)</f>
        <v>0</v>
      </c>
    </row>
    <row r="883" spans="1:12" x14ac:dyDescent="0.3">
      <c r="A883" t="s">
        <v>2754</v>
      </c>
      <c r="B883" t="s">
        <v>323</v>
      </c>
      <c r="C883" t="s">
        <v>78</v>
      </c>
      <c r="D883" t="s">
        <v>127</v>
      </c>
      <c r="E883" t="s">
        <v>26</v>
      </c>
      <c r="F883">
        <v>3</v>
      </c>
      <c r="G883">
        <v>881</v>
      </c>
      <c r="H883">
        <f>IF(Table1[[#This Row],[my_ent_1]]=Table1[[#This Row],[their_ent_1]], 1, 0)</f>
        <v>0</v>
      </c>
      <c r="I883">
        <f>IF(Table1[[#This Row],[my_ent_2]]=Table1[[#This Row],[their_ent_2]], 1, 0)</f>
        <v>0</v>
      </c>
      <c r="J883">
        <f>IF(Table1[[#This Row],[same_1]]=1 &amp; Table1[[#This Row],[same_2]]=1, 1, 0)</f>
        <v>0</v>
      </c>
      <c r="K883">
        <f>IF(ISNUMBER(SEARCH(Table1[[#This Row],[their_ent_1]],Table1[[#This Row],[my_ent_1]])), 1, 0)</f>
        <v>1</v>
      </c>
      <c r="L883">
        <f>IF(ISNUMBER(SEARCH(Table1[[#This Row],[their_ent_2]],Table1[[#This Row],[my_ent_2]])), 1, 0)</f>
        <v>0</v>
      </c>
    </row>
    <row r="884" spans="1:12" x14ac:dyDescent="0.3">
      <c r="A884" t="s">
        <v>2755</v>
      </c>
      <c r="B884" t="s">
        <v>396</v>
      </c>
      <c r="C884" t="s">
        <v>396</v>
      </c>
      <c r="D884" t="s">
        <v>2756</v>
      </c>
      <c r="E884" t="s">
        <v>2757</v>
      </c>
      <c r="F884">
        <v>3</v>
      </c>
      <c r="G884">
        <v>882</v>
      </c>
      <c r="H884">
        <f>IF(Table1[[#This Row],[my_ent_1]]=Table1[[#This Row],[their_ent_1]], 1, 0)</f>
        <v>1</v>
      </c>
      <c r="I884">
        <f>IF(Table1[[#This Row],[my_ent_2]]=Table1[[#This Row],[their_ent_2]], 1, 0)</f>
        <v>0</v>
      </c>
      <c r="J884">
        <f>IF(Table1[[#This Row],[same_1]]=1 &amp; Table1[[#This Row],[same_2]]=1, 1, 0)</f>
        <v>0</v>
      </c>
      <c r="K884">
        <f>IF(ISNUMBER(SEARCH(Table1[[#This Row],[their_ent_1]],Table1[[#This Row],[my_ent_1]])), 1, 0)</f>
        <v>1</v>
      </c>
      <c r="L884">
        <f>IF(ISNUMBER(SEARCH(Table1[[#This Row],[their_ent_2]],Table1[[#This Row],[my_ent_2]])), 1, 0)</f>
        <v>1</v>
      </c>
    </row>
    <row r="885" spans="1:12" x14ac:dyDescent="0.3">
      <c r="A885" t="s">
        <v>2758</v>
      </c>
      <c r="B885" t="s">
        <v>2759</v>
      </c>
      <c r="C885" t="s">
        <v>2759</v>
      </c>
      <c r="D885" t="s">
        <v>2760</v>
      </c>
      <c r="E885" t="s">
        <v>20</v>
      </c>
      <c r="F885">
        <v>3</v>
      </c>
      <c r="G885">
        <v>883</v>
      </c>
      <c r="H885">
        <f>IF(Table1[[#This Row],[my_ent_1]]=Table1[[#This Row],[their_ent_1]], 1, 0)</f>
        <v>1</v>
      </c>
      <c r="I885">
        <f>IF(Table1[[#This Row],[my_ent_2]]=Table1[[#This Row],[their_ent_2]], 1, 0)</f>
        <v>0</v>
      </c>
      <c r="J885">
        <f>IF(Table1[[#This Row],[same_1]]=1 &amp; Table1[[#This Row],[same_2]]=1, 1, 0)</f>
        <v>0</v>
      </c>
      <c r="K885">
        <f>IF(ISNUMBER(SEARCH(Table1[[#This Row],[their_ent_1]],Table1[[#This Row],[my_ent_1]])), 1, 0)</f>
        <v>1</v>
      </c>
      <c r="L885">
        <f>IF(ISNUMBER(SEARCH(Table1[[#This Row],[their_ent_2]],Table1[[#This Row],[my_ent_2]])), 1, 0)</f>
        <v>0</v>
      </c>
    </row>
    <row r="886" spans="1:12" x14ac:dyDescent="0.3">
      <c r="A886" t="s">
        <v>2761</v>
      </c>
      <c r="B886" t="s">
        <v>2762</v>
      </c>
      <c r="C886" t="s">
        <v>599</v>
      </c>
      <c r="D886" t="s">
        <v>2763</v>
      </c>
      <c r="E886" t="s">
        <v>256</v>
      </c>
      <c r="F886">
        <v>3</v>
      </c>
      <c r="G886">
        <v>884</v>
      </c>
      <c r="H886">
        <f>IF(Table1[[#This Row],[my_ent_1]]=Table1[[#This Row],[their_ent_1]], 1, 0)</f>
        <v>0</v>
      </c>
      <c r="I886">
        <f>IF(Table1[[#This Row],[my_ent_2]]=Table1[[#This Row],[their_ent_2]], 1, 0)</f>
        <v>0</v>
      </c>
      <c r="J886">
        <f>IF(Table1[[#This Row],[same_1]]=1 &amp; Table1[[#This Row],[same_2]]=1, 1, 0)</f>
        <v>0</v>
      </c>
      <c r="K886">
        <f>IF(ISNUMBER(SEARCH(Table1[[#This Row],[their_ent_1]],Table1[[#This Row],[my_ent_1]])), 1, 0)</f>
        <v>1</v>
      </c>
      <c r="L886">
        <f>IF(ISNUMBER(SEARCH(Table1[[#This Row],[their_ent_2]],Table1[[#This Row],[my_ent_2]])), 1, 0)</f>
        <v>0</v>
      </c>
    </row>
    <row r="887" spans="1:12" x14ac:dyDescent="0.3">
      <c r="A887" t="s">
        <v>2764</v>
      </c>
      <c r="B887" t="s">
        <v>2765</v>
      </c>
      <c r="C887" t="s">
        <v>2765</v>
      </c>
      <c r="D887" t="s">
        <v>2766</v>
      </c>
      <c r="E887" t="s">
        <v>2767</v>
      </c>
      <c r="F887">
        <v>3</v>
      </c>
      <c r="G887">
        <v>885</v>
      </c>
      <c r="H887">
        <f>IF(Table1[[#This Row],[my_ent_1]]=Table1[[#This Row],[their_ent_1]], 1, 0)</f>
        <v>1</v>
      </c>
      <c r="I887">
        <f>IF(Table1[[#This Row],[my_ent_2]]=Table1[[#This Row],[their_ent_2]], 1, 0)</f>
        <v>0</v>
      </c>
      <c r="J887">
        <f>IF(Table1[[#This Row],[same_1]]=1 &amp; Table1[[#This Row],[same_2]]=1, 1, 0)</f>
        <v>0</v>
      </c>
      <c r="K887">
        <f>IF(ISNUMBER(SEARCH(Table1[[#This Row],[their_ent_1]],Table1[[#This Row],[my_ent_1]])), 1, 0)</f>
        <v>1</v>
      </c>
      <c r="L887">
        <f>IF(ISNUMBER(SEARCH(Table1[[#This Row],[their_ent_2]],Table1[[#This Row],[my_ent_2]])), 1, 0)</f>
        <v>0</v>
      </c>
    </row>
    <row r="888" spans="1:12" x14ac:dyDescent="0.3">
      <c r="A888" t="s">
        <v>2768</v>
      </c>
      <c r="B888" t="s">
        <v>552</v>
      </c>
      <c r="C888" t="s">
        <v>686</v>
      </c>
      <c r="D888" t="s">
        <v>1509</v>
      </c>
      <c r="E888" t="s">
        <v>552</v>
      </c>
      <c r="F888">
        <v>3</v>
      </c>
      <c r="G888">
        <v>886</v>
      </c>
      <c r="H888">
        <f>IF(Table1[[#This Row],[my_ent_1]]=Table1[[#This Row],[their_ent_1]], 1, 0)</f>
        <v>0</v>
      </c>
      <c r="I888">
        <f>IF(Table1[[#This Row],[my_ent_2]]=Table1[[#This Row],[their_ent_2]], 1, 0)</f>
        <v>0</v>
      </c>
      <c r="J888">
        <f>IF(Table1[[#This Row],[same_1]]=1 &amp; Table1[[#This Row],[same_2]]=1, 1, 0)</f>
        <v>0</v>
      </c>
      <c r="K888">
        <f>IF(ISNUMBER(SEARCH(Table1[[#This Row],[their_ent_1]],Table1[[#This Row],[my_ent_1]])), 1, 0)</f>
        <v>0</v>
      </c>
      <c r="L888">
        <f>IF(ISNUMBER(SEARCH(Table1[[#This Row],[their_ent_2]],Table1[[#This Row],[my_ent_2]])), 1, 0)</f>
        <v>0</v>
      </c>
    </row>
    <row r="889" spans="1:12" x14ac:dyDescent="0.3">
      <c r="A889" t="s">
        <v>2769</v>
      </c>
      <c r="B889" t="s">
        <v>2770</v>
      </c>
      <c r="C889" t="s">
        <v>2770</v>
      </c>
      <c r="D889" t="s">
        <v>2771</v>
      </c>
      <c r="E889" t="s">
        <v>2561</v>
      </c>
      <c r="F889">
        <v>4</v>
      </c>
      <c r="G889">
        <v>887</v>
      </c>
      <c r="H889">
        <f>IF(Table1[[#This Row],[my_ent_1]]=Table1[[#This Row],[their_ent_1]], 1, 0)</f>
        <v>1</v>
      </c>
      <c r="I889">
        <f>IF(Table1[[#This Row],[my_ent_2]]=Table1[[#This Row],[their_ent_2]], 1, 0)</f>
        <v>0</v>
      </c>
      <c r="J889">
        <f>IF(Table1[[#This Row],[same_1]]=1 &amp; Table1[[#This Row],[same_2]]=1, 1, 0)</f>
        <v>0</v>
      </c>
      <c r="K889">
        <f>IF(ISNUMBER(SEARCH(Table1[[#This Row],[their_ent_1]],Table1[[#This Row],[my_ent_1]])), 1, 0)</f>
        <v>1</v>
      </c>
      <c r="L889">
        <f>IF(ISNUMBER(SEARCH(Table1[[#This Row],[their_ent_2]],Table1[[#This Row],[my_ent_2]])), 1, 0)</f>
        <v>1</v>
      </c>
    </row>
    <row r="890" spans="1:12" x14ac:dyDescent="0.3">
      <c r="A890" t="s">
        <v>2772</v>
      </c>
      <c r="B890" t="s">
        <v>802</v>
      </c>
      <c r="C890" t="s">
        <v>2773</v>
      </c>
      <c r="D890" t="s">
        <v>2774</v>
      </c>
      <c r="E890" t="s">
        <v>2775</v>
      </c>
      <c r="F890">
        <v>1</v>
      </c>
      <c r="G890">
        <v>888</v>
      </c>
      <c r="H890">
        <f>IF(Table1[[#This Row],[my_ent_1]]=Table1[[#This Row],[their_ent_1]], 1, 0)</f>
        <v>0</v>
      </c>
      <c r="I890">
        <f>IF(Table1[[#This Row],[my_ent_2]]=Table1[[#This Row],[their_ent_2]], 1, 0)</f>
        <v>0</v>
      </c>
      <c r="J890">
        <f>IF(Table1[[#This Row],[same_1]]=1 &amp; Table1[[#This Row],[same_2]]=1, 1, 0)</f>
        <v>0</v>
      </c>
      <c r="K890">
        <f>IF(ISNUMBER(SEARCH(Table1[[#This Row],[their_ent_1]],Table1[[#This Row],[my_ent_1]])), 1, 0)</f>
        <v>0</v>
      </c>
      <c r="L890">
        <f>IF(ISNUMBER(SEARCH(Table1[[#This Row],[their_ent_2]],Table1[[#This Row],[my_ent_2]])), 1, 0)</f>
        <v>0</v>
      </c>
    </row>
    <row r="891" spans="1:12" x14ac:dyDescent="0.3">
      <c r="A891" t="s">
        <v>2776</v>
      </c>
      <c r="B891" t="s">
        <v>2777</v>
      </c>
      <c r="C891" t="s">
        <v>2777</v>
      </c>
      <c r="D891" t="s">
        <v>2778</v>
      </c>
      <c r="E891" t="s">
        <v>30</v>
      </c>
      <c r="F891">
        <v>3</v>
      </c>
      <c r="G891">
        <v>889</v>
      </c>
      <c r="H891">
        <f>IF(Table1[[#This Row],[my_ent_1]]=Table1[[#This Row],[their_ent_1]], 1, 0)</f>
        <v>1</v>
      </c>
      <c r="I891">
        <f>IF(Table1[[#This Row],[my_ent_2]]=Table1[[#This Row],[their_ent_2]], 1, 0)</f>
        <v>0</v>
      </c>
      <c r="J891">
        <f>IF(Table1[[#This Row],[same_1]]=1 &amp; Table1[[#This Row],[same_2]]=1, 1, 0)</f>
        <v>0</v>
      </c>
      <c r="K891">
        <f>IF(ISNUMBER(SEARCH(Table1[[#This Row],[their_ent_1]],Table1[[#This Row],[my_ent_1]])), 1, 0)</f>
        <v>1</v>
      </c>
      <c r="L891">
        <f>IF(ISNUMBER(SEARCH(Table1[[#This Row],[their_ent_2]],Table1[[#This Row],[my_ent_2]])), 1, 0)</f>
        <v>0</v>
      </c>
    </row>
    <row r="892" spans="1:12" x14ac:dyDescent="0.3">
      <c r="A892" t="s">
        <v>2779</v>
      </c>
      <c r="B892" t="s">
        <v>238</v>
      </c>
      <c r="C892" t="s">
        <v>238</v>
      </c>
      <c r="D892" t="s">
        <v>206</v>
      </c>
      <c r="E892" t="s">
        <v>31</v>
      </c>
      <c r="F892">
        <v>3</v>
      </c>
      <c r="G892">
        <v>890</v>
      </c>
      <c r="H892">
        <f>IF(Table1[[#This Row],[my_ent_1]]=Table1[[#This Row],[their_ent_1]], 1, 0)</f>
        <v>1</v>
      </c>
      <c r="I892">
        <f>IF(Table1[[#This Row],[my_ent_2]]=Table1[[#This Row],[their_ent_2]], 1, 0)</f>
        <v>0</v>
      </c>
      <c r="J892">
        <f>IF(Table1[[#This Row],[same_1]]=1 &amp; Table1[[#This Row],[same_2]]=1, 1, 0)</f>
        <v>0</v>
      </c>
      <c r="K892">
        <f>IF(ISNUMBER(SEARCH(Table1[[#This Row],[their_ent_1]],Table1[[#This Row],[my_ent_1]])), 1, 0)</f>
        <v>1</v>
      </c>
      <c r="L892">
        <f>IF(ISNUMBER(SEARCH(Table1[[#This Row],[their_ent_2]],Table1[[#This Row],[my_ent_2]])), 1, 0)</f>
        <v>1</v>
      </c>
    </row>
    <row r="893" spans="1:12" x14ac:dyDescent="0.3">
      <c r="A893" t="s">
        <v>2780</v>
      </c>
      <c r="B893" t="s">
        <v>1997</v>
      </c>
      <c r="C893" t="s">
        <v>271</v>
      </c>
      <c r="D893" t="s">
        <v>643</v>
      </c>
      <c r="E893" t="s">
        <v>643</v>
      </c>
      <c r="F893">
        <v>1</v>
      </c>
      <c r="G893">
        <v>891</v>
      </c>
      <c r="H893">
        <f>IF(Table1[[#This Row],[my_ent_1]]=Table1[[#This Row],[their_ent_1]], 1, 0)</f>
        <v>0</v>
      </c>
      <c r="I893">
        <f>IF(Table1[[#This Row],[my_ent_2]]=Table1[[#This Row],[their_ent_2]], 1, 0)</f>
        <v>1</v>
      </c>
      <c r="J893">
        <f>IF(Table1[[#This Row],[same_1]]=1 &amp; Table1[[#This Row],[same_2]]=1, 1, 0)</f>
        <v>0</v>
      </c>
      <c r="K893">
        <f>IF(ISNUMBER(SEARCH(Table1[[#This Row],[their_ent_1]],Table1[[#This Row],[my_ent_1]])), 1, 0)</f>
        <v>1</v>
      </c>
      <c r="L893">
        <f>IF(ISNUMBER(SEARCH(Table1[[#This Row],[their_ent_2]],Table1[[#This Row],[my_ent_2]])), 1, 0)</f>
        <v>1</v>
      </c>
    </row>
    <row r="894" spans="1:12" x14ac:dyDescent="0.3">
      <c r="A894" t="s">
        <v>2781</v>
      </c>
      <c r="B894" t="s">
        <v>2782</v>
      </c>
      <c r="C894" t="s">
        <v>2783</v>
      </c>
      <c r="D894" t="s">
        <v>2784</v>
      </c>
      <c r="E894" t="s">
        <v>2784</v>
      </c>
      <c r="F894">
        <v>3</v>
      </c>
      <c r="G894">
        <v>892</v>
      </c>
      <c r="H894">
        <f>IF(Table1[[#This Row],[my_ent_1]]=Table1[[#This Row],[their_ent_1]], 1, 0)</f>
        <v>0</v>
      </c>
      <c r="I894">
        <f>IF(Table1[[#This Row],[my_ent_2]]=Table1[[#This Row],[their_ent_2]], 1, 0)</f>
        <v>1</v>
      </c>
      <c r="J894">
        <f>IF(Table1[[#This Row],[same_1]]=1 &amp; Table1[[#This Row],[same_2]]=1, 1, 0)</f>
        <v>0</v>
      </c>
      <c r="K894">
        <f>IF(ISNUMBER(SEARCH(Table1[[#This Row],[their_ent_1]],Table1[[#This Row],[my_ent_1]])), 1, 0)</f>
        <v>0</v>
      </c>
      <c r="L894">
        <f>IF(ISNUMBER(SEARCH(Table1[[#This Row],[their_ent_2]],Table1[[#This Row],[my_ent_2]])), 1, 0)</f>
        <v>1</v>
      </c>
    </row>
    <row r="895" spans="1:12" x14ac:dyDescent="0.3">
      <c r="A895" t="s">
        <v>2785</v>
      </c>
      <c r="B895" t="s">
        <v>153</v>
      </c>
      <c r="C895" t="s">
        <v>1404</v>
      </c>
      <c r="D895" t="s">
        <v>78</v>
      </c>
      <c r="E895" t="s">
        <v>78</v>
      </c>
      <c r="F895">
        <v>3</v>
      </c>
      <c r="G895">
        <v>893</v>
      </c>
      <c r="H895">
        <f>IF(Table1[[#This Row],[my_ent_1]]=Table1[[#This Row],[their_ent_1]], 1, 0)</f>
        <v>0</v>
      </c>
      <c r="I895">
        <f>IF(Table1[[#This Row],[my_ent_2]]=Table1[[#This Row],[their_ent_2]], 1, 0)</f>
        <v>1</v>
      </c>
      <c r="J895">
        <f>IF(Table1[[#This Row],[same_1]]=1 &amp; Table1[[#This Row],[same_2]]=1, 1, 0)</f>
        <v>0</v>
      </c>
      <c r="K895">
        <f>IF(ISNUMBER(SEARCH(Table1[[#This Row],[their_ent_1]],Table1[[#This Row],[my_ent_1]])), 1, 0)</f>
        <v>1</v>
      </c>
      <c r="L895">
        <f>IF(ISNUMBER(SEARCH(Table1[[#This Row],[their_ent_2]],Table1[[#This Row],[my_ent_2]])), 1, 0)</f>
        <v>1</v>
      </c>
    </row>
    <row r="896" spans="1:12" x14ac:dyDescent="0.3">
      <c r="A896" t="s">
        <v>2786</v>
      </c>
      <c r="B896" t="s">
        <v>2787</v>
      </c>
      <c r="C896" t="s">
        <v>2787</v>
      </c>
      <c r="D896" t="s">
        <v>2788</v>
      </c>
      <c r="E896" t="s">
        <v>2789</v>
      </c>
      <c r="F896">
        <v>2</v>
      </c>
      <c r="G896">
        <v>894</v>
      </c>
      <c r="H896">
        <f>IF(Table1[[#This Row],[my_ent_1]]=Table1[[#This Row],[their_ent_1]], 1, 0)</f>
        <v>1</v>
      </c>
      <c r="I896">
        <f>IF(Table1[[#This Row],[my_ent_2]]=Table1[[#This Row],[their_ent_2]], 1, 0)</f>
        <v>0</v>
      </c>
      <c r="J896">
        <f>IF(Table1[[#This Row],[same_1]]=1 &amp; Table1[[#This Row],[same_2]]=1, 1, 0)</f>
        <v>0</v>
      </c>
      <c r="K896">
        <f>IF(ISNUMBER(SEARCH(Table1[[#This Row],[their_ent_1]],Table1[[#This Row],[my_ent_1]])), 1, 0)</f>
        <v>1</v>
      </c>
      <c r="L896">
        <f>IF(ISNUMBER(SEARCH(Table1[[#This Row],[their_ent_2]],Table1[[#This Row],[my_ent_2]])), 1, 0)</f>
        <v>0</v>
      </c>
    </row>
    <row r="897" spans="1:12" x14ac:dyDescent="0.3">
      <c r="A897" t="s">
        <v>2790</v>
      </c>
      <c r="B897" t="s">
        <v>175</v>
      </c>
      <c r="C897" t="s">
        <v>176</v>
      </c>
      <c r="D897" t="s">
        <v>381</v>
      </c>
      <c r="E897" t="s">
        <v>381</v>
      </c>
      <c r="F897">
        <v>3</v>
      </c>
      <c r="G897">
        <v>895</v>
      </c>
      <c r="H897">
        <f>IF(Table1[[#This Row],[my_ent_1]]=Table1[[#This Row],[their_ent_1]], 1, 0)</f>
        <v>0</v>
      </c>
      <c r="I897">
        <f>IF(Table1[[#This Row],[my_ent_2]]=Table1[[#This Row],[their_ent_2]], 1, 0)</f>
        <v>1</v>
      </c>
      <c r="J897">
        <f>IF(Table1[[#This Row],[same_1]]=1 &amp; Table1[[#This Row],[same_2]]=1, 1, 0)</f>
        <v>0</v>
      </c>
      <c r="K897">
        <f>IF(ISNUMBER(SEARCH(Table1[[#This Row],[their_ent_1]],Table1[[#This Row],[my_ent_1]])), 1, 0)</f>
        <v>1</v>
      </c>
      <c r="L897">
        <f>IF(ISNUMBER(SEARCH(Table1[[#This Row],[their_ent_2]],Table1[[#This Row],[my_ent_2]])), 1, 0)</f>
        <v>1</v>
      </c>
    </row>
    <row r="898" spans="1:12" x14ac:dyDescent="0.3">
      <c r="A898" t="s">
        <v>2791</v>
      </c>
      <c r="B898" t="s">
        <v>2792</v>
      </c>
      <c r="C898" t="s">
        <v>2792</v>
      </c>
      <c r="D898" t="s">
        <v>2793</v>
      </c>
      <c r="E898" t="s">
        <v>2794</v>
      </c>
      <c r="F898">
        <v>3</v>
      </c>
      <c r="G898">
        <v>896</v>
      </c>
      <c r="H898">
        <f>IF(Table1[[#This Row],[my_ent_1]]=Table1[[#This Row],[their_ent_1]], 1, 0)</f>
        <v>1</v>
      </c>
      <c r="I898">
        <f>IF(Table1[[#This Row],[my_ent_2]]=Table1[[#This Row],[their_ent_2]], 1, 0)</f>
        <v>0</v>
      </c>
      <c r="J898">
        <f>IF(Table1[[#This Row],[same_1]]=1 &amp; Table1[[#This Row],[same_2]]=1, 1, 0)</f>
        <v>0</v>
      </c>
      <c r="K898">
        <f>IF(ISNUMBER(SEARCH(Table1[[#This Row],[their_ent_1]],Table1[[#This Row],[my_ent_1]])), 1, 0)</f>
        <v>1</v>
      </c>
      <c r="L898">
        <f>IF(ISNUMBER(SEARCH(Table1[[#This Row],[their_ent_2]],Table1[[#This Row],[my_ent_2]])), 1, 0)</f>
        <v>1</v>
      </c>
    </row>
    <row r="899" spans="1:12" x14ac:dyDescent="0.3">
      <c r="A899" t="s">
        <v>2795</v>
      </c>
      <c r="B899" t="s">
        <v>20</v>
      </c>
      <c r="C899" t="s">
        <v>353</v>
      </c>
      <c r="D899" t="s">
        <v>127</v>
      </c>
      <c r="E899" t="s">
        <v>127</v>
      </c>
      <c r="F899">
        <v>1</v>
      </c>
      <c r="G899">
        <v>897</v>
      </c>
      <c r="H899">
        <f>IF(Table1[[#This Row],[my_ent_1]]=Table1[[#This Row],[their_ent_1]], 1, 0)</f>
        <v>0</v>
      </c>
      <c r="I899">
        <f>IF(Table1[[#This Row],[my_ent_2]]=Table1[[#This Row],[their_ent_2]], 1, 0)</f>
        <v>1</v>
      </c>
      <c r="J899">
        <f>IF(Table1[[#This Row],[same_1]]=1 &amp; Table1[[#This Row],[same_2]]=1, 1, 0)</f>
        <v>0</v>
      </c>
      <c r="K899">
        <f>IF(ISNUMBER(SEARCH(Table1[[#This Row],[their_ent_1]],Table1[[#This Row],[my_ent_1]])), 1, 0)</f>
        <v>0</v>
      </c>
      <c r="L899">
        <f>IF(ISNUMBER(SEARCH(Table1[[#This Row],[their_ent_2]],Table1[[#This Row],[my_ent_2]])), 1, 0)</f>
        <v>1</v>
      </c>
    </row>
    <row r="900" spans="1:12" x14ac:dyDescent="0.3">
      <c r="A900" t="s">
        <v>2796</v>
      </c>
      <c r="B900" t="s">
        <v>44</v>
      </c>
      <c r="C900" t="s">
        <v>2797</v>
      </c>
      <c r="D900" t="s">
        <v>44</v>
      </c>
      <c r="E900" t="s">
        <v>2798</v>
      </c>
      <c r="F900">
        <v>4</v>
      </c>
      <c r="G900">
        <v>898</v>
      </c>
      <c r="H900">
        <f>IF(Table1[[#This Row],[my_ent_1]]=Table1[[#This Row],[their_ent_1]], 1, 0)</f>
        <v>0</v>
      </c>
      <c r="I900">
        <f>IF(Table1[[#This Row],[my_ent_2]]=Table1[[#This Row],[their_ent_2]], 1, 0)</f>
        <v>0</v>
      </c>
      <c r="J900">
        <f>IF(Table1[[#This Row],[same_1]]=1 &amp; Table1[[#This Row],[same_2]]=1, 1, 0)</f>
        <v>0</v>
      </c>
      <c r="K900">
        <f>IF(ISNUMBER(SEARCH(Table1[[#This Row],[their_ent_1]],Table1[[#This Row],[my_ent_1]])), 1, 0)</f>
        <v>0</v>
      </c>
      <c r="L900">
        <f>IF(ISNUMBER(SEARCH(Table1[[#This Row],[their_ent_2]],Table1[[#This Row],[my_ent_2]])), 1, 0)</f>
        <v>0</v>
      </c>
    </row>
    <row r="901" spans="1:12" x14ac:dyDescent="0.3">
      <c r="A901" t="s">
        <v>2799</v>
      </c>
      <c r="B901" t="s">
        <v>1774</v>
      </c>
      <c r="C901" t="s">
        <v>2800</v>
      </c>
      <c r="D901" t="s">
        <v>2800</v>
      </c>
      <c r="E901" t="s">
        <v>128</v>
      </c>
      <c r="F901">
        <v>3</v>
      </c>
      <c r="G901">
        <v>899</v>
      </c>
      <c r="H901">
        <f>IF(Table1[[#This Row],[my_ent_1]]=Table1[[#This Row],[their_ent_1]], 1, 0)</f>
        <v>0</v>
      </c>
      <c r="I901">
        <f>IF(Table1[[#This Row],[my_ent_2]]=Table1[[#This Row],[their_ent_2]], 1, 0)</f>
        <v>0</v>
      </c>
      <c r="J901">
        <f>IF(Table1[[#This Row],[same_1]]=1 &amp; Table1[[#This Row],[same_2]]=1, 1, 0)</f>
        <v>0</v>
      </c>
      <c r="K901">
        <f>IF(ISNUMBER(SEARCH(Table1[[#This Row],[their_ent_1]],Table1[[#This Row],[my_ent_1]])), 1, 0)</f>
        <v>0</v>
      </c>
      <c r="L901">
        <f>IF(ISNUMBER(SEARCH(Table1[[#This Row],[their_ent_2]],Table1[[#This Row],[my_ent_2]])), 1, 0)</f>
        <v>0</v>
      </c>
    </row>
    <row r="902" spans="1:12" x14ac:dyDescent="0.3">
      <c r="A902" t="s">
        <v>2801</v>
      </c>
      <c r="B902" t="s">
        <v>1209</v>
      </c>
      <c r="C902" t="s">
        <v>1209</v>
      </c>
      <c r="D902" t="s">
        <v>2802</v>
      </c>
      <c r="E902" t="s">
        <v>2803</v>
      </c>
      <c r="F902">
        <v>3</v>
      </c>
      <c r="G902">
        <v>900</v>
      </c>
      <c r="H902">
        <f>IF(Table1[[#This Row],[my_ent_1]]=Table1[[#This Row],[their_ent_1]], 1, 0)</f>
        <v>1</v>
      </c>
      <c r="I902">
        <f>IF(Table1[[#This Row],[my_ent_2]]=Table1[[#This Row],[their_ent_2]], 1, 0)</f>
        <v>0</v>
      </c>
      <c r="J902">
        <f>IF(Table1[[#This Row],[same_1]]=1 &amp; Table1[[#This Row],[same_2]]=1, 1, 0)</f>
        <v>0</v>
      </c>
      <c r="K902">
        <f>IF(ISNUMBER(SEARCH(Table1[[#This Row],[their_ent_1]],Table1[[#This Row],[my_ent_1]])), 1, 0)</f>
        <v>1</v>
      </c>
      <c r="L902">
        <f>IF(ISNUMBER(SEARCH(Table1[[#This Row],[their_ent_2]],Table1[[#This Row],[my_ent_2]])), 1, 0)</f>
        <v>1</v>
      </c>
    </row>
    <row r="903" spans="1:12" x14ac:dyDescent="0.3">
      <c r="A903" t="s">
        <v>2804</v>
      </c>
      <c r="B903" t="s">
        <v>2805</v>
      </c>
      <c r="C903" t="s">
        <v>2806</v>
      </c>
      <c r="D903" t="s">
        <v>2807</v>
      </c>
      <c r="E903" t="s">
        <v>2062</v>
      </c>
      <c r="F903">
        <v>3</v>
      </c>
      <c r="G903">
        <v>901</v>
      </c>
      <c r="H903">
        <f>IF(Table1[[#This Row],[my_ent_1]]=Table1[[#This Row],[their_ent_1]], 1, 0)</f>
        <v>0</v>
      </c>
      <c r="I903">
        <f>IF(Table1[[#This Row],[my_ent_2]]=Table1[[#This Row],[their_ent_2]], 1, 0)</f>
        <v>0</v>
      </c>
      <c r="J903">
        <f>IF(Table1[[#This Row],[same_1]]=1 &amp; Table1[[#This Row],[same_2]]=1, 1, 0)</f>
        <v>0</v>
      </c>
      <c r="K903">
        <f>IF(ISNUMBER(SEARCH(Table1[[#This Row],[their_ent_1]],Table1[[#This Row],[my_ent_1]])), 1, 0)</f>
        <v>0</v>
      </c>
      <c r="L903">
        <f>IF(ISNUMBER(SEARCH(Table1[[#This Row],[their_ent_2]],Table1[[#This Row],[my_ent_2]])), 1, 0)</f>
        <v>0</v>
      </c>
    </row>
    <row r="904" spans="1:12" x14ac:dyDescent="0.3">
      <c r="A904" t="s">
        <v>2808</v>
      </c>
      <c r="B904" t="s">
        <v>450</v>
      </c>
      <c r="C904" t="s">
        <v>30</v>
      </c>
      <c r="D904" t="s">
        <v>124</v>
      </c>
      <c r="E904" t="s">
        <v>353</v>
      </c>
      <c r="F904">
        <v>3</v>
      </c>
      <c r="G904">
        <v>902</v>
      </c>
      <c r="H904">
        <f>IF(Table1[[#This Row],[my_ent_1]]=Table1[[#This Row],[their_ent_1]], 1, 0)</f>
        <v>0</v>
      </c>
      <c r="I904">
        <f>IF(Table1[[#This Row],[my_ent_2]]=Table1[[#This Row],[their_ent_2]], 1, 0)</f>
        <v>0</v>
      </c>
      <c r="J904">
        <f>IF(Table1[[#This Row],[same_1]]=1 &amp; Table1[[#This Row],[same_2]]=1, 1, 0)</f>
        <v>0</v>
      </c>
      <c r="K904">
        <f>IF(ISNUMBER(SEARCH(Table1[[#This Row],[their_ent_1]],Table1[[#This Row],[my_ent_1]])), 1, 0)</f>
        <v>0</v>
      </c>
      <c r="L904">
        <f>IF(ISNUMBER(SEARCH(Table1[[#This Row],[their_ent_2]],Table1[[#This Row],[my_ent_2]])), 1, 0)</f>
        <v>0</v>
      </c>
    </row>
    <row r="905" spans="1:12" x14ac:dyDescent="0.3">
      <c r="A905" t="s">
        <v>2809</v>
      </c>
      <c r="B905" t="s">
        <v>26</v>
      </c>
      <c r="C905" t="s">
        <v>2810</v>
      </c>
      <c r="D905" t="s">
        <v>2810</v>
      </c>
      <c r="E905" t="s">
        <v>243</v>
      </c>
      <c r="F905">
        <v>2</v>
      </c>
      <c r="G905">
        <v>903</v>
      </c>
      <c r="H905">
        <f>IF(Table1[[#This Row],[my_ent_1]]=Table1[[#This Row],[their_ent_1]], 1, 0)</f>
        <v>0</v>
      </c>
      <c r="I905">
        <f>IF(Table1[[#This Row],[my_ent_2]]=Table1[[#This Row],[their_ent_2]], 1, 0)</f>
        <v>0</v>
      </c>
      <c r="J905">
        <f>IF(Table1[[#This Row],[same_1]]=1 &amp; Table1[[#This Row],[same_2]]=1, 1, 0)</f>
        <v>0</v>
      </c>
      <c r="K905">
        <f>IF(ISNUMBER(SEARCH(Table1[[#This Row],[their_ent_1]],Table1[[#This Row],[my_ent_1]])), 1, 0)</f>
        <v>0</v>
      </c>
      <c r="L905">
        <f>IF(ISNUMBER(SEARCH(Table1[[#This Row],[their_ent_2]],Table1[[#This Row],[my_ent_2]])), 1, 0)</f>
        <v>0</v>
      </c>
    </row>
    <row r="906" spans="1:12" x14ac:dyDescent="0.3">
      <c r="A906" t="s">
        <v>2811</v>
      </c>
      <c r="B906" t="s">
        <v>2812</v>
      </c>
      <c r="C906" t="s">
        <v>2812</v>
      </c>
      <c r="D906" t="s">
        <v>2813</v>
      </c>
      <c r="E906" t="s">
        <v>2814</v>
      </c>
      <c r="F906">
        <v>1</v>
      </c>
      <c r="G906">
        <v>904</v>
      </c>
      <c r="H906">
        <f>IF(Table1[[#This Row],[my_ent_1]]=Table1[[#This Row],[their_ent_1]], 1, 0)</f>
        <v>1</v>
      </c>
      <c r="I906">
        <f>IF(Table1[[#This Row],[my_ent_2]]=Table1[[#This Row],[their_ent_2]], 1, 0)</f>
        <v>0</v>
      </c>
      <c r="J906">
        <f>IF(Table1[[#This Row],[same_1]]=1 &amp; Table1[[#This Row],[same_2]]=1, 1, 0)</f>
        <v>0</v>
      </c>
      <c r="K906">
        <f>IF(ISNUMBER(SEARCH(Table1[[#This Row],[their_ent_1]],Table1[[#This Row],[my_ent_1]])), 1, 0)</f>
        <v>1</v>
      </c>
      <c r="L906">
        <f>IF(ISNUMBER(SEARCH(Table1[[#This Row],[their_ent_2]],Table1[[#This Row],[my_ent_2]])), 1, 0)</f>
        <v>0</v>
      </c>
    </row>
    <row r="907" spans="1:12" x14ac:dyDescent="0.3">
      <c r="A907" t="s">
        <v>2815</v>
      </c>
      <c r="B907" t="s">
        <v>2816</v>
      </c>
      <c r="C907" t="s">
        <v>2816</v>
      </c>
      <c r="D907" t="s">
        <v>2817</v>
      </c>
      <c r="E907" t="s">
        <v>2818</v>
      </c>
      <c r="F907">
        <v>3</v>
      </c>
      <c r="G907">
        <v>905</v>
      </c>
      <c r="H907">
        <f>IF(Table1[[#This Row],[my_ent_1]]=Table1[[#This Row],[their_ent_1]], 1, 0)</f>
        <v>1</v>
      </c>
      <c r="I907">
        <f>IF(Table1[[#This Row],[my_ent_2]]=Table1[[#This Row],[their_ent_2]], 1, 0)</f>
        <v>0</v>
      </c>
      <c r="J907">
        <f>IF(Table1[[#This Row],[same_1]]=1 &amp; Table1[[#This Row],[same_2]]=1, 1, 0)</f>
        <v>0</v>
      </c>
      <c r="K907">
        <f>IF(ISNUMBER(SEARCH(Table1[[#This Row],[their_ent_1]],Table1[[#This Row],[my_ent_1]])), 1, 0)</f>
        <v>1</v>
      </c>
      <c r="L907">
        <f>IF(ISNUMBER(SEARCH(Table1[[#This Row],[their_ent_2]],Table1[[#This Row],[my_ent_2]])), 1, 0)</f>
        <v>1</v>
      </c>
    </row>
    <row r="908" spans="1:12" x14ac:dyDescent="0.3">
      <c r="A908" t="s">
        <v>2819</v>
      </c>
      <c r="B908" t="s">
        <v>1761</v>
      </c>
      <c r="C908" t="s">
        <v>2820</v>
      </c>
      <c r="D908" t="s">
        <v>2821</v>
      </c>
      <c r="E908" t="s">
        <v>273</v>
      </c>
      <c r="F908">
        <v>3</v>
      </c>
      <c r="G908">
        <v>906</v>
      </c>
      <c r="H908">
        <f>IF(Table1[[#This Row],[my_ent_1]]=Table1[[#This Row],[their_ent_1]], 1, 0)</f>
        <v>0</v>
      </c>
      <c r="I908">
        <f>IF(Table1[[#This Row],[my_ent_2]]=Table1[[#This Row],[their_ent_2]], 1, 0)</f>
        <v>0</v>
      </c>
      <c r="J908">
        <f>IF(Table1[[#This Row],[same_1]]=1 &amp; Table1[[#This Row],[same_2]]=1, 1, 0)</f>
        <v>0</v>
      </c>
      <c r="K908">
        <f>IF(ISNUMBER(SEARCH(Table1[[#This Row],[their_ent_1]],Table1[[#This Row],[my_ent_1]])), 1, 0)</f>
        <v>0</v>
      </c>
      <c r="L908">
        <f>IF(ISNUMBER(SEARCH(Table1[[#This Row],[their_ent_2]],Table1[[#This Row],[my_ent_2]])), 1, 0)</f>
        <v>0</v>
      </c>
    </row>
    <row r="909" spans="1:12" x14ac:dyDescent="0.3">
      <c r="A909" t="s">
        <v>2822</v>
      </c>
      <c r="B909" t="s">
        <v>2770</v>
      </c>
      <c r="C909" t="s">
        <v>852</v>
      </c>
      <c r="D909" t="s">
        <v>852</v>
      </c>
      <c r="E909" t="s">
        <v>2823</v>
      </c>
      <c r="F909">
        <v>4</v>
      </c>
      <c r="G909">
        <v>907</v>
      </c>
      <c r="H909">
        <f>IF(Table1[[#This Row],[my_ent_1]]=Table1[[#This Row],[their_ent_1]], 1, 0)</f>
        <v>0</v>
      </c>
      <c r="I909">
        <f>IF(Table1[[#This Row],[my_ent_2]]=Table1[[#This Row],[their_ent_2]], 1, 0)</f>
        <v>0</v>
      </c>
      <c r="J909">
        <f>IF(Table1[[#This Row],[same_1]]=1 &amp; Table1[[#This Row],[same_2]]=1, 1, 0)</f>
        <v>0</v>
      </c>
      <c r="K909">
        <f>IF(ISNUMBER(SEARCH(Table1[[#This Row],[their_ent_1]],Table1[[#This Row],[my_ent_1]])), 1, 0)</f>
        <v>0</v>
      </c>
      <c r="L909">
        <f>IF(ISNUMBER(SEARCH(Table1[[#This Row],[their_ent_2]],Table1[[#This Row],[my_ent_2]])), 1, 0)</f>
        <v>0</v>
      </c>
    </row>
    <row r="910" spans="1:12" x14ac:dyDescent="0.3">
      <c r="A910" t="s">
        <v>2824</v>
      </c>
      <c r="B910" t="s">
        <v>26</v>
      </c>
      <c r="C910" t="s">
        <v>281</v>
      </c>
      <c r="D910" t="s">
        <v>2825</v>
      </c>
      <c r="E910" t="s">
        <v>26</v>
      </c>
      <c r="F910">
        <v>3</v>
      </c>
      <c r="G910">
        <v>908</v>
      </c>
      <c r="H910">
        <f>IF(Table1[[#This Row],[my_ent_1]]=Table1[[#This Row],[their_ent_1]], 1, 0)</f>
        <v>0</v>
      </c>
      <c r="I910">
        <f>IF(Table1[[#This Row],[my_ent_2]]=Table1[[#This Row],[their_ent_2]], 1, 0)</f>
        <v>0</v>
      </c>
      <c r="J910">
        <f>IF(Table1[[#This Row],[same_1]]=1 &amp; Table1[[#This Row],[same_2]]=1, 1, 0)</f>
        <v>0</v>
      </c>
      <c r="K910">
        <f>IF(ISNUMBER(SEARCH(Table1[[#This Row],[their_ent_1]],Table1[[#This Row],[my_ent_1]])), 1, 0)</f>
        <v>0</v>
      </c>
      <c r="L910">
        <f>IF(ISNUMBER(SEARCH(Table1[[#This Row],[their_ent_2]],Table1[[#This Row],[my_ent_2]])), 1, 0)</f>
        <v>0</v>
      </c>
    </row>
    <row r="911" spans="1:12" x14ac:dyDescent="0.3">
      <c r="A911" t="s">
        <v>2826</v>
      </c>
      <c r="B911" t="s">
        <v>2827</v>
      </c>
      <c r="C911" t="s">
        <v>2827</v>
      </c>
      <c r="D911" t="s">
        <v>26</v>
      </c>
      <c r="E911" t="s">
        <v>2828</v>
      </c>
      <c r="F911">
        <v>1</v>
      </c>
      <c r="G911">
        <v>909</v>
      </c>
      <c r="H911">
        <f>IF(Table1[[#This Row],[my_ent_1]]=Table1[[#This Row],[their_ent_1]], 1, 0)</f>
        <v>1</v>
      </c>
      <c r="I911">
        <f>IF(Table1[[#This Row],[my_ent_2]]=Table1[[#This Row],[their_ent_2]], 1, 0)</f>
        <v>0</v>
      </c>
      <c r="J911">
        <f>IF(Table1[[#This Row],[same_1]]=1 &amp; Table1[[#This Row],[same_2]]=1, 1, 0)</f>
        <v>0</v>
      </c>
      <c r="K911">
        <f>IF(ISNUMBER(SEARCH(Table1[[#This Row],[their_ent_1]],Table1[[#This Row],[my_ent_1]])), 1, 0)</f>
        <v>1</v>
      </c>
      <c r="L911">
        <f>IF(ISNUMBER(SEARCH(Table1[[#This Row],[their_ent_2]],Table1[[#This Row],[my_ent_2]])), 1, 0)</f>
        <v>0</v>
      </c>
    </row>
    <row r="912" spans="1:12" x14ac:dyDescent="0.3">
      <c r="A912" t="s">
        <v>2829</v>
      </c>
      <c r="B912" t="s">
        <v>175</v>
      </c>
      <c r="C912" t="s">
        <v>176</v>
      </c>
      <c r="D912" t="s">
        <v>202</v>
      </c>
      <c r="E912" t="s">
        <v>353</v>
      </c>
      <c r="F912">
        <v>3</v>
      </c>
      <c r="G912">
        <v>910</v>
      </c>
      <c r="H912">
        <f>IF(Table1[[#This Row],[my_ent_1]]=Table1[[#This Row],[their_ent_1]], 1, 0)</f>
        <v>0</v>
      </c>
      <c r="I912">
        <f>IF(Table1[[#This Row],[my_ent_2]]=Table1[[#This Row],[their_ent_2]], 1, 0)</f>
        <v>0</v>
      </c>
      <c r="J912">
        <f>IF(Table1[[#This Row],[same_1]]=1 &amp; Table1[[#This Row],[same_2]]=1, 1, 0)</f>
        <v>0</v>
      </c>
      <c r="K912">
        <f>IF(ISNUMBER(SEARCH(Table1[[#This Row],[their_ent_1]],Table1[[#This Row],[my_ent_1]])), 1, 0)</f>
        <v>1</v>
      </c>
      <c r="L912">
        <f>IF(ISNUMBER(SEARCH(Table1[[#This Row],[their_ent_2]],Table1[[#This Row],[my_ent_2]])), 1, 0)</f>
        <v>1</v>
      </c>
    </row>
    <row r="913" spans="1:12" x14ac:dyDescent="0.3">
      <c r="A913" t="s">
        <v>2830</v>
      </c>
      <c r="B913" t="s">
        <v>2831</v>
      </c>
      <c r="C913" t="s">
        <v>2831</v>
      </c>
      <c r="D913" t="s">
        <v>2832</v>
      </c>
      <c r="E913" t="s">
        <v>258</v>
      </c>
      <c r="F913">
        <v>1</v>
      </c>
      <c r="G913">
        <v>911</v>
      </c>
      <c r="H913">
        <f>IF(Table1[[#This Row],[my_ent_1]]=Table1[[#This Row],[their_ent_1]], 1, 0)</f>
        <v>1</v>
      </c>
      <c r="I913">
        <f>IF(Table1[[#This Row],[my_ent_2]]=Table1[[#This Row],[their_ent_2]], 1, 0)</f>
        <v>0</v>
      </c>
      <c r="J913">
        <f>IF(Table1[[#This Row],[same_1]]=1 &amp; Table1[[#This Row],[same_2]]=1, 1, 0)</f>
        <v>0</v>
      </c>
      <c r="K913">
        <f>IF(ISNUMBER(SEARCH(Table1[[#This Row],[their_ent_1]],Table1[[#This Row],[my_ent_1]])), 1, 0)</f>
        <v>1</v>
      </c>
      <c r="L913">
        <f>IF(ISNUMBER(SEARCH(Table1[[#This Row],[their_ent_2]],Table1[[#This Row],[my_ent_2]])), 1, 0)</f>
        <v>0</v>
      </c>
    </row>
    <row r="914" spans="1:12" x14ac:dyDescent="0.3">
      <c r="A914" t="s">
        <v>2833</v>
      </c>
      <c r="B914" t="s">
        <v>958</v>
      </c>
      <c r="C914" t="s">
        <v>2075</v>
      </c>
      <c r="D914" t="s">
        <v>238</v>
      </c>
      <c r="E914" t="s">
        <v>2834</v>
      </c>
      <c r="F914">
        <v>1</v>
      </c>
      <c r="G914">
        <v>912</v>
      </c>
      <c r="H914">
        <f>IF(Table1[[#This Row],[my_ent_1]]=Table1[[#This Row],[their_ent_1]], 1, 0)</f>
        <v>0</v>
      </c>
      <c r="I914">
        <f>IF(Table1[[#This Row],[my_ent_2]]=Table1[[#This Row],[their_ent_2]], 1, 0)</f>
        <v>0</v>
      </c>
      <c r="J914">
        <f>IF(Table1[[#This Row],[same_1]]=1 &amp; Table1[[#This Row],[same_2]]=1, 1, 0)</f>
        <v>0</v>
      </c>
      <c r="K914">
        <f>IF(ISNUMBER(SEARCH(Table1[[#This Row],[their_ent_1]],Table1[[#This Row],[my_ent_1]])), 1, 0)</f>
        <v>0</v>
      </c>
      <c r="L914">
        <f>IF(ISNUMBER(SEARCH(Table1[[#This Row],[their_ent_2]],Table1[[#This Row],[my_ent_2]])), 1, 0)</f>
        <v>0</v>
      </c>
    </row>
    <row r="915" spans="1:12" x14ac:dyDescent="0.3">
      <c r="A915" t="s">
        <v>2835</v>
      </c>
      <c r="B915" t="s">
        <v>2836</v>
      </c>
      <c r="C915" t="s">
        <v>2837</v>
      </c>
      <c r="D915" t="s">
        <v>2837</v>
      </c>
      <c r="E915" t="s">
        <v>2838</v>
      </c>
      <c r="F915">
        <v>1</v>
      </c>
      <c r="G915">
        <v>913</v>
      </c>
      <c r="H915">
        <f>IF(Table1[[#This Row],[my_ent_1]]=Table1[[#This Row],[their_ent_1]], 1, 0)</f>
        <v>0</v>
      </c>
      <c r="I915">
        <f>IF(Table1[[#This Row],[my_ent_2]]=Table1[[#This Row],[their_ent_2]], 1, 0)</f>
        <v>0</v>
      </c>
      <c r="J915">
        <f>IF(Table1[[#This Row],[same_1]]=1 &amp; Table1[[#This Row],[same_2]]=1, 1, 0)</f>
        <v>0</v>
      </c>
      <c r="K915">
        <f>IF(ISNUMBER(SEARCH(Table1[[#This Row],[their_ent_1]],Table1[[#This Row],[my_ent_1]])), 1, 0)</f>
        <v>0</v>
      </c>
      <c r="L915">
        <f>IF(ISNUMBER(SEARCH(Table1[[#This Row],[their_ent_2]],Table1[[#This Row],[my_ent_2]])), 1, 0)</f>
        <v>0</v>
      </c>
    </row>
    <row r="916" spans="1:12" x14ac:dyDescent="0.3">
      <c r="A916" t="s">
        <v>2839</v>
      </c>
      <c r="B916" t="s">
        <v>2600</v>
      </c>
      <c r="C916" t="s">
        <v>2840</v>
      </c>
      <c r="D916" t="s">
        <v>2841</v>
      </c>
      <c r="E916" t="s">
        <v>396</v>
      </c>
      <c r="F916">
        <v>3</v>
      </c>
      <c r="G916">
        <v>914</v>
      </c>
      <c r="H916">
        <f>IF(Table1[[#This Row],[my_ent_1]]=Table1[[#This Row],[their_ent_1]], 1, 0)</f>
        <v>0</v>
      </c>
      <c r="I916">
        <f>IF(Table1[[#This Row],[my_ent_2]]=Table1[[#This Row],[their_ent_2]], 1, 0)</f>
        <v>0</v>
      </c>
      <c r="J916">
        <f>IF(Table1[[#This Row],[same_1]]=1 &amp; Table1[[#This Row],[same_2]]=1, 1, 0)</f>
        <v>0</v>
      </c>
      <c r="K916">
        <f>IF(ISNUMBER(SEARCH(Table1[[#This Row],[their_ent_1]],Table1[[#This Row],[my_ent_1]])), 1, 0)</f>
        <v>0</v>
      </c>
      <c r="L916">
        <f>IF(ISNUMBER(SEARCH(Table1[[#This Row],[their_ent_2]],Table1[[#This Row],[my_ent_2]])), 1, 0)</f>
        <v>0</v>
      </c>
    </row>
    <row r="917" spans="1:12" x14ac:dyDescent="0.3">
      <c r="A917" t="s">
        <v>2842</v>
      </c>
      <c r="B917" t="s">
        <v>1710</v>
      </c>
      <c r="C917" t="s">
        <v>1710</v>
      </c>
      <c r="D917" t="s">
        <v>2843</v>
      </c>
      <c r="E917" t="s">
        <v>2844</v>
      </c>
      <c r="F917">
        <v>3</v>
      </c>
      <c r="G917">
        <v>915</v>
      </c>
      <c r="H917">
        <f>IF(Table1[[#This Row],[my_ent_1]]=Table1[[#This Row],[their_ent_1]], 1, 0)</f>
        <v>1</v>
      </c>
      <c r="I917">
        <f>IF(Table1[[#This Row],[my_ent_2]]=Table1[[#This Row],[their_ent_2]], 1, 0)</f>
        <v>0</v>
      </c>
      <c r="J917">
        <f>IF(Table1[[#This Row],[same_1]]=1 &amp; Table1[[#This Row],[same_2]]=1, 1, 0)</f>
        <v>0</v>
      </c>
      <c r="K917">
        <f>IF(ISNUMBER(SEARCH(Table1[[#This Row],[their_ent_1]],Table1[[#This Row],[my_ent_1]])), 1, 0)</f>
        <v>1</v>
      </c>
      <c r="L917">
        <f>IF(ISNUMBER(SEARCH(Table1[[#This Row],[their_ent_2]],Table1[[#This Row],[my_ent_2]])), 1, 0)</f>
        <v>1</v>
      </c>
    </row>
    <row r="918" spans="1:12" x14ac:dyDescent="0.3">
      <c r="A918" t="s">
        <v>2845</v>
      </c>
      <c r="B918" t="s">
        <v>2846</v>
      </c>
      <c r="C918" t="s">
        <v>2847</v>
      </c>
      <c r="D918" t="s">
        <v>425</v>
      </c>
      <c r="E918" t="s">
        <v>425</v>
      </c>
      <c r="F918">
        <v>1</v>
      </c>
      <c r="G918">
        <v>916</v>
      </c>
      <c r="H918">
        <f>IF(Table1[[#This Row],[my_ent_1]]=Table1[[#This Row],[their_ent_1]], 1, 0)</f>
        <v>0</v>
      </c>
      <c r="I918">
        <f>IF(Table1[[#This Row],[my_ent_2]]=Table1[[#This Row],[their_ent_2]], 1, 0)</f>
        <v>1</v>
      </c>
      <c r="J918">
        <f>IF(Table1[[#This Row],[same_1]]=1 &amp; Table1[[#This Row],[same_2]]=1, 1, 0)</f>
        <v>0</v>
      </c>
      <c r="K918">
        <f>IF(ISNUMBER(SEARCH(Table1[[#This Row],[their_ent_1]],Table1[[#This Row],[my_ent_1]])), 1, 0)</f>
        <v>0</v>
      </c>
      <c r="L918">
        <f>IF(ISNUMBER(SEARCH(Table1[[#This Row],[their_ent_2]],Table1[[#This Row],[my_ent_2]])), 1, 0)</f>
        <v>1</v>
      </c>
    </row>
    <row r="919" spans="1:12" x14ac:dyDescent="0.3">
      <c r="A919" t="s">
        <v>2511</v>
      </c>
      <c r="B919" t="s">
        <v>20</v>
      </c>
      <c r="C919" t="s">
        <v>20</v>
      </c>
      <c r="D919" t="s">
        <v>501</v>
      </c>
      <c r="E919" t="s">
        <v>392</v>
      </c>
      <c r="F919">
        <v>3</v>
      </c>
      <c r="G919">
        <v>917</v>
      </c>
      <c r="H919">
        <f>IF(Table1[[#This Row],[my_ent_1]]=Table1[[#This Row],[their_ent_1]], 1, 0)</f>
        <v>1</v>
      </c>
      <c r="I919">
        <f>IF(Table1[[#This Row],[my_ent_2]]=Table1[[#This Row],[their_ent_2]], 1, 0)</f>
        <v>0</v>
      </c>
      <c r="J919">
        <f>IF(Table1[[#This Row],[same_1]]=1 &amp; Table1[[#This Row],[same_2]]=1, 1, 0)</f>
        <v>0</v>
      </c>
      <c r="K919">
        <f>IF(ISNUMBER(SEARCH(Table1[[#This Row],[their_ent_1]],Table1[[#This Row],[my_ent_1]])), 1, 0)</f>
        <v>1</v>
      </c>
      <c r="L919">
        <f>IF(ISNUMBER(SEARCH(Table1[[#This Row],[their_ent_2]],Table1[[#This Row],[my_ent_2]])), 1, 0)</f>
        <v>1</v>
      </c>
    </row>
    <row r="920" spans="1:12" x14ac:dyDescent="0.3">
      <c r="A920" t="s">
        <v>2848</v>
      </c>
      <c r="B920" t="s">
        <v>2849</v>
      </c>
      <c r="C920" t="s">
        <v>2850</v>
      </c>
      <c r="D920" t="s">
        <v>2851</v>
      </c>
      <c r="E920" t="s">
        <v>2852</v>
      </c>
      <c r="F920">
        <v>2</v>
      </c>
      <c r="G920">
        <v>918</v>
      </c>
      <c r="H920">
        <f>IF(Table1[[#This Row],[my_ent_1]]=Table1[[#This Row],[their_ent_1]], 1, 0)</f>
        <v>0</v>
      </c>
      <c r="I920">
        <f>IF(Table1[[#This Row],[my_ent_2]]=Table1[[#This Row],[their_ent_2]], 1, 0)</f>
        <v>0</v>
      </c>
      <c r="J920">
        <f>IF(Table1[[#This Row],[same_1]]=1 &amp; Table1[[#This Row],[same_2]]=1, 1, 0)</f>
        <v>0</v>
      </c>
      <c r="K920">
        <f>IF(ISNUMBER(SEARCH(Table1[[#This Row],[their_ent_1]],Table1[[#This Row],[my_ent_1]])), 1, 0)</f>
        <v>0</v>
      </c>
      <c r="L920">
        <f>IF(ISNUMBER(SEARCH(Table1[[#This Row],[their_ent_2]],Table1[[#This Row],[my_ent_2]])), 1, 0)</f>
        <v>0</v>
      </c>
    </row>
    <row r="921" spans="1:12" x14ac:dyDescent="0.3">
      <c r="A921" t="s">
        <v>2853</v>
      </c>
      <c r="B921" t="s">
        <v>2854</v>
      </c>
      <c r="C921" t="s">
        <v>2855</v>
      </c>
      <c r="D921" t="s">
        <v>2856</v>
      </c>
      <c r="E921" t="s">
        <v>900</v>
      </c>
      <c r="F921">
        <v>3</v>
      </c>
      <c r="G921">
        <v>919</v>
      </c>
      <c r="H921">
        <f>IF(Table1[[#This Row],[my_ent_1]]=Table1[[#This Row],[their_ent_1]], 1, 0)</f>
        <v>0</v>
      </c>
      <c r="I921">
        <f>IF(Table1[[#This Row],[my_ent_2]]=Table1[[#This Row],[their_ent_2]], 1, 0)</f>
        <v>0</v>
      </c>
      <c r="J921">
        <f>IF(Table1[[#This Row],[same_1]]=1 &amp; Table1[[#This Row],[same_2]]=1, 1, 0)</f>
        <v>0</v>
      </c>
      <c r="K921">
        <f>IF(ISNUMBER(SEARCH(Table1[[#This Row],[their_ent_1]],Table1[[#This Row],[my_ent_1]])), 1, 0)</f>
        <v>1</v>
      </c>
      <c r="L921">
        <f>IF(ISNUMBER(SEARCH(Table1[[#This Row],[their_ent_2]],Table1[[#This Row],[my_ent_2]])), 1, 0)</f>
        <v>0</v>
      </c>
    </row>
    <row r="922" spans="1:12" x14ac:dyDescent="0.3">
      <c r="A922" t="s">
        <v>2857</v>
      </c>
      <c r="B922" t="s">
        <v>2858</v>
      </c>
      <c r="C922" t="s">
        <v>2858</v>
      </c>
      <c r="D922" t="s">
        <v>1809</v>
      </c>
      <c r="E922" t="s">
        <v>2859</v>
      </c>
      <c r="F922">
        <v>1</v>
      </c>
      <c r="G922">
        <v>920</v>
      </c>
      <c r="H922">
        <f>IF(Table1[[#This Row],[my_ent_1]]=Table1[[#This Row],[their_ent_1]], 1, 0)</f>
        <v>1</v>
      </c>
      <c r="I922">
        <f>IF(Table1[[#This Row],[my_ent_2]]=Table1[[#This Row],[their_ent_2]], 1, 0)</f>
        <v>0</v>
      </c>
      <c r="J922">
        <f>IF(Table1[[#This Row],[same_1]]=1 &amp; Table1[[#This Row],[same_2]]=1, 1, 0)</f>
        <v>0</v>
      </c>
      <c r="K922">
        <f>IF(ISNUMBER(SEARCH(Table1[[#This Row],[their_ent_1]],Table1[[#This Row],[my_ent_1]])), 1, 0)</f>
        <v>1</v>
      </c>
      <c r="L922">
        <f>IF(ISNUMBER(SEARCH(Table1[[#This Row],[their_ent_2]],Table1[[#This Row],[my_ent_2]])), 1, 0)</f>
        <v>0</v>
      </c>
    </row>
    <row r="923" spans="1:12" x14ac:dyDescent="0.3">
      <c r="A923" t="s">
        <v>2860</v>
      </c>
      <c r="B923" t="s">
        <v>2861</v>
      </c>
      <c r="C923" t="s">
        <v>2862</v>
      </c>
      <c r="D923" t="s">
        <v>2863</v>
      </c>
      <c r="E923" t="s">
        <v>2863</v>
      </c>
      <c r="F923">
        <v>3</v>
      </c>
      <c r="G923">
        <v>921</v>
      </c>
      <c r="H923">
        <f>IF(Table1[[#This Row],[my_ent_1]]=Table1[[#This Row],[their_ent_1]], 1, 0)</f>
        <v>0</v>
      </c>
      <c r="I923">
        <f>IF(Table1[[#This Row],[my_ent_2]]=Table1[[#This Row],[their_ent_2]], 1, 0)</f>
        <v>1</v>
      </c>
      <c r="J923">
        <f>IF(Table1[[#This Row],[same_1]]=1 &amp; Table1[[#This Row],[same_2]]=1, 1, 0)</f>
        <v>0</v>
      </c>
      <c r="K923">
        <f>IF(ISNUMBER(SEARCH(Table1[[#This Row],[their_ent_1]],Table1[[#This Row],[my_ent_1]])), 1, 0)</f>
        <v>1</v>
      </c>
      <c r="L923">
        <f>IF(ISNUMBER(SEARCH(Table1[[#This Row],[their_ent_2]],Table1[[#This Row],[my_ent_2]])), 1, 0)</f>
        <v>1</v>
      </c>
    </row>
    <row r="924" spans="1:12" x14ac:dyDescent="0.3">
      <c r="A924" t="s">
        <v>2864</v>
      </c>
      <c r="B924" t="s">
        <v>2865</v>
      </c>
      <c r="C924" t="s">
        <v>2866</v>
      </c>
      <c r="D924" t="s">
        <v>1362</v>
      </c>
      <c r="E924" t="s">
        <v>205</v>
      </c>
      <c r="F924">
        <v>1</v>
      </c>
      <c r="G924">
        <v>922</v>
      </c>
      <c r="H924">
        <f>IF(Table1[[#This Row],[my_ent_1]]=Table1[[#This Row],[their_ent_1]], 1, 0)</f>
        <v>0</v>
      </c>
      <c r="I924">
        <f>IF(Table1[[#This Row],[my_ent_2]]=Table1[[#This Row],[their_ent_2]], 1, 0)</f>
        <v>0</v>
      </c>
      <c r="J924">
        <f>IF(Table1[[#This Row],[same_1]]=1 &amp; Table1[[#This Row],[same_2]]=1, 1, 0)</f>
        <v>0</v>
      </c>
      <c r="K924">
        <f>IF(ISNUMBER(SEARCH(Table1[[#This Row],[their_ent_1]],Table1[[#This Row],[my_ent_1]])), 1, 0)</f>
        <v>1</v>
      </c>
      <c r="L924">
        <f>IF(ISNUMBER(SEARCH(Table1[[#This Row],[their_ent_2]],Table1[[#This Row],[my_ent_2]])), 1, 0)</f>
        <v>0</v>
      </c>
    </row>
    <row r="925" spans="1:12" x14ac:dyDescent="0.3">
      <c r="A925" t="s">
        <v>2867</v>
      </c>
      <c r="B925" t="s">
        <v>2868</v>
      </c>
      <c r="C925" t="s">
        <v>2869</v>
      </c>
      <c r="D925" t="s">
        <v>2869</v>
      </c>
      <c r="E925" t="s">
        <v>2870</v>
      </c>
      <c r="F925">
        <v>3</v>
      </c>
      <c r="G925">
        <v>923</v>
      </c>
      <c r="H925">
        <f>IF(Table1[[#This Row],[my_ent_1]]=Table1[[#This Row],[their_ent_1]], 1, 0)</f>
        <v>0</v>
      </c>
      <c r="I925">
        <f>IF(Table1[[#This Row],[my_ent_2]]=Table1[[#This Row],[their_ent_2]], 1, 0)</f>
        <v>0</v>
      </c>
      <c r="J925">
        <f>IF(Table1[[#This Row],[same_1]]=1 &amp; Table1[[#This Row],[same_2]]=1, 1, 0)</f>
        <v>0</v>
      </c>
      <c r="K925">
        <f>IF(ISNUMBER(SEARCH(Table1[[#This Row],[their_ent_1]],Table1[[#This Row],[my_ent_1]])), 1, 0)</f>
        <v>0</v>
      </c>
      <c r="L925">
        <f>IF(ISNUMBER(SEARCH(Table1[[#This Row],[their_ent_2]],Table1[[#This Row],[my_ent_2]])), 1, 0)</f>
        <v>0</v>
      </c>
    </row>
    <row r="926" spans="1:12" x14ac:dyDescent="0.3">
      <c r="A926" t="s">
        <v>2871</v>
      </c>
      <c r="B926" t="s">
        <v>2872</v>
      </c>
      <c r="C926" t="s">
        <v>2872</v>
      </c>
      <c r="D926" t="s">
        <v>2873</v>
      </c>
      <c r="E926" t="s">
        <v>2874</v>
      </c>
      <c r="F926">
        <v>3</v>
      </c>
      <c r="G926">
        <v>924</v>
      </c>
      <c r="H926">
        <f>IF(Table1[[#This Row],[my_ent_1]]=Table1[[#This Row],[their_ent_1]], 1, 0)</f>
        <v>1</v>
      </c>
      <c r="I926">
        <f>IF(Table1[[#This Row],[my_ent_2]]=Table1[[#This Row],[their_ent_2]], 1, 0)</f>
        <v>0</v>
      </c>
      <c r="J926">
        <f>IF(Table1[[#This Row],[same_1]]=1 &amp; Table1[[#This Row],[same_2]]=1, 1, 0)</f>
        <v>0</v>
      </c>
      <c r="K926">
        <f>IF(ISNUMBER(SEARCH(Table1[[#This Row],[their_ent_1]],Table1[[#This Row],[my_ent_1]])), 1, 0)</f>
        <v>1</v>
      </c>
      <c r="L926">
        <f>IF(ISNUMBER(SEARCH(Table1[[#This Row],[their_ent_2]],Table1[[#This Row],[my_ent_2]])), 1, 0)</f>
        <v>1</v>
      </c>
    </row>
    <row r="927" spans="1:12" x14ac:dyDescent="0.3">
      <c r="A927" t="s">
        <v>2875</v>
      </c>
      <c r="B927" t="s">
        <v>20</v>
      </c>
      <c r="C927" t="s">
        <v>748</v>
      </c>
      <c r="D927" t="s">
        <v>202</v>
      </c>
      <c r="E927" t="s">
        <v>407</v>
      </c>
      <c r="F927">
        <v>1</v>
      </c>
      <c r="G927">
        <v>925</v>
      </c>
      <c r="H927">
        <f>IF(Table1[[#This Row],[my_ent_1]]=Table1[[#This Row],[their_ent_1]], 1, 0)</f>
        <v>0</v>
      </c>
      <c r="I927">
        <f>IF(Table1[[#This Row],[my_ent_2]]=Table1[[#This Row],[their_ent_2]], 1, 0)</f>
        <v>0</v>
      </c>
      <c r="J927">
        <f>IF(Table1[[#This Row],[same_1]]=1 &amp; Table1[[#This Row],[same_2]]=1, 1, 0)</f>
        <v>0</v>
      </c>
      <c r="K927">
        <f>IF(ISNUMBER(SEARCH(Table1[[#This Row],[their_ent_1]],Table1[[#This Row],[my_ent_1]])), 1, 0)</f>
        <v>0</v>
      </c>
      <c r="L927">
        <f>IF(ISNUMBER(SEARCH(Table1[[#This Row],[their_ent_2]],Table1[[#This Row],[my_ent_2]])), 1, 0)</f>
        <v>0</v>
      </c>
    </row>
    <row r="928" spans="1:12" x14ac:dyDescent="0.3">
      <c r="A928" t="s">
        <v>2876</v>
      </c>
      <c r="B928" t="s">
        <v>2877</v>
      </c>
      <c r="C928" t="s">
        <v>2877</v>
      </c>
      <c r="D928" t="s">
        <v>411</v>
      </c>
      <c r="E928" t="s">
        <v>796</v>
      </c>
      <c r="F928">
        <v>3</v>
      </c>
      <c r="G928">
        <v>926</v>
      </c>
      <c r="H928">
        <f>IF(Table1[[#This Row],[my_ent_1]]=Table1[[#This Row],[their_ent_1]], 1, 0)</f>
        <v>1</v>
      </c>
      <c r="I928">
        <f>IF(Table1[[#This Row],[my_ent_2]]=Table1[[#This Row],[their_ent_2]], 1, 0)</f>
        <v>0</v>
      </c>
      <c r="J928">
        <f>IF(Table1[[#This Row],[same_1]]=1 &amp; Table1[[#This Row],[same_2]]=1, 1, 0)</f>
        <v>0</v>
      </c>
      <c r="K928">
        <f>IF(ISNUMBER(SEARCH(Table1[[#This Row],[their_ent_1]],Table1[[#This Row],[my_ent_1]])), 1, 0)</f>
        <v>1</v>
      </c>
      <c r="L928">
        <f>IF(ISNUMBER(SEARCH(Table1[[#This Row],[their_ent_2]],Table1[[#This Row],[my_ent_2]])), 1, 0)</f>
        <v>1</v>
      </c>
    </row>
    <row r="929" spans="1:12" x14ac:dyDescent="0.3">
      <c r="A929" t="s">
        <v>2878</v>
      </c>
      <c r="B929" t="s">
        <v>2879</v>
      </c>
      <c r="C929" t="s">
        <v>2879</v>
      </c>
      <c r="D929" t="s">
        <v>2880</v>
      </c>
      <c r="E929" t="s">
        <v>894</v>
      </c>
      <c r="F929">
        <v>2</v>
      </c>
      <c r="G929">
        <v>927</v>
      </c>
      <c r="H929">
        <f>IF(Table1[[#This Row],[my_ent_1]]=Table1[[#This Row],[their_ent_1]], 1, 0)</f>
        <v>1</v>
      </c>
      <c r="I929">
        <f>IF(Table1[[#This Row],[my_ent_2]]=Table1[[#This Row],[their_ent_2]], 1, 0)</f>
        <v>0</v>
      </c>
      <c r="J929">
        <f>IF(Table1[[#This Row],[same_1]]=1 &amp; Table1[[#This Row],[same_2]]=1, 1, 0)</f>
        <v>0</v>
      </c>
      <c r="K929">
        <f>IF(ISNUMBER(SEARCH(Table1[[#This Row],[their_ent_1]],Table1[[#This Row],[my_ent_1]])), 1, 0)</f>
        <v>1</v>
      </c>
      <c r="L929">
        <f>IF(ISNUMBER(SEARCH(Table1[[#This Row],[their_ent_2]],Table1[[#This Row],[my_ent_2]])), 1, 0)</f>
        <v>0</v>
      </c>
    </row>
    <row r="930" spans="1:12" x14ac:dyDescent="0.3">
      <c r="A930" t="s">
        <v>2881</v>
      </c>
      <c r="B930" t="s">
        <v>2882</v>
      </c>
      <c r="C930" t="s">
        <v>2882</v>
      </c>
      <c r="D930" t="s">
        <v>51</v>
      </c>
      <c r="E930" t="s">
        <v>2883</v>
      </c>
      <c r="F930">
        <v>3</v>
      </c>
      <c r="G930">
        <v>928</v>
      </c>
      <c r="H930">
        <f>IF(Table1[[#This Row],[my_ent_1]]=Table1[[#This Row],[their_ent_1]], 1, 0)</f>
        <v>1</v>
      </c>
      <c r="I930">
        <f>IF(Table1[[#This Row],[my_ent_2]]=Table1[[#This Row],[their_ent_2]], 1, 0)</f>
        <v>0</v>
      </c>
      <c r="J930">
        <f>IF(Table1[[#This Row],[same_1]]=1 &amp; Table1[[#This Row],[same_2]]=1, 1, 0)</f>
        <v>0</v>
      </c>
      <c r="K930">
        <f>IF(ISNUMBER(SEARCH(Table1[[#This Row],[their_ent_1]],Table1[[#This Row],[my_ent_1]])), 1, 0)</f>
        <v>1</v>
      </c>
      <c r="L930">
        <f>IF(ISNUMBER(SEARCH(Table1[[#This Row],[their_ent_2]],Table1[[#This Row],[my_ent_2]])), 1, 0)</f>
        <v>0</v>
      </c>
    </row>
    <row r="931" spans="1:12" x14ac:dyDescent="0.3">
      <c r="A931" t="s">
        <v>2884</v>
      </c>
      <c r="B931" t="s">
        <v>381</v>
      </c>
      <c r="C931" t="s">
        <v>381</v>
      </c>
      <c r="D931" t="s">
        <v>20</v>
      </c>
      <c r="E931" t="s">
        <v>407</v>
      </c>
      <c r="F931">
        <v>3</v>
      </c>
      <c r="G931">
        <v>929</v>
      </c>
      <c r="H931">
        <f>IF(Table1[[#This Row],[my_ent_1]]=Table1[[#This Row],[their_ent_1]], 1, 0)</f>
        <v>1</v>
      </c>
      <c r="I931">
        <f>IF(Table1[[#This Row],[my_ent_2]]=Table1[[#This Row],[their_ent_2]], 1, 0)</f>
        <v>0</v>
      </c>
      <c r="J931">
        <f>IF(Table1[[#This Row],[same_1]]=1 &amp; Table1[[#This Row],[same_2]]=1, 1, 0)</f>
        <v>0</v>
      </c>
      <c r="K931">
        <f>IF(ISNUMBER(SEARCH(Table1[[#This Row],[their_ent_1]],Table1[[#This Row],[my_ent_1]])), 1, 0)</f>
        <v>1</v>
      </c>
      <c r="L931">
        <f>IF(ISNUMBER(SEARCH(Table1[[#This Row],[their_ent_2]],Table1[[#This Row],[my_ent_2]])), 1, 0)</f>
        <v>0</v>
      </c>
    </row>
    <row r="932" spans="1:12" x14ac:dyDescent="0.3">
      <c r="A932" t="s">
        <v>2885</v>
      </c>
      <c r="B932" t="s">
        <v>140</v>
      </c>
      <c r="C932" t="s">
        <v>140</v>
      </c>
      <c r="D932" t="s">
        <v>2886</v>
      </c>
      <c r="E932" t="s">
        <v>2887</v>
      </c>
      <c r="F932">
        <v>3</v>
      </c>
      <c r="G932">
        <v>930</v>
      </c>
      <c r="H932">
        <f>IF(Table1[[#This Row],[my_ent_1]]=Table1[[#This Row],[their_ent_1]], 1, 0)</f>
        <v>1</v>
      </c>
      <c r="I932">
        <f>IF(Table1[[#This Row],[my_ent_2]]=Table1[[#This Row],[their_ent_2]], 1, 0)</f>
        <v>0</v>
      </c>
      <c r="J932">
        <f>IF(Table1[[#This Row],[same_1]]=1 &amp; Table1[[#This Row],[same_2]]=1, 1, 0)</f>
        <v>0</v>
      </c>
      <c r="K932">
        <f>IF(ISNUMBER(SEARCH(Table1[[#This Row],[their_ent_1]],Table1[[#This Row],[my_ent_1]])), 1, 0)</f>
        <v>1</v>
      </c>
      <c r="L932">
        <f>IF(ISNUMBER(SEARCH(Table1[[#This Row],[their_ent_2]],Table1[[#This Row],[my_ent_2]])), 1, 0)</f>
        <v>1</v>
      </c>
    </row>
    <row r="933" spans="1:12" x14ac:dyDescent="0.3">
      <c r="A933" t="s">
        <v>2888</v>
      </c>
      <c r="B933" t="s">
        <v>2889</v>
      </c>
      <c r="C933" t="s">
        <v>2890</v>
      </c>
      <c r="D933" t="s">
        <v>381</v>
      </c>
      <c r="E933" t="s">
        <v>381</v>
      </c>
      <c r="F933">
        <v>3</v>
      </c>
      <c r="G933">
        <v>931</v>
      </c>
      <c r="H933">
        <f>IF(Table1[[#This Row],[my_ent_1]]=Table1[[#This Row],[their_ent_1]], 1, 0)</f>
        <v>0</v>
      </c>
      <c r="I933">
        <f>IF(Table1[[#This Row],[my_ent_2]]=Table1[[#This Row],[their_ent_2]], 1, 0)</f>
        <v>1</v>
      </c>
      <c r="J933">
        <f>IF(Table1[[#This Row],[same_1]]=1 &amp; Table1[[#This Row],[same_2]]=1, 1, 0)</f>
        <v>0</v>
      </c>
      <c r="K933">
        <f>IF(ISNUMBER(SEARCH(Table1[[#This Row],[their_ent_1]],Table1[[#This Row],[my_ent_1]])), 1, 0)</f>
        <v>1</v>
      </c>
      <c r="L933">
        <f>IF(ISNUMBER(SEARCH(Table1[[#This Row],[their_ent_2]],Table1[[#This Row],[my_ent_2]])), 1, 0)</f>
        <v>1</v>
      </c>
    </row>
    <row r="934" spans="1:12" x14ac:dyDescent="0.3">
      <c r="A934" t="s">
        <v>2891</v>
      </c>
      <c r="B934" t="s">
        <v>2892</v>
      </c>
      <c r="C934" t="s">
        <v>2892</v>
      </c>
      <c r="D934" t="s">
        <v>59</v>
      </c>
      <c r="E934" t="s">
        <v>498</v>
      </c>
      <c r="F934">
        <v>1</v>
      </c>
      <c r="G934">
        <v>932</v>
      </c>
      <c r="H934">
        <f>IF(Table1[[#This Row],[my_ent_1]]=Table1[[#This Row],[their_ent_1]], 1, 0)</f>
        <v>1</v>
      </c>
      <c r="I934">
        <f>IF(Table1[[#This Row],[my_ent_2]]=Table1[[#This Row],[their_ent_2]], 1, 0)</f>
        <v>0</v>
      </c>
      <c r="J934">
        <f>IF(Table1[[#This Row],[same_1]]=1 &amp; Table1[[#This Row],[same_2]]=1, 1, 0)</f>
        <v>0</v>
      </c>
      <c r="K934">
        <f>IF(ISNUMBER(SEARCH(Table1[[#This Row],[their_ent_1]],Table1[[#This Row],[my_ent_1]])), 1, 0)</f>
        <v>1</v>
      </c>
      <c r="L934">
        <f>IF(ISNUMBER(SEARCH(Table1[[#This Row],[their_ent_2]],Table1[[#This Row],[my_ent_2]])), 1, 0)</f>
        <v>0</v>
      </c>
    </row>
    <row r="935" spans="1:12" x14ac:dyDescent="0.3">
      <c r="A935" t="s">
        <v>2893</v>
      </c>
      <c r="B935" t="s">
        <v>353</v>
      </c>
      <c r="C935" t="s">
        <v>78</v>
      </c>
      <c r="D935" t="s">
        <v>78</v>
      </c>
      <c r="E935" t="s">
        <v>2894</v>
      </c>
      <c r="F935">
        <v>3</v>
      </c>
      <c r="G935">
        <v>933</v>
      </c>
      <c r="H935">
        <f>IF(Table1[[#This Row],[my_ent_1]]=Table1[[#This Row],[their_ent_1]], 1, 0)</f>
        <v>0</v>
      </c>
      <c r="I935">
        <f>IF(Table1[[#This Row],[my_ent_2]]=Table1[[#This Row],[their_ent_2]], 1, 0)</f>
        <v>0</v>
      </c>
      <c r="J935">
        <f>IF(Table1[[#This Row],[same_1]]=1 &amp; Table1[[#This Row],[same_2]]=1, 1, 0)</f>
        <v>0</v>
      </c>
      <c r="K935">
        <f>IF(ISNUMBER(SEARCH(Table1[[#This Row],[their_ent_1]],Table1[[#This Row],[my_ent_1]])), 1, 0)</f>
        <v>0</v>
      </c>
      <c r="L935">
        <f>IF(ISNUMBER(SEARCH(Table1[[#This Row],[their_ent_2]],Table1[[#This Row],[my_ent_2]])), 1, 0)</f>
        <v>0</v>
      </c>
    </row>
    <row r="936" spans="1:12" x14ac:dyDescent="0.3">
      <c r="A936" t="s">
        <v>2895</v>
      </c>
      <c r="B936" t="s">
        <v>2896</v>
      </c>
      <c r="C936" t="s">
        <v>2896</v>
      </c>
      <c r="D936" t="s">
        <v>2897</v>
      </c>
      <c r="E936" t="s">
        <v>2898</v>
      </c>
      <c r="F936">
        <v>3</v>
      </c>
      <c r="G936">
        <v>934</v>
      </c>
      <c r="H936">
        <f>IF(Table1[[#This Row],[my_ent_1]]=Table1[[#This Row],[their_ent_1]], 1, 0)</f>
        <v>1</v>
      </c>
      <c r="I936">
        <f>IF(Table1[[#This Row],[my_ent_2]]=Table1[[#This Row],[their_ent_2]], 1, 0)</f>
        <v>0</v>
      </c>
      <c r="J936">
        <f>IF(Table1[[#This Row],[same_1]]=1 &amp; Table1[[#This Row],[same_2]]=1, 1, 0)</f>
        <v>0</v>
      </c>
      <c r="K936">
        <f>IF(ISNUMBER(SEARCH(Table1[[#This Row],[their_ent_1]],Table1[[#This Row],[my_ent_1]])), 1, 0)</f>
        <v>1</v>
      </c>
      <c r="L936">
        <f>IF(ISNUMBER(SEARCH(Table1[[#This Row],[their_ent_2]],Table1[[#This Row],[my_ent_2]])), 1, 0)</f>
        <v>1</v>
      </c>
    </row>
    <row r="937" spans="1:12" x14ac:dyDescent="0.3">
      <c r="A937" t="s">
        <v>2899</v>
      </c>
      <c r="B937" t="s">
        <v>2900</v>
      </c>
      <c r="C937" t="s">
        <v>2901</v>
      </c>
      <c r="D937" t="s">
        <v>2902</v>
      </c>
      <c r="E937" t="s">
        <v>2903</v>
      </c>
      <c r="F937">
        <v>1</v>
      </c>
      <c r="G937">
        <v>935</v>
      </c>
      <c r="H937">
        <f>IF(Table1[[#This Row],[my_ent_1]]=Table1[[#This Row],[their_ent_1]], 1, 0)</f>
        <v>0</v>
      </c>
      <c r="I937">
        <f>IF(Table1[[#This Row],[my_ent_2]]=Table1[[#This Row],[their_ent_2]], 1, 0)</f>
        <v>0</v>
      </c>
      <c r="J937">
        <f>IF(Table1[[#This Row],[same_1]]=1 &amp; Table1[[#This Row],[same_2]]=1, 1, 0)</f>
        <v>0</v>
      </c>
      <c r="K937">
        <f>IF(ISNUMBER(SEARCH(Table1[[#This Row],[their_ent_1]],Table1[[#This Row],[my_ent_1]])), 1, 0)</f>
        <v>0</v>
      </c>
      <c r="L937">
        <f>IF(ISNUMBER(SEARCH(Table1[[#This Row],[their_ent_2]],Table1[[#This Row],[my_ent_2]])), 1, 0)</f>
        <v>0</v>
      </c>
    </row>
    <row r="938" spans="1:12" x14ac:dyDescent="0.3">
      <c r="A938" t="s">
        <v>2904</v>
      </c>
      <c r="B938" t="s">
        <v>2905</v>
      </c>
      <c r="C938" t="s">
        <v>1674</v>
      </c>
      <c r="D938" t="s">
        <v>1579</v>
      </c>
      <c r="E938" t="s">
        <v>1027</v>
      </c>
      <c r="F938">
        <v>1</v>
      </c>
      <c r="G938">
        <v>936</v>
      </c>
      <c r="H938">
        <f>IF(Table1[[#This Row],[my_ent_1]]=Table1[[#This Row],[their_ent_1]], 1, 0)</f>
        <v>0</v>
      </c>
      <c r="I938">
        <f>IF(Table1[[#This Row],[my_ent_2]]=Table1[[#This Row],[their_ent_2]], 1, 0)</f>
        <v>0</v>
      </c>
      <c r="J938">
        <f>IF(Table1[[#This Row],[same_1]]=1 &amp; Table1[[#This Row],[same_2]]=1, 1, 0)</f>
        <v>0</v>
      </c>
      <c r="K938">
        <f>IF(ISNUMBER(SEARCH(Table1[[#This Row],[their_ent_1]],Table1[[#This Row],[my_ent_1]])), 1, 0)</f>
        <v>0</v>
      </c>
      <c r="L938">
        <f>IF(ISNUMBER(SEARCH(Table1[[#This Row],[their_ent_2]],Table1[[#This Row],[my_ent_2]])), 1, 0)</f>
        <v>0</v>
      </c>
    </row>
    <row r="939" spans="1:12" x14ac:dyDescent="0.3">
      <c r="A939" t="s">
        <v>2906</v>
      </c>
      <c r="B939" t="s">
        <v>78</v>
      </c>
      <c r="C939" t="s">
        <v>78</v>
      </c>
      <c r="D939" t="s">
        <v>175</v>
      </c>
      <c r="E939" t="s">
        <v>176</v>
      </c>
      <c r="F939">
        <v>3</v>
      </c>
      <c r="G939">
        <v>937</v>
      </c>
      <c r="H939">
        <f>IF(Table1[[#This Row],[my_ent_1]]=Table1[[#This Row],[their_ent_1]], 1, 0)</f>
        <v>1</v>
      </c>
      <c r="I939">
        <f>IF(Table1[[#This Row],[my_ent_2]]=Table1[[#This Row],[their_ent_2]], 1, 0)</f>
        <v>0</v>
      </c>
      <c r="J939">
        <f>IF(Table1[[#This Row],[same_1]]=1 &amp; Table1[[#This Row],[same_2]]=1, 1, 0)</f>
        <v>0</v>
      </c>
      <c r="K939">
        <f>IF(ISNUMBER(SEARCH(Table1[[#This Row],[their_ent_1]],Table1[[#This Row],[my_ent_1]])), 1, 0)</f>
        <v>1</v>
      </c>
      <c r="L939">
        <f>IF(ISNUMBER(SEARCH(Table1[[#This Row],[their_ent_2]],Table1[[#This Row],[my_ent_2]])), 1, 0)</f>
        <v>1</v>
      </c>
    </row>
    <row r="940" spans="1:12" x14ac:dyDescent="0.3">
      <c r="A940" t="s">
        <v>2907</v>
      </c>
      <c r="B940" t="s">
        <v>2874</v>
      </c>
      <c r="C940" t="s">
        <v>128</v>
      </c>
      <c r="D940" t="s">
        <v>501</v>
      </c>
      <c r="E940" t="s">
        <v>2908</v>
      </c>
      <c r="F940">
        <v>3</v>
      </c>
      <c r="G940">
        <v>938</v>
      </c>
      <c r="H940">
        <f>IF(Table1[[#This Row],[my_ent_1]]=Table1[[#This Row],[their_ent_1]], 1, 0)</f>
        <v>0</v>
      </c>
      <c r="I940">
        <f>IF(Table1[[#This Row],[my_ent_2]]=Table1[[#This Row],[their_ent_2]], 1, 0)</f>
        <v>0</v>
      </c>
      <c r="J940">
        <f>IF(Table1[[#This Row],[same_1]]=1 &amp; Table1[[#This Row],[same_2]]=1, 1, 0)</f>
        <v>0</v>
      </c>
      <c r="K940">
        <f>IF(ISNUMBER(SEARCH(Table1[[#This Row],[their_ent_1]],Table1[[#This Row],[my_ent_1]])), 1, 0)</f>
        <v>0</v>
      </c>
      <c r="L940">
        <f>IF(ISNUMBER(SEARCH(Table1[[#This Row],[their_ent_2]],Table1[[#This Row],[my_ent_2]])), 1, 0)</f>
        <v>0</v>
      </c>
    </row>
    <row r="941" spans="1:12" x14ac:dyDescent="0.3">
      <c r="A941" t="s">
        <v>2909</v>
      </c>
      <c r="B941" t="s">
        <v>592</v>
      </c>
      <c r="C941" t="s">
        <v>410</v>
      </c>
      <c r="D941" t="s">
        <v>2910</v>
      </c>
      <c r="E941" t="s">
        <v>2910</v>
      </c>
      <c r="F941">
        <v>1</v>
      </c>
      <c r="G941">
        <v>939</v>
      </c>
      <c r="H941">
        <f>IF(Table1[[#This Row],[my_ent_1]]=Table1[[#This Row],[their_ent_1]], 1, 0)</f>
        <v>0</v>
      </c>
      <c r="I941">
        <f>IF(Table1[[#This Row],[my_ent_2]]=Table1[[#This Row],[their_ent_2]], 1, 0)</f>
        <v>1</v>
      </c>
      <c r="J941">
        <f>IF(Table1[[#This Row],[same_1]]=1 &amp; Table1[[#This Row],[same_2]]=1, 1, 0)</f>
        <v>0</v>
      </c>
      <c r="K941">
        <f>IF(ISNUMBER(SEARCH(Table1[[#This Row],[their_ent_1]],Table1[[#This Row],[my_ent_1]])), 1, 0)</f>
        <v>1</v>
      </c>
      <c r="L941">
        <f>IF(ISNUMBER(SEARCH(Table1[[#This Row],[their_ent_2]],Table1[[#This Row],[my_ent_2]])), 1, 0)</f>
        <v>1</v>
      </c>
    </row>
    <row r="942" spans="1:12" x14ac:dyDescent="0.3">
      <c r="A942" t="s">
        <v>2911</v>
      </c>
      <c r="B942" t="s">
        <v>2912</v>
      </c>
      <c r="C942" t="s">
        <v>2913</v>
      </c>
      <c r="D942" t="s">
        <v>2914</v>
      </c>
      <c r="E942" t="s">
        <v>2914</v>
      </c>
      <c r="F942">
        <v>1</v>
      </c>
      <c r="G942">
        <v>940</v>
      </c>
      <c r="H942">
        <f>IF(Table1[[#This Row],[my_ent_1]]=Table1[[#This Row],[their_ent_1]], 1, 0)</f>
        <v>0</v>
      </c>
      <c r="I942">
        <f>IF(Table1[[#This Row],[my_ent_2]]=Table1[[#This Row],[their_ent_2]], 1, 0)</f>
        <v>1</v>
      </c>
      <c r="J942">
        <f>IF(Table1[[#This Row],[same_1]]=1 &amp; Table1[[#This Row],[same_2]]=1, 1, 0)</f>
        <v>0</v>
      </c>
      <c r="K942">
        <f>IF(ISNUMBER(SEARCH(Table1[[#This Row],[their_ent_1]],Table1[[#This Row],[my_ent_1]])), 1, 0)</f>
        <v>0</v>
      </c>
      <c r="L942">
        <f>IF(ISNUMBER(SEARCH(Table1[[#This Row],[their_ent_2]],Table1[[#This Row],[my_ent_2]])), 1, 0)</f>
        <v>1</v>
      </c>
    </row>
    <row r="943" spans="1:12" x14ac:dyDescent="0.3">
      <c r="A943" t="s">
        <v>2915</v>
      </c>
      <c r="B943" t="s">
        <v>328</v>
      </c>
      <c r="C943" t="s">
        <v>329</v>
      </c>
      <c r="D943" t="s">
        <v>2916</v>
      </c>
      <c r="E943" t="s">
        <v>273</v>
      </c>
      <c r="F943">
        <v>3</v>
      </c>
      <c r="G943">
        <v>941</v>
      </c>
      <c r="H943">
        <f>IF(Table1[[#This Row],[my_ent_1]]=Table1[[#This Row],[their_ent_1]], 1, 0)</f>
        <v>0</v>
      </c>
      <c r="I943">
        <f>IF(Table1[[#This Row],[my_ent_2]]=Table1[[#This Row],[their_ent_2]], 1, 0)</f>
        <v>0</v>
      </c>
      <c r="J943">
        <f>IF(Table1[[#This Row],[same_1]]=1 &amp; Table1[[#This Row],[same_2]]=1, 1, 0)</f>
        <v>0</v>
      </c>
      <c r="K943">
        <f>IF(ISNUMBER(SEARCH(Table1[[#This Row],[their_ent_1]],Table1[[#This Row],[my_ent_1]])), 1, 0)</f>
        <v>1</v>
      </c>
      <c r="L943">
        <f>IF(ISNUMBER(SEARCH(Table1[[#This Row],[their_ent_2]],Table1[[#This Row],[my_ent_2]])), 1, 0)</f>
        <v>0</v>
      </c>
    </row>
    <row r="944" spans="1:12" x14ac:dyDescent="0.3">
      <c r="A944" t="s">
        <v>2917</v>
      </c>
      <c r="B944" t="s">
        <v>2918</v>
      </c>
      <c r="C944" t="s">
        <v>1891</v>
      </c>
      <c r="D944" t="s">
        <v>2919</v>
      </c>
      <c r="E944" t="s">
        <v>2920</v>
      </c>
      <c r="F944">
        <v>3</v>
      </c>
      <c r="G944">
        <v>942</v>
      </c>
      <c r="H944">
        <f>IF(Table1[[#This Row],[my_ent_1]]=Table1[[#This Row],[their_ent_1]], 1, 0)</f>
        <v>0</v>
      </c>
      <c r="I944">
        <f>IF(Table1[[#This Row],[my_ent_2]]=Table1[[#This Row],[their_ent_2]], 1, 0)</f>
        <v>0</v>
      </c>
      <c r="J944">
        <f>IF(Table1[[#This Row],[same_1]]=1 &amp; Table1[[#This Row],[same_2]]=1, 1, 0)</f>
        <v>0</v>
      </c>
      <c r="K944">
        <f>IF(ISNUMBER(SEARCH(Table1[[#This Row],[their_ent_1]],Table1[[#This Row],[my_ent_1]])), 1, 0)</f>
        <v>0</v>
      </c>
      <c r="L944">
        <f>IF(ISNUMBER(SEARCH(Table1[[#This Row],[their_ent_2]],Table1[[#This Row],[my_ent_2]])), 1, 0)</f>
        <v>1</v>
      </c>
    </row>
    <row r="945" spans="1:12" x14ac:dyDescent="0.3">
      <c r="A945" t="s">
        <v>2921</v>
      </c>
      <c r="B945" t="s">
        <v>1031</v>
      </c>
      <c r="C945" t="s">
        <v>1031</v>
      </c>
      <c r="D945" t="s">
        <v>2922</v>
      </c>
      <c r="E945" t="s">
        <v>103</v>
      </c>
      <c r="F945">
        <v>3</v>
      </c>
      <c r="G945">
        <v>943</v>
      </c>
      <c r="H945">
        <f>IF(Table1[[#This Row],[my_ent_1]]=Table1[[#This Row],[their_ent_1]], 1, 0)</f>
        <v>1</v>
      </c>
      <c r="I945">
        <f>IF(Table1[[#This Row],[my_ent_2]]=Table1[[#This Row],[their_ent_2]], 1, 0)</f>
        <v>0</v>
      </c>
      <c r="J945">
        <f>IF(Table1[[#This Row],[same_1]]=1 &amp; Table1[[#This Row],[same_2]]=1, 1, 0)</f>
        <v>0</v>
      </c>
      <c r="K945">
        <f>IF(ISNUMBER(SEARCH(Table1[[#This Row],[their_ent_1]],Table1[[#This Row],[my_ent_1]])), 1, 0)</f>
        <v>1</v>
      </c>
      <c r="L945">
        <f>IF(ISNUMBER(SEARCH(Table1[[#This Row],[their_ent_2]],Table1[[#This Row],[my_ent_2]])), 1, 0)</f>
        <v>1</v>
      </c>
    </row>
    <row r="946" spans="1:12" x14ac:dyDescent="0.3">
      <c r="A946" t="s">
        <v>2923</v>
      </c>
      <c r="B946" t="s">
        <v>2924</v>
      </c>
      <c r="C946" t="s">
        <v>2925</v>
      </c>
      <c r="D946" t="s">
        <v>2926</v>
      </c>
      <c r="E946" t="s">
        <v>2926</v>
      </c>
      <c r="F946">
        <v>4</v>
      </c>
      <c r="G946">
        <v>944</v>
      </c>
      <c r="H946">
        <f>IF(Table1[[#This Row],[my_ent_1]]=Table1[[#This Row],[their_ent_1]], 1, 0)</f>
        <v>0</v>
      </c>
      <c r="I946">
        <f>IF(Table1[[#This Row],[my_ent_2]]=Table1[[#This Row],[their_ent_2]], 1, 0)</f>
        <v>1</v>
      </c>
      <c r="J946">
        <f>IF(Table1[[#This Row],[same_1]]=1 &amp; Table1[[#This Row],[same_2]]=1, 1, 0)</f>
        <v>0</v>
      </c>
      <c r="K946">
        <f>IF(ISNUMBER(SEARCH(Table1[[#This Row],[their_ent_1]],Table1[[#This Row],[my_ent_1]])), 1, 0)</f>
        <v>1</v>
      </c>
      <c r="L946">
        <f>IF(ISNUMBER(SEARCH(Table1[[#This Row],[their_ent_2]],Table1[[#This Row],[my_ent_2]])), 1, 0)</f>
        <v>1</v>
      </c>
    </row>
    <row r="947" spans="1:12" x14ac:dyDescent="0.3">
      <c r="A947" t="s">
        <v>2927</v>
      </c>
      <c r="B947" t="s">
        <v>142</v>
      </c>
      <c r="C947" t="s">
        <v>678</v>
      </c>
      <c r="D947" t="s">
        <v>20</v>
      </c>
      <c r="E947" t="s">
        <v>20</v>
      </c>
      <c r="F947">
        <v>3</v>
      </c>
      <c r="G947">
        <v>945</v>
      </c>
      <c r="H947">
        <f>IF(Table1[[#This Row],[my_ent_1]]=Table1[[#This Row],[their_ent_1]], 1, 0)</f>
        <v>0</v>
      </c>
      <c r="I947">
        <f>IF(Table1[[#This Row],[my_ent_2]]=Table1[[#This Row],[their_ent_2]], 1, 0)</f>
        <v>1</v>
      </c>
      <c r="J947">
        <f>IF(Table1[[#This Row],[same_1]]=1 &amp; Table1[[#This Row],[same_2]]=1, 1, 0)</f>
        <v>0</v>
      </c>
      <c r="K947">
        <f>IF(ISNUMBER(SEARCH(Table1[[#This Row],[their_ent_1]],Table1[[#This Row],[my_ent_1]])), 1, 0)</f>
        <v>0</v>
      </c>
      <c r="L947">
        <f>IF(ISNUMBER(SEARCH(Table1[[#This Row],[their_ent_2]],Table1[[#This Row],[my_ent_2]])), 1, 0)</f>
        <v>1</v>
      </c>
    </row>
    <row r="948" spans="1:12" x14ac:dyDescent="0.3">
      <c r="A948" t="s">
        <v>2928</v>
      </c>
      <c r="B948" t="s">
        <v>238</v>
      </c>
      <c r="C948" t="s">
        <v>238</v>
      </c>
      <c r="D948" t="s">
        <v>2929</v>
      </c>
      <c r="E948" t="s">
        <v>2930</v>
      </c>
      <c r="F948">
        <v>3</v>
      </c>
      <c r="G948">
        <v>946</v>
      </c>
      <c r="H948">
        <f>IF(Table1[[#This Row],[my_ent_1]]=Table1[[#This Row],[their_ent_1]], 1, 0)</f>
        <v>1</v>
      </c>
      <c r="I948">
        <f>IF(Table1[[#This Row],[my_ent_2]]=Table1[[#This Row],[their_ent_2]], 1, 0)</f>
        <v>0</v>
      </c>
      <c r="J948">
        <f>IF(Table1[[#This Row],[same_1]]=1 &amp; Table1[[#This Row],[same_2]]=1, 1, 0)</f>
        <v>0</v>
      </c>
      <c r="K948">
        <f>IF(ISNUMBER(SEARCH(Table1[[#This Row],[their_ent_1]],Table1[[#This Row],[my_ent_1]])), 1, 0)</f>
        <v>1</v>
      </c>
      <c r="L948">
        <f>IF(ISNUMBER(SEARCH(Table1[[#This Row],[their_ent_2]],Table1[[#This Row],[my_ent_2]])), 1, 0)</f>
        <v>0</v>
      </c>
    </row>
    <row r="949" spans="1:12" x14ac:dyDescent="0.3">
      <c r="A949" t="s">
        <v>2931</v>
      </c>
      <c r="B949" t="s">
        <v>2932</v>
      </c>
      <c r="C949" t="s">
        <v>576</v>
      </c>
      <c r="D949" t="s">
        <v>2933</v>
      </c>
      <c r="E949" t="s">
        <v>2934</v>
      </c>
      <c r="F949">
        <v>3</v>
      </c>
      <c r="G949">
        <v>947</v>
      </c>
      <c r="H949">
        <f>IF(Table1[[#This Row],[my_ent_1]]=Table1[[#This Row],[their_ent_1]], 1, 0)</f>
        <v>0</v>
      </c>
      <c r="I949">
        <f>IF(Table1[[#This Row],[my_ent_2]]=Table1[[#This Row],[their_ent_2]], 1, 0)</f>
        <v>0</v>
      </c>
      <c r="J949">
        <f>IF(Table1[[#This Row],[same_1]]=1 &amp; Table1[[#This Row],[same_2]]=1, 1, 0)</f>
        <v>0</v>
      </c>
      <c r="K949">
        <f>IF(ISNUMBER(SEARCH(Table1[[#This Row],[their_ent_1]],Table1[[#This Row],[my_ent_1]])), 1, 0)</f>
        <v>0</v>
      </c>
      <c r="L949">
        <f>IF(ISNUMBER(SEARCH(Table1[[#This Row],[their_ent_2]],Table1[[#This Row],[my_ent_2]])), 1, 0)</f>
        <v>1</v>
      </c>
    </row>
    <row r="950" spans="1:12" x14ac:dyDescent="0.3">
      <c r="A950" t="s">
        <v>2935</v>
      </c>
      <c r="B950" t="s">
        <v>2936</v>
      </c>
      <c r="C950" t="s">
        <v>2937</v>
      </c>
      <c r="D950" t="s">
        <v>59</v>
      </c>
      <c r="E950" t="s">
        <v>2938</v>
      </c>
      <c r="F950">
        <v>1</v>
      </c>
      <c r="G950">
        <v>948</v>
      </c>
      <c r="H950">
        <f>IF(Table1[[#This Row],[my_ent_1]]=Table1[[#This Row],[their_ent_1]], 1, 0)</f>
        <v>0</v>
      </c>
      <c r="I950">
        <f>IF(Table1[[#This Row],[my_ent_2]]=Table1[[#This Row],[their_ent_2]], 1, 0)</f>
        <v>0</v>
      </c>
      <c r="J950">
        <f>IF(Table1[[#This Row],[same_1]]=1 &amp; Table1[[#This Row],[same_2]]=1, 1, 0)</f>
        <v>0</v>
      </c>
      <c r="K950">
        <f>IF(ISNUMBER(SEARCH(Table1[[#This Row],[their_ent_1]],Table1[[#This Row],[my_ent_1]])), 1, 0)</f>
        <v>1</v>
      </c>
      <c r="L950">
        <f>IF(ISNUMBER(SEARCH(Table1[[#This Row],[their_ent_2]],Table1[[#This Row],[my_ent_2]])), 1, 0)</f>
        <v>0</v>
      </c>
    </row>
    <row r="951" spans="1:12" x14ac:dyDescent="0.3">
      <c r="A951" t="s">
        <v>2939</v>
      </c>
      <c r="B951" t="s">
        <v>2940</v>
      </c>
      <c r="C951" t="s">
        <v>2941</v>
      </c>
      <c r="D951" t="s">
        <v>2942</v>
      </c>
      <c r="E951" t="s">
        <v>2942</v>
      </c>
      <c r="F951">
        <v>3</v>
      </c>
      <c r="G951">
        <v>949</v>
      </c>
      <c r="H951">
        <f>IF(Table1[[#This Row],[my_ent_1]]=Table1[[#This Row],[their_ent_1]], 1, 0)</f>
        <v>0</v>
      </c>
      <c r="I951">
        <f>IF(Table1[[#This Row],[my_ent_2]]=Table1[[#This Row],[their_ent_2]], 1, 0)</f>
        <v>1</v>
      </c>
      <c r="J951">
        <f>IF(Table1[[#This Row],[same_1]]=1 &amp; Table1[[#This Row],[same_2]]=1, 1, 0)</f>
        <v>0</v>
      </c>
      <c r="K951">
        <f>IF(ISNUMBER(SEARCH(Table1[[#This Row],[their_ent_1]],Table1[[#This Row],[my_ent_1]])), 1, 0)</f>
        <v>1</v>
      </c>
      <c r="L951">
        <f>IF(ISNUMBER(SEARCH(Table1[[#This Row],[their_ent_2]],Table1[[#This Row],[my_ent_2]])), 1, 0)</f>
        <v>1</v>
      </c>
    </row>
    <row r="952" spans="1:12" x14ac:dyDescent="0.3">
      <c r="A952" t="s">
        <v>2943</v>
      </c>
      <c r="B952" t="s">
        <v>707</v>
      </c>
      <c r="C952" t="s">
        <v>707</v>
      </c>
      <c r="D952" t="s">
        <v>29</v>
      </c>
      <c r="E952" t="s">
        <v>273</v>
      </c>
      <c r="F952">
        <v>3</v>
      </c>
      <c r="G952">
        <v>950</v>
      </c>
      <c r="H952">
        <f>IF(Table1[[#This Row],[my_ent_1]]=Table1[[#This Row],[their_ent_1]], 1, 0)</f>
        <v>1</v>
      </c>
      <c r="I952">
        <f>IF(Table1[[#This Row],[my_ent_2]]=Table1[[#This Row],[their_ent_2]], 1, 0)</f>
        <v>0</v>
      </c>
      <c r="J952">
        <f>IF(Table1[[#This Row],[same_1]]=1 &amp; Table1[[#This Row],[same_2]]=1, 1, 0)</f>
        <v>0</v>
      </c>
      <c r="K952">
        <f>IF(ISNUMBER(SEARCH(Table1[[#This Row],[their_ent_1]],Table1[[#This Row],[my_ent_1]])), 1, 0)</f>
        <v>1</v>
      </c>
      <c r="L952">
        <f>IF(ISNUMBER(SEARCH(Table1[[#This Row],[their_ent_2]],Table1[[#This Row],[my_ent_2]])), 1, 0)</f>
        <v>0</v>
      </c>
    </row>
    <row r="953" spans="1:12" x14ac:dyDescent="0.3">
      <c r="A953" t="s">
        <v>2944</v>
      </c>
      <c r="B953" t="s">
        <v>2945</v>
      </c>
      <c r="C953" t="s">
        <v>127</v>
      </c>
      <c r="D953" t="s">
        <v>127</v>
      </c>
      <c r="E953" t="s">
        <v>2946</v>
      </c>
      <c r="F953">
        <v>4</v>
      </c>
      <c r="G953">
        <v>951</v>
      </c>
      <c r="H953">
        <f>IF(Table1[[#This Row],[my_ent_1]]=Table1[[#This Row],[their_ent_1]], 1, 0)</f>
        <v>0</v>
      </c>
      <c r="I953">
        <f>IF(Table1[[#This Row],[my_ent_2]]=Table1[[#This Row],[their_ent_2]], 1, 0)</f>
        <v>0</v>
      </c>
      <c r="J953">
        <f>IF(Table1[[#This Row],[same_1]]=1 &amp; Table1[[#This Row],[same_2]]=1, 1, 0)</f>
        <v>0</v>
      </c>
      <c r="K953">
        <f>IF(ISNUMBER(SEARCH(Table1[[#This Row],[their_ent_1]],Table1[[#This Row],[my_ent_1]])), 1, 0)</f>
        <v>0</v>
      </c>
      <c r="L953">
        <f>IF(ISNUMBER(SEARCH(Table1[[#This Row],[their_ent_2]],Table1[[#This Row],[my_ent_2]])), 1, 0)</f>
        <v>0</v>
      </c>
    </row>
    <row r="954" spans="1:12" x14ac:dyDescent="0.3">
      <c r="A954" t="s">
        <v>2947</v>
      </c>
      <c r="B954" t="s">
        <v>2948</v>
      </c>
      <c r="C954" t="s">
        <v>2949</v>
      </c>
      <c r="D954" t="s">
        <v>462</v>
      </c>
      <c r="E954" t="s">
        <v>462</v>
      </c>
      <c r="F954">
        <v>1</v>
      </c>
      <c r="G954">
        <v>952</v>
      </c>
      <c r="H954">
        <f>IF(Table1[[#This Row],[my_ent_1]]=Table1[[#This Row],[their_ent_1]], 1, 0)</f>
        <v>0</v>
      </c>
      <c r="I954">
        <f>IF(Table1[[#This Row],[my_ent_2]]=Table1[[#This Row],[their_ent_2]], 1, 0)</f>
        <v>1</v>
      </c>
      <c r="J954">
        <f>IF(Table1[[#This Row],[same_1]]=1 &amp; Table1[[#This Row],[same_2]]=1, 1, 0)</f>
        <v>0</v>
      </c>
      <c r="K954">
        <f>IF(ISNUMBER(SEARCH(Table1[[#This Row],[their_ent_1]],Table1[[#This Row],[my_ent_1]])), 1, 0)</f>
        <v>1</v>
      </c>
      <c r="L954">
        <f>IF(ISNUMBER(SEARCH(Table1[[#This Row],[their_ent_2]],Table1[[#This Row],[my_ent_2]])), 1, 0)</f>
        <v>1</v>
      </c>
    </row>
    <row r="955" spans="1:12" x14ac:dyDescent="0.3">
      <c r="A955" t="s">
        <v>2950</v>
      </c>
      <c r="B955" t="s">
        <v>2951</v>
      </c>
      <c r="C955" t="s">
        <v>2952</v>
      </c>
      <c r="D955" t="s">
        <v>2953</v>
      </c>
      <c r="E955" t="s">
        <v>2953</v>
      </c>
      <c r="F955">
        <v>4</v>
      </c>
      <c r="G955">
        <v>953</v>
      </c>
      <c r="H955">
        <f>IF(Table1[[#This Row],[my_ent_1]]=Table1[[#This Row],[their_ent_1]], 1, 0)</f>
        <v>0</v>
      </c>
      <c r="I955">
        <f>IF(Table1[[#This Row],[my_ent_2]]=Table1[[#This Row],[their_ent_2]], 1, 0)</f>
        <v>1</v>
      </c>
      <c r="J955">
        <f>IF(Table1[[#This Row],[same_1]]=1 &amp; Table1[[#This Row],[same_2]]=1, 1, 0)</f>
        <v>0</v>
      </c>
      <c r="K955">
        <f>IF(ISNUMBER(SEARCH(Table1[[#This Row],[their_ent_1]],Table1[[#This Row],[my_ent_1]])), 1, 0)</f>
        <v>1</v>
      </c>
      <c r="L955">
        <f>IF(ISNUMBER(SEARCH(Table1[[#This Row],[their_ent_2]],Table1[[#This Row],[my_ent_2]])), 1, 0)</f>
        <v>1</v>
      </c>
    </row>
    <row r="956" spans="1:12" x14ac:dyDescent="0.3">
      <c r="A956" t="s">
        <v>2954</v>
      </c>
      <c r="B956" t="s">
        <v>157</v>
      </c>
      <c r="C956" t="s">
        <v>353</v>
      </c>
      <c r="D956" t="s">
        <v>157</v>
      </c>
      <c r="E956" t="s">
        <v>1275</v>
      </c>
      <c r="F956">
        <v>4</v>
      </c>
      <c r="G956">
        <v>954</v>
      </c>
      <c r="H956">
        <f>IF(Table1[[#This Row],[my_ent_1]]=Table1[[#This Row],[their_ent_1]], 1, 0)</f>
        <v>0</v>
      </c>
      <c r="I956">
        <f>IF(Table1[[#This Row],[my_ent_2]]=Table1[[#This Row],[their_ent_2]], 1, 0)</f>
        <v>0</v>
      </c>
      <c r="J956">
        <f>IF(Table1[[#This Row],[same_1]]=1 &amp; Table1[[#This Row],[same_2]]=1, 1, 0)</f>
        <v>0</v>
      </c>
      <c r="K956">
        <f>IF(ISNUMBER(SEARCH(Table1[[#This Row],[their_ent_1]],Table1[[#This Row],[my_ent_1]])), 1, 0)</f>
        <v>0</v>
      </c>
      <c r="L956">
        <f>IF(ISNUMBER(SEARCH(Table1[[#This Row],[their_ent_2]],Table1[[#This Row],[my_ent_2]])), 1, 0)</f>
        <v>0</v>
      </c>
    </row>
    <row r="957" spans="1:12" x14ac:dyDescent="0.3">
      <c r="A957" t="s">
        <v>2955</v>
      </c>
      <c r="B957" t="s">
        <v>2956</v>
      </c>
      <c r="C957" t="s">
        <v>2957</v>
      </c>
      <c r="D957" t="s">
        <v>30</v>
      </c>
      <c r="E957" t="s">
        <v>30</v>
      </c>
      <c r="F957">
        <v>2</v>
      </c>
      <c r="G957">
        <v>955</v>
      </c>
      <c r="H957">
        <f>IF(Table1[[#This Row],[my_ent_1]]=Table1[[#This Row],[their_ent_1]], 1, 0)</f>
        <v>0</v>
      </c>
      <c r="I957">
        <f>IF(Table1[[#This Row],[my_ent_2]]=Table1[[#This Row],[their_ent_2]], 1, 0)</f>
        <v>1</v>
      </c>
      <c r="J957">
        <f>IF(Table1[[#This Row],[same_1]]=1 &amp; Table1[[#This Row],[same_2]]=1, 1, 0)</f>
        <v>0</v>
      </c>
      <c r="K957">
        <f>IF(ISNUMBER(SEARCH(Table1[[#This Row],[their_ent_1]],Table1[[#This Row],[my_ent_1]])), 1, 0)</f>
        <v>1</v>
      </c>
      <c r="L957">
        <f>IF(ISNUMBER(SEARCH(Table1[[#This Row],[their_ent_2]],Table1[[#This Row],[my_ent_2]])), 1, 0)</f>
        <v>1</v>
      </c>
    </row>
    <row r="958" spans="1:12" x14ac:dyDescent="0.3">
      <c r="A958" t="s">
        <v>2958</v>
      </c>
      <c r="B958" t="s">
        <v>2959</v>
      </c>
      <c r="C958" t="s">
        <v>2280</v>
      </c>
      <c r="D958" t="s">
        <v>2280</v>
      </c>
      <c r="E958" t="s">
        <v>381</v>
      </c>
      <c r="F958">
        <v>1</v>
      </c>
      <c r="G958">
        <v>956</v>
      </c>
      <c r="H958">
        <f>IF(Table1[[#This Row],[my_ent_1]]=Table1[[#This Row],[their_ent_1]], 1, 0)</f>
        <v>0</v>
      </c>
      <c r="I958">
        <f>IF(Table1[[#This Row],[my_ent_2]]=Table1[[#This Row],[their_ent_2]], 1, 0)</f>
        <v>0</v>
      </c>
      <c r="J958">
        <f>IF(Table1[[#This Row],[same_1]]=1 &amp; Table1[[#This Row],[same_2]]=1, 1, 0)</f>
        <v>0</v>
      </c>
      <c r="K958">
        <f>IF(ISNUMBER(SEARCH(Table1[[#This Row],[their_ent_1]],Table1[[#This Row],[my_ent_1]])), 1, 0)</f>
        <v>0</v>
      </c>
      <c r="L958">
        <f>IF(ISNUMBER(SEARCH(Table1[[#This Row],[their_ent_2]],Table1[[#This Row],[my_ent_2]])), 1, 0)</f>
        <v>0</v>
      </c>
    </row>
    <row r="959" spans="1:12" x14ac:dyDescent="0.3">
      <c r="A959" t="s">
        <v>2960</v>
      </c>
      <c r="B959" t="s">
        <v>2961</v>
      </c>
      <c r="C959" t="s">
        <v>245</v>
      </c>
      <c r="D959" t="s">
        <v>2962</v>
      </c>
      <c r="E959" t="s">
        <v>2961</v>
      </c>
      <c r="F959">
        <v>3</v>
      </c>
      <c r="G959">
        <v>957</v>
      </c>
      <c r="H959">
        <f>IF(Table1[[#This Row],[my_ent_1]]=Table1[[#This Row],[their_ent_1]], 1, 0)</f>
        <v>0</v>
      </c>
      <c r="I959">
        <f>IF(Table1[[#This Row],[my_ent_2]]=Table1[[#This Row],[their_ent_2]], 1, 0)</f>
        <v>0</v>
      </c>
      <c r="J959">
        <f>IF(Table1[[#This Row],[same_1]]=1 &amp; Table1[[#This Row],[same_2]]=1, 1, 0)</f>
        <v>0</v>
      </c>
      <c r="K959">
        <f>IF(ISNUMBER(SEARCH(Table1[[#This Row],[their_ent_1]],Table1[[#This Row],[my_ent_1]])), 1, 0)</f>
        <v>0</v>
      </c>
      <c r="L959">
        <f>IF(ISNUMBER(SEARCH(Table1[[#This Row],[their_ent_2]],Table1[[#This Row],[my_ent_2]])), 1, 0)</f>
        <v>1</v>
      </c>
    </row>
    <row r="960" spans="1:12" x14ac:dyDescent="0.3">
      <c r="A960" t="s">
        <v>2963</v>
      </c>
      <c r="B960" t="s">
        <v>2482</v>
      </c>
      <c r="C960" t="s">
        <v>2964</v>
      </c>
      <c r="D960" t="s">
        <v>2883</v>
      </c>
      <c r="E960" t="s">
        <v>2883</v>
      </c>
      <c r="F960">
        <v>3</v>
      </c>
      <c r="G960">
        <v>958</v>
      </c>
      <c r="H960">
        <f>IF(Table1[[#This Row],[my_ent_1]]=Table1[[#This Row],[their_ent_1]], 1, 0)</f>
        <v>0</v>
      </c>
      <c r="I960">
        <f>IF(Table1[[#This Row],[my_ent_2]]=Table1[[#This Row],[their_ent_2]], 1, 0)</f>
        <v>1</v>
      </c>
      <c r="J960">
        <f>IF(Table1[[#This Row],[same_1]]=1 &amp; Table1[[#This Row],[same_2]]=1, 1, 0)</f>
        <v>0</v>
      </c>
      <c r="K960">
        <f>IF(ISNUMBER(SEARCH(Table1[[#This Row],[their_ent_1]],Table1[[#This Row],[my_ent_1]])), 1, 0)</f>
        <v>0</v>
      </c>
      <c r="L960">
        <f>IF(ISNUMBER(SEARCH(Table1[[#This Row],[their_ent_2]],Table1[[#This Row],[my_ent_2]])), 1, 0)</f>
        <v>1</v>
      </c>
    </row>
    <row r="961" spans="1:12" x14ac:dyDescent="0.3">
      <c r="A961" t="s">
        <v>2965</v>
      </c>
      <c r="B961" t="s">
        <v>2065</v>
      </c>
      <c r="C961" t="s">
        <v>2966</v>
      </c>
      <c r="D961" t="s">
        <v>2966</v>
      </c>
      <c r="E961" t="s">
        <v>20</v>
      </c>
      <c r="F961">
        <v>3</v>
      </c>
      <c r="G961">
        <v>959</v>
      </c>
      <c r="H961">
        <f>IF(Table1[[#This Row],[my_ent_1]]=Table1[[#This Row],[their_ent_1]], 1, 0)</f>
        <v>0</v>
      </c>
      <c r="I961">
        <f>IF(Table1[[#This Row],[my_ent_2]]=Table1[[#This Row],[their_ent_2]], 1, 0)</f>
        <v>0</v>
      </c>
      <c r="J961">
        <f>IF(Table1[[#This Row],[same_1]]=1 &amp; Table1[[#This Row],[same_2]]=1, 1, 0)</f>
        <v>0</v>
      </c>
      <c r="K961">
        <f>IF(ISNUMBER(SEARCH(Table1[[#This Row],[their_ent_1]],Table1[[#This Row],[my_ent_1]])), 1, 0)</f>
        <v>0</v>
      </c>
      <c r="L961">
        <f>IF(ISNUMBER(SEARCH(Table1[[#This Row],[their_ent_2]],Table1[[#This Row],[my_ent_2]])), 1, 0)</f>
        <v>0</v>
      </c>
    </row>
    <row r="962" spans="1:12" x14ac:dyDescent="0.3">
      <c r="A962" t="s">
        <v>2967</v>
      </c>
      <c r="B962" t="s">
        <v>2968</v>
      </c>
      <c r="C962" t="s">
        <v>2968</v>
      </c>
      <c r="D962" t="s">
        <v>2969</v>
      </c>
      <c r="E962" t="s">
        <v>392</v>
      </c>
      <c r="F962">
        <v>3</v>
      </c>
      <c r="G962">
        <v>960</v>
      </c>
      <c r="H962">
        <f>IF(Table1[[#This Row],[my_ent_1]]=Table1[[#This Row],[their_ent_1]], 1, 0)</f>
        <v>1</v>
      </c>
      <c r="I962">
        <f>IF(Table1[[#This Row],[my_ent_2]]=Table1[[#This Row],[their_ent_2]], 1, 0)</f>
        <v>0</v>
      </c>
      <c r="J962">
        <f>IF(Table1[[#This Row],[same_1]]=1 &amp; Table1[[#This Row],[same_2]]=1, 1, 0)</f>
        <v>0</v>
      </c>
      <c r="K962">
        <f>IF(ISNUMBER(SEARCH(Table1[[#This Row],[their_ent_1]],Table1[[#This Row],[my_ent_1]])), 1, 0)</f>
        <v>1</v>
      </c>
      <c r="L962">
        <f>IF(ISNUMBER(SEARCH(Table1[[#This Row],[their_ent_2]],Table1[[#This Row],[my_ent_2]])), 1, 0)</f>
        <v>0</v>
      </c>
    </row>
    <row r="963" spans="1:12" x14ac:dyDescent="0.3">
      <c r="A963" t="s">
        <v>2970</v>
      </c>
      <c r="B963" t="s">
        <v>1800</v>
      </c>
      <c r="C963" t="s">
        <v>707</v>
      </c>
      <c r="D963" t="s">
        <v>2971</v>
      </c>
      <c r="E963" t="s">
        <v>279</v>
      </c>
      <c r="F963">
        <v>3</v>
      </c>
      <c r="G963">
        <v>961</v>
      </c>
      <c r="H963">
        <f>IF(Table1[[#This Row],[my_ent_1]]=Table1[[#This Row],[their_ent_1]], 1, 0)</f>
        <v>0</v>
      </c>
      <c r="I963">
        <f>IF(Table1[[#This Row],[my_ent_2]]=Table1[[#This Row],[their_ent_2]], 1, 0)</f>
        <v>0</v>
      </c>
      <c r="J963">
        <f>IF(Table1[[#This Row],[same_1]]=1 &amp; Table1[[#This Row],[same_2]]=1, 1, 0)</f>
        <v>0</v>
      </c>
      <c r="K963">
        <f>IF(ISNUMBER(SEARCH(Table1[[#This Row],[their_ent_1]],Table1[[#This Row],[my_ent_1]])), 1, 0)</f>
        <v>0</v>
      </c>
      <c r="L963">
        <f>IF(ISNUMBER(SEARCH(Table1[[#This Row],[their_ent_2]],Table1[[#This Row],[my_ent_2]])), 1, 0)</f>
        <v>0</v>
      </c>
    </row>
    <row r="964" spans="1:12" x14ac:dyDescent="0.3">
      <c r="A964" t="s">
        <v>2454</v>
      </c>
      <c r="B964" t="s">
        <v>2455</v>
      </c>
      <c r="C964" t="s">
        <v>2456</v>
      </c>
      <c r="D964" t="s">
        <v>2457</v>
      </c>
      <c r="E964" t="s">
        <v>2458</v>
      </c>
      <c r="F964">
        <v>1</v>
      </c>
      <c r="G964">
        <v>962</v>
      </c>
      <c r="H964">
        <f>IF(Table1[[#This Row],[my_ent_1]]=Table1[[#This Row],[their_ent_1]], 1, 0)</f>
        <v>0</v>
      </c>
      <c r="I964">
        <f>IF(Table1[[#This Row],[my_ent_2]]=Table1[[#This Row],[their_ent_2]], 1, 0)</f>
        <v>0</v>
      </c>
      <c r="J964">
        <f>IF(Table1[[#This Row],[same_1]]=1 &amp; Table1[[#This Row],[same_2]]=1, 1, 0)</f>
        <v>0</v>
      </c>
      <c r="K964">
        <f>IF(ISNUMBER(SEARCH(Table1[[#This Row],[their_ent_1]],Table1[[#This Row],[my_ent_1]])), 1, 0)</f>
        <v>1</v>
      </c>
      <c r="L964">
        <f>IF(ISNUMBER(SEARCH(Table1[[#This Row],[their_ent_2]],Table1[[#This Row],[my_ent_2]])), 1, 0)</f>
        <v>1</v>
      </c>
    </row>
    <row r="965" spans="1:12" x14ac:dyDescent="0.3">
      <c r="A965" t="s">
        <v>2972</v>
      </c>
      <c r="B965" t="s">
        <v>2649</v>
      </c>
      <c r="C965" t="s">
        <v>1909</v>
      </c>
      <c r="D965" t="s">
        <v>643</v>
      </c>
      <c r="E965" t="s">
        <v>2973</v>
      </c>
      <c r="F965">
        <v>3</v>
      </c>
      <c r="G965">
        <v>963</v>
      </c>
      <c r="H965">
        <f>IF(Table1[[#This Row],[my_ent_1]]=Table1[[#This Row],[their_ent_1]], 1, 0)</f>
        <v>0</v>
      </c>
      <c r="I965">
        <f>IF(Table1[[#This Row],[my_ent_2]]=Table1[[#This Row],[their_ent_2]], 1, 0)</f>
        <v>0</v>
      </c>
      <c r="J965">
        <f>IF(Table1[[#This Row],[same_1]]=1 &amp; Table1[[#This Row],[same_2]]=1, 1, 0)</f>
        <v>0</v>
      </c>
      <c r="K965">
        <f>IF(ISNUMBER(SEARCH(Table1[[#This Row],[their_ent_1]],Table1[[#This Row],[my_ent_1]])), 1, 0)</f>
        <v>0</v>
      </c>
      <c r="L965">
        <f>IF(ISNUMBER(SEARCH(Table1[[#This Row],[their_ent_2]],Table1[[#This Row],[my_ent_2]])), 1, 0)</f>
        <v>0</v>
      </c>
    </row>
    <row r="966" spans="1:12" x14ac:dyDescent="0.3">
      <c r="A966" t="s">
        <v>2974</v>
      </c>
      <c r="B966" t="s">
        <v>2922</v>
      </c>
      <c r="C966" t="s">
        <v>860</v>
      </c>
      <c r="D966" t="s">
        <v>2975</v>
      </c>
      <c r="E966" t="s">
        <v>2976</v>
      </c>
      <c r="F966">
        <v>1</v>
      </c>
      <c r="G966">
        <v>964</v>
      </c>
      <c r="H966">
        <f>IF(Table1[[#This Row],[my_ent_1]]=Table1[[#This Row],[their_ent_1]], 1, 0)</f>
        <v>0</v>
      </c>
      <c r="I966">
        <f>IF(Table1[[#This Row],[my_ent_2]]=Table1[[#This Row],[their_ent_2]], 1, 0)</f>
        <v>0</v>
      </c>
      <c r="J966">
        <f>IF(Table1[[#This Row],[same_1]]=1 &amp; Table1[[#This Row],[same_2]]=1, 1, 0)</f>
        <v>0</v>
      </c>
      <c r="K966">
        <f>IF(ISNUMBER(SEARCH(Table1[[#This Row],[their_ent_1]],Table1[[#This Row],[my_ent_1]])), 1, 0)</f>
        <v>0</v>
      </c>
      <c r="L966">
        <f>IF(ISNUMBER(SEARCH(Table1[[#This Row],[their_ent_2]],Table1[[#This Row],[my_ent_2]])), 1, 0)</f>
        <v>1</v>
      </c>
    </row>
    <row r="967" spans="1:12" x14ac:dyDescent="0.3">
      <c r="A967" t="s">
        <v>2977</v>
      </c>
      <c r="B967" t="s">
        <v>2978</v>
      </c>
      <c r="C967" t="s">
        <v>2978</v>
      </c>
      <c r="D967" t="s">
        <v>2979</v>
      </c>
      <c r="E967" t="s">
        <v>2980</v>
      </c>
      <c r="F967">
        <v>2</v>
      </c>
      <c r="G967">
        <v>965</v>
      </c>
      <c r="H967">
        <f>IF(Table1[[#This Row],[my_ent_1]]=Table1[[#This Row],[their_ent_1]], 1, 0)</f>
        <v>1</v>
      </c>
      <c r="I967">
        <f>IF(Table1[[#This Row],[my_ent_2]]=Table1[[#This Row],[their_ent_2]], 1, 0)</f>
        <v>0</v>
      </c>
      <c r="J967">
        <f>IF(Table1[[#This Row],[same_1]]=1 &amp; Table1[[#This Row],[same_2]]=1, 1, 0)</f>
        <v>0</v>
      </c>
      <c r="K967">
        <f>IF(ISNUMBER(SEARCH(Table1[[#This Row],[their_ent_1]],Table1[[#This Row],[my_ent_1]])), 1, 0)</f>
        <v>1</v>
      </c>
      <c r="L967">
        <f>IF(ISNUMBER(SEARCH(Table1[[#This Row],[their_ent_2]],Table1[[#This Row],[my_ent_2]])), 1, 0)</f>
        <v>1</v>
      </c>
    </row>
    <row r="968" spans="1:12" x14ac:dyDescent="0.3">
      <c r="A968" t="s">
        <v>2981</v>
      </c>
      <c r="B968" t="s">
        <v>2982</v>
      </c>
      <c r="C968" t="s">
        <v>203</v>
      </c>
      <c r="D968" t="s">
        <v>2983</v>
      </c>
      <c r="E968" t="s">
        <v>2983</v>
      </c>
      <c r="F968">
        <v>1</v>
      </c>
      <c r="G968">
        <v>966</v>
      </c>
      <c r="H968">
        <f>IF(Table1[[#This Row],[my_ent_1]]=Table1[[#This Row],[their_ent_1]], 1, 0)</f>
        <v>0</v>
      </c>
      <c r="I968">
        <f>IF(Table1[[#This Row],[my_ent_2]]=Table1[[#This Row],[their_ent_2]], 1, 0)</f>
        <v>1</v>
      </c>
      <c r="J968">
        <f>IF(Table1[[#This Row],[same_1]]=1 &amp; Table1[[#This Row],[same_2]]=1, 1, 0)</f>
        <v>0</v>
      </c>
      <c r="K968">
        <f>IF(ISNUMBER(SEARCH(Table1[[#This Row],[their_ent_1]],Table1[[#This Row],[my_ent_1]])), 1, 0)</f>
        <v>0</v>
      </c>
      <c r="L968">
        <f>IF(ISNUMBER(SEARCH(Table1[[#This Row],[their_ent_2]],Table1[[#This Row],[my_ent_2]])), 1, 0)</f>
        <v>1</v>
      </c>
    </row>
    <row r="969" spans="1:12" x14ac:dyDescent="0.3">
      <c r="A969" t="s">
        <v>2984</v>
      </c>
      <c r="B969" t="s">
        <v>2985</v>
      </c>
      <c r="C969" t="s">
        <v>2985</v>
      </c>
      <c r="D969" t="s">
        <v>2986</v>
      </c>
      <c r="E969" t="s">
        <v>2987</v>
      </c>
      <c r="F969">
        <v>1</v>
      </c>
      <c r="G969">
        <v>967</v>
      </c>
      <c r="H969">
        <f>IF(Table1[[#This Row],[my_ent_1]]=Table1[[#This Row],[their_ent_1]], 1, 0)</f>
        <v>1</v>
      </c>
      <c r="I969">
        <f>IF(Table1[[#This Row],[my_ent_2]]=Table1[[#This Row],[their_ent_2]], 1, 0)</f>
        <v>0</v>
      </c>
      <c r="J969">
        <f>IF(Table1[[#This Row],[same_1]]=1 &amp; Table1[[#This Row],[same_2]]=1, 1, 0)</f>
        <v>0</v>
      </c>
      <c r="K969">
        <f>IF(ISNUMBER(SEARCH(Table1[[#This Row],[their_ent_1]],Table1[[#This Row],[my_ent_1]])), 1, 0)</f>
        <v>1</v>
      </c>
      <c r="L969">
        <f>IF(ISNUMBER(SEARCH(Table1[[#This Row],[their_ent_2]],Table1[[#This Row],[my_ent_2]])), 1, 0)</f>
        <v>0</v>
      </c>
    </row>
    <row r="970" spans="1:12" x14ac:dyDescent="0.3">
      <c r="A970" t="s">
        <v>2988</v>
      </c>
      <c r="B970" t="s">
        <v>2989</v>
      </c>
      <c r="C970" t="s">
        <v>2989</v>
      </c>
      <c r="D970" t="s">
        <v>2990</v>
      </c>
      <c r="E970" t="s">
        <v>2991</v>
      </c>
      <c r="F970">
        <v>1</v>
      </c>
      <c r="G970">
        <v>968</v>
      </c>
      <c r="H970">
        <f>IF(Table1[[#This Row],[my_ent_1]]=Table1[[#This Row],[their_ent_1]], 1, 0)</f>
        <v>1</v>
      </c>
      <c r="I970">
        <f>IF(Table1[[#This Row],[my_ent_2]]=Table1[[#This Row],[their_ent_2]], 1, 0)</f>
        <v>0</v>
      </c>
      <c r="J970">
        <f>IF(Table1[[#This Row],[same_1]]=1 &amp; Table1[[#This Row],[same_2]]=1, 1, 0)</f>
        <v>0</v>
      </c>
      <c r="K970">
        <f>IF(ISNUMBER(SEARCH(Table1[[#This Row],[their_ent_1]],Table1[[#This Row],[my_ent_1]])), 1, 0)</f>
        <v>1</v>
      </c>
      <c r="L970">
        <f>IF(ISNUMBER(SEARCH(Table1[[#This Row],[their_ent_2]],Table1[[#This Row],[my_ent_2]])), 1, 0)</f>
        <v>0</v>
      </c>
    </row>
    <row r="971" spans="1:12" x14ac:dyDescent="0.3">
      <c r="A971" t="s">
        <v>2992</v>
      </c>
      <c r="B971" t="s">
        <v>26</v>
      </c>
      <c r="C971" t="s">
        <v>26</v>
      </c>
      <c r="D971" t="s">
        <v>2993</v>
      </c>
      <c r="E971" t="s">
        <v>2994</v>
      </c>
      <c r="F971">
        <v>1</v>
      </c>
      <c r="G971">
        <v>969</v>
      </c>
      <c r="H971">
        <f>IF(Table1[[#This Row],[my_ent_1]]=Table1[[#This Row],[their_ent_1]], 1, 0)</f>
        <v>1</v>
      </c>
      <c r="I971">
        <f>IF(Table1[[#This Row],[my_ent_2]]=Table1[[#This Row],[their_ent_2]], 1, 0)</f>
        <v>0</v>
      </c>
      <c r="J971">
        <f>IF(Table1[[#This Row],[same_1]]=1 &amp; Table1[[#This Row],[same_2]]=1, 1, 0)</f>
        <v>0</v>
      </c>
      <c r="K971">
        <f>IF(ISNUMBER(SEARCH(Table1[[#This Row],[their_ent_1]],Table1[[#This Row],[my_ent_1]])), 1, 0)</f>
        <v>1</v>
      </c>
      <c r="L971">
        <f>IF(ISNUMBER(SEARCH(Table1[[#This Row],[their_ent_2]],Table1[[#This Row],[my_ent_2]])), 1, 0)</f>
        <v>1</v>
      </c>
    </row>
    <row r="972" spans="1:12" x14ac:dyDescent="0.3">
      <c r="A972" t="s">
        <v>2995</v>
      </c>
      <c r="B972" t="s">
        <v>535</v>
      </c>
      <c r="C972" t="s">
        <v>535</v>
      </c>
      <c r="D972" t="s">
        <v>2996</v>
      </c>
      <c r="E972" t="s">
        <v>2600</v>
      </c>
      <c r="F972">
        <v>3</v>
      </c>
      <c r="G972">
        <v>970</v>
      </c>
      <c r="H972">
        <f>IF(Table1[[#This Row],[my_ent_1]]=Table1[[#This Row],[their_ent_1]], 1, 0)</f>
        <v>1</v>
      </c>
      <c r="I972">
        <f>IF(Table1[[#This Row],[my_ent_2]]=Table1[[#This Row],[their_ent_2]], 1, 0)</f>
        <v>0</v>
      </c>
      <c r="J972">
        <f>IF(Table1[[#This Row],[same_1]]=1 &amp; Table1[[#This Row],[same_2]]=1, 1, 0)</f>
        <v>0</v>
      </c>
      <c r="K972">
        <f>IF(ISNUMBER(SEARCH(Table1[[#This Row],[their_ent_1]],Table1[[#This Row],[my_ent_1]])), 1, 0)</f>
        <v>1</v>
      </c>
      <c r="L972">
        <f>IF(ISNUMBER(SEARCH(Table1[[#This Row],[their_ent_2]],Table1[[#This Row],[my_ent_2]])), 1, 0)</f>
        <v>0</v>
      </c>
    </row>
    <row r="973" spans="1:12" x14ac:dyDescent="0.3">
      <c r="A973" t="s">
        <v>2997</v>
      </c>
      <c r="B973" t="s">
        <v>2998</v>
      </c>
      <c r="C973" t="s">
        <v>2999</v>
      </c>
      <c r="D973" t="s">
        <v>3000</v>
      </c>
      <c r="E973" t="s">
        <v>3000</v>
      </c>
      <c r="F973">
        <v>3</v>
      </c>
      <c r="G973">
        <v>971</v>
      </c>
      <c r="H973">
        <f>IF(Table1[[#This Row],[my_ent_1]]=Table1[[#This Row],[their_ent_1]], 1, 0)</f>
        <v>0</v>
      </c>
      <c r="I973">
        <f>IF(Table1[[#This Row],[my_ent_2]]=Table1[[#This Row],[their_ent_2]], 1, 0)</f>
        <v>1</v>
      </c>
      <c r="J973">
        <f>IF(Table1[[#This Row],[same_1]]=1 &amp; Table1[[#This Row],[same_2]]=1, 1, 0)</f>
        <v>0</v>
      </c>
      <c r="K973">
        <f>IF(ISNUMBER(SEARCH(Table1[[#This Row],[their_ent_1]],Table1[[#This Row],[my_ent_1]])), 1, 0)</f>
        <v>0</v>
      </c>
      <c r="L973">
        <f>IF(ISNUMBER(SEARCH(Table1[[#This Row],[their_ent_2]],Table1[[#This Row],[my_ent_2]])), 1, 0)</f>
        <v>1</v>
      </c>
    </row>
    <row r="974" spans="1:12" x14ac:dyDescent="0.3">
      <c r="A974" t="s">
        <v>3001</v>
      </c>
      <c r="B974" t="s">
        <v>3002</v>
      </c>
      <c r="C974" t="s">
        <v>3003</v>
      </c>
      <c r="D974" t="s">
        <v>3004</v>
      </c>
      <c r="E974" t="s">
        <v>3004</v>
      </c>
      <c r="F974">
        <v>3</v>
      </c>
      <c r="G974">
        <v>972</v>
      </c>
      <c r="H974">
        <f>IF(Table1[[#This Row],[my_ent_1]]=Table1[[#This Row],[their_ent_1]], 1, 0)</f>
        <v>0</v>
      </c>
      <c r="I974">
        <f>IF(Table1[[#This Row],[my_ent_2]]=Table1[[#This Row],[their_ent_2]], 1, 0)</f>
        <v>1</v>
      </c>
      <c r="J974">
        <f>IF(Table1[[#This Row],[same_1]]=1 &amp; Table1[[#This Row],[same_2]]=1, 1, 0)</f>
        <v>0</v>
      </c>
      <c r="K974">
        <f>IF(ISNUMBER(SEARCH(Table1[[#This Row],[their_ent_1]],Table1[[#This Row],[my_ent_1]])), 1, 0)</f>
        <v>1</v>
      </c>
      <c r="L974">
        <f>IF(ISNUMBER(SEARCH(Table1[[#This Row],[their_ent_2]],Table1[[#This Row],[my_ent_2]])), 1, 0)</f>
        <v>1</v>
      </c>
    </row>
    <row r="975" spans="1:12" x14ac:dyDescent="0.3">
      <c r="A975" t="s">
        <v>3005</v>
      </c>
      <c r="B975" t="s">
        <v>3006</v>
      </c>
      <c r="C975" t="s">
        <v>3007</v>
      </c>
      <c r="D975" t="s">
        <v>59</v>
      </c>
      <c r="E975" t="s">
        <v>3008</v>
      </c>
      <c r="F975">
        <v>1</v>
      </c>
      <c r="G975">
        <v>973</v>
      </c>
      <c r="H975">
        <f>IF(Table1[[#This Row],[my_ent_1]]=Table1[[#This Row],[their_ent_1]], 1, 0)</f>
        <v>0</v>
      </c>
      <c r="I975">
        <f>IF(Table1[[#This Row],[my_ent_2]]=Table1[[#This Row],[their_ent_2]], 1, 0)</f>
        <v>0</v>
      </c>
      <c r="J975">
        <f>IF(Table1[[#This Row],[same_1]]=1 &amp; Table1[[#This Row],[same_2]]=1, 1, 0)</f>
        <v>0</v>
      </c>
      <c r="K975">
        <f>IF(ISNUMBER(SEARCH(Table1[[#This Row],[their_ent_1]],Table1[[#This Row],[my_ent_1]])), 1, 0)</f>
        <v>0</v>
      </c>
      <c r="L975">
        <f>IF(ISNUMBER(SEARCH(Table1[[#This Row],[their_ent_2]],Table1[[#This Row],[my_ent_2]])), 1, 0)</f>
        <v>0</v>
      </c>
    </row>
    <row r="976" spans="1:12" x14ac:dyDescent="0.3">
      <c r="A976" t="s">
        <v>3009</v>
      </c>
      <c r="B976" t="s">
        <v>3010</v>
      </c>
      <c r="C976" t="s">
        <v>353</v>
      </c>
      <c r="D976" t="s">
        <v>3011</v>
      </c>
      <c r="E976" t="s">
        <v>3011</v>
      </c>
      <c r="F976">
        <v>3</v>
      </c>
      <c r="G976">
        <v>974</v>
      </c>
      <c r="H976">
        <f>IF(Table1[[#This Row],[my_ent_1]]=Table1[[#This Row],[their_ent_1]], 1, 0)</f>
        <v>0</v>
      </c>
      <c r="I976">
        <f>IF(Table1[[#This Row],[my_ent_2]]=Table1[[#This Row],[their_ent_2]], 1, 0)</f>
        <v>1</v>
      </c>
      <c r="J976">
        <f>IF(Table1[[#This Row],[same_1]]=1 &amp; Table1[[#This Row],[same_2]]=1, 1, 0)</f>
        <v>0</v>
      </c>
      <c r="K976">
        <f>IF(ISNUMBER(SEARCH(Table1[[#This Row],[their_ent_1]],Table1[[#This Row],[my_ent_1]])), 1, 0)</f>
        <v>1</v>
      </c>
      <c r="L976">
        <f>IF(ISNUMBER(SEARCH(Table1[[#This Row],[their_ent_2]],Table1[[#This Row],[my_ent_2]])), 1, 0)</f>
        <v>1</v>
      </c>
    </row>
    <row r="977" spans="1:12" x14ac:dyDescent="0.3">
      <c r="A977" t="s">
        <v>3012</v>
      </c>
      <c r="B977" t="s">
        <v>3013</v>
      </c>
      <c r="C977" t="s">
        <v>171</v>
      </c>
      <c r="D977" t="s">
        <v>729</v>
      </c>
      <c r="E977" t="s">
        <v>730</v>
      </c>
      <c r="F977">
        <v>1</v>
      </c>
      <c r="G977">
        <v>975</v>
      </c>
      <c r="H977">
        <f>IF(Table1[[#This Row],[my_ent_1]]=Table1[[#This Row],[their_ent_1]], 1, 0)</f>
        <v>0</v>
      </c>
      <c r="I977">
        <f>IF(Table1[[#This Row],[my_ent_2]]=Table1[[#This Row],[their_ent_2]], 1, 0)</f>
        <v>0</v>
      </c>
      <c r="J977">
        <f>IF(Table1[[#This Row],[same_1]]=1 &amp; Table1[[#This Row],[same_2]]=1, 1, 0)</f>
        <v>0</v>
      </c>
      <c r="K977">
        <f>IF(ISNUMBER(SEARCH(Table1[[#This Row],[their_ent_1]],Table1[[#This Row],[my_ent_1]])), 1, 0)</f>
        <v>0</v>
      </c>
      <c r="L977">
        <f>IF(ISNUMBER(SEARCH(Table1[[#This Row],[their_ent_2]],Table1[[#This Row],[my_ent_2]])), 1, 0)</f>
        <v>1</v>
      </c>
    </row>
    <row r="978" spans="1:12" x14ac:dyDescent="0.3">
      <c r="A978" t="s">
        <v>3014</v>
      </c>
      <c r="B978" t="s">
        <v>2916</v>
      </c>
      <c r="C978" t="s">
        <v>1196</v>
      </c>
      <c r="D978" t="s">
        <v>3015</v>
      </c>
      <c r="E978" t="s">
        <v>3016</v>
      </c>
      <c r="F978">
        <v>1</v>
      </c>
      <c r="G978">
        <v>976</v>
      </c>
      <c r="H978">
        <f>IF(Table1[[#This Row],[my_ent_1]]=Table1[[#This Row],[their_ent_1]], 1, 0)</f>
        <v>0</v>
      </c>
      <c r="I978">
        <f>IF(Table1[[#This Row],[my_ent_2]]=Table1[[#This Row],[their_ent_2]], 1, 0)</f>
        <v>0</v>
      </c>
      <c r="J978">
        <f>IF(Table1[[#This Row],[same_1]]=1 &amp; Table1[[#This Row],[same_2]]=1, 1, 0)</f>
        <v>0</v>
      </c>
      <c r="K978">
        <f>IF(ISNUMBER(SEARCH(Table1[[#This Row],[their_ent_1]],Table1[[#This Row],[my_ent_1]])), 1, 0)</f>
        <v>1</v>
      </c>
      <c r="L978">
        <f>IF(ISNUMBER(SEARCH(Table1[[#This Row],[their_ent_2]],Table1[[#This Row],[my_ent_2]])), 1, 0)</f>
        <v>0</v>
      </c>
    </row>
    <row r="979" spans="1:12" x14ac:dyDescent="0.3">
      <c r="A979" t="s">
        <v>3017</v>
      </c>
      <c r="B979" t="s">
        <v>381</v>
      </c>
      <c r="C979" t="s">
        <v>381</v>
      </c>
      <c r="D979" t="s">
        <v>3018</v>
      </c>
      <c r="E979" t="s">
        <v>3019</v>
      </c>
      <c r="F979">
        <v>1</v>
      </c>
      <c r="G979">
        <v>977</v>
      </c>
      <c r="H979">
        <f>IF(Table1[[#This Row],[my_ent_1]]=Table1[[#This Row],[their_ent_1]], 1, 0)</f>
        <v>1</v>
      </c>
      <c r="I979">
        <f>IF(Table1[[#This Row],[my_ent_2]]=Table1[[#This Row],[their_ent_2]], 1, 0)</f>
        <v>0</v>
      </c>
      <c r="J979">
        <f>IF(Table1[[#This Row],[same_1]]=1 &amp; Table1[[#This Row],[same_2]]=1, 1, 0)</f>
        <v>0</v>
      </c>
      <c r="K979">
        <f>IF(ISNUMBER(SEARCH(Table1[[#This Row],[their_ent_1]],Table1[[#This Row],[my_ent_1]])), 1, 0)</f>
        <v>1</v>
      </c>
      <c r="L979">
        <f>IF(ISNUMBER(SEARCH(Table1[[#This Row],[their_ent_2]],Table1[[#This Row],[my_ent_2]])), 1, 0)</f>
        <v>1</v>
      </c>
    </row>
    <row r="980" spans="1:12" x14ac:dyDescent="0.3">
      <c r="A980" t="s">
        <v>3020</v>
      </c>
      <c r="B980" t="s">
        <v>3021</v>
      </c>
      <c r="C980" t="s">
        <v>3022</v>
      </c>
      <c r="D980" t="s">
        <v>3023</v>
      </c>
      <c r="E980" t="s">
        <v>3024</v>
      </c>
      <c r="F980">
        <v>1</v>
      </c>
      <c r="G980">
        <v>978</v>
      </c>
      <c r="H980">
        <f>IF(Table1[[#This Row],[my_ent_1]]=Table1[[#This Row],[their_ent_1]], 1, 0)</f>
        <v>0</v>
      </c>
      <c r="I980">
        <f>IF(Table1[[#This Row],[my_ent_2]]=Table1[[#This Row],[their_ent_2]], 1, 0)</f>
        <v>0</v>
      </c>
      <c r="J980">
        <f>IF(Table1[[#This Row],[same_1]]=1 &amp; Table1[[#This Row],[same_2]]=1, 1, 0)</f>
        <v>0</v>
      </c>
      <c r="K980">
        <f>IF(ISNUMBER(SEARCH(Table1[[#This Row],[their_ent_1]],Table1[[#This Row],[my_ent_1]])), 1, 0)</f>
        <v>0</v>
      </c>
      <c r="L980">
        <f>IF(ISNUMBER(SEARCH(Table1[[#This Row],[their_ent_2]],Table1[[#This Row],[my_ent_2]])), 1, 0)</f>
        <v>0</v>
      </c>
    </row>
    <row r="981" spans="1:12" x14ac:dyDescent="0.3">
      <c r="A981" t="s">
        <v>3025</v>
      </c>
      <c r="B981" t="s">
        <v>3026</v>
      </c>
      <c r="C981" t="s">
        <v>3026</v>
      </c>
      <c r="D981" t="s">
        <v>3027</v>
      </c>
      <c r="E981" t="s">
        <v>643</v>
      </c>
      <c r="F981">
        <v>3</v>
      </c>
      <c r="G981">
        <v>979</v>
      </c>
      <c r="H981">
        <f>IF(Table1[[#This Row],[my_ent_1]]=Table1[[#This Row],[their_ent_1]], 1, 0)</f>
        <v>1</v>
      </c>
      <c r="I981">
        <f>IF(Table1[[#This Row],[my_ent_2]]=Table1[[#This Row],[their_ent_2]], 1, 0)</f>
        <v>0</v>
      </c>
      <c r="J981">
        <f>IF(Table1[[#This Row],[same_1]]=1 &amp; Table1[[#This Row],[same_2]]=1, 1, 0)</f>
        <v>0</v>
      </c>
      <c r="K981">
        <f>IF(ISNUMBER(SEARCH(Table1[[#This Row],[their_ent_1]],Table1[[#This Row],[my_ent_1]])), 1, 0)</f>
        <v>1</v>
      </c>
      <c r="L981">
        <f>IF(ISNUMBER(SEARCH(Table1[[#This Row],[their_ent_2]],Table1[[#This Row],[my_ent_2]])), 1, 0)</f>
        <v>0</v>
      </c>
    </row>
    <row r="982" spans="1:12" x14ac:dyDescent="0.3">
      <c r="A982" t="s">
        <v>3028</v>
      </c>
      <c r="B982" t="s">
        <v>451</v>
      </c>
      <c r="C982" t="s">
        <v>3029</v>
      </c>
      <c r="D982" t="s">
        <v>3029</v>
      </c>
      <c r="E982" t="s">
        <v>3030</v>
      </c>
      <c r="F982">
        <v>1</v>
      </c>
      <c r="G982">
        <v>980</v>
      </c>
      <c r="H982">
        <f>IF(Table1[[#This Row],[my_ent_1]]=Table1[[#This Row],[their_ent_1]], 1, 0)</f>
        <v>0</v>
      </c>
      <c r="I982">
        <f>IF(Table1[[#This Row],[my_ent_2]]=Table1[[#This Row],[their_ent_2]], 1, 0)</f>
        <v>0</v>
      </c>
      <c r="J982">
        <f>IF(Table1[[#This Row],[same_1]]=1 &amp; Table1[[#This Row],[same_2]]=1, 1, 0)</f>
        <v>0</v>
      </c>
      <c r="K982">
        <f>IF(ISNUMBER(SEARCH(Table1[[#This Row],[their_ent_1]],Table1[[#This Row],[my_ent_1]])), 1, 0)</f>
        <v>0</v>
      </c>
      <c r="L982">
        <f>IF(ISNUMBER(SEARCH(Table1[[#This Row],[their_ent_2]],Table1[[#This Row],[my_ent_2]])), 1, 0)</f>
        <v>0</v>
      </c>
    </row>
    <row r="983" spans="1:12" x14ac:dyDescent="0.3">
      <c r="A983" t="s">
        <v>3031</v>
      </c>
      <c r="B983" t="s">
        <v>831</v>
      </c>
      <c r="C983" t="s">
        <v>831</v>
      </c>
      <c r="D983" t="s">
        <v>592</v>
      </c>
      <c r="E983" t="s">
        <v>410</v>
      </c>
      <c r="F983">
        <v>3</v>
      </c>
      <c r="G983">
        <v>981</v>
      </c>
      <c r="H983">
        <f>IF(Table1[[#This Row],[my_ent_1]]=Table1[[#This Row],[their_ent_1]], 1, 0)</f>
        <v>1</v>
      </c>
      <c r="I983">
        <f>IF(Table1[[#This Row],[my_ent_2]]=Table1[[#This Row],[their_ent_2]], 1, 0)</f>
        <v>0</v>
      </c>
      <c r="J983">
        <f>IF(Table1[[#This Row],[same_1]]=1 &amp; Table1[[#This Row],[same_2]]=1, 1, 0)</f>
        <v>0</v>
      </c>
      <c r="K983">
        <f>IF(ISNUMBER(SEARCH(Table1[[#This Row],[their_ent_1]],Table1[[#This Row],[my_ent_1]])), 1, 0)</f>
        <v>1</v>
      </c>
      <c r="L983">
        <f>IF(ISNUMBER(SEARCH(Table1[[#This Row],[their_ent_2]],Table1[[#This Row],[my_ent_2]])), 1, 0)</f>
        <v>1</v>
      </c>
    </row>
    <row r="984" spans="1:12" x14ac:dyDescent="0.3">
      <c r="A984" t="s">
        <v>3032</v>
      </c>
      <c r="B984" t="s">
        <v>20</v>
      </c>
      <c r="C984" t="s">
        <v>407</v>
      </c>
      <c r="D984" t="s">
        <v>3033</v>
      </c>
      <c r="E984" t="s">
        <v>26</v>
      </c>
      <c r="F984">
        <v>3</v>
      </c>
      <c r="G984">
        <v>982</v>
      </c>
      <c r="H984">
        <f>IF(Table1[[#This Row],[my_ent_1]]=Table1[[#This Row],[their_ent_1]], 1, 0)</f>
        <v>0</v>
      </c>
      <c r="I984">
        <f>IF(Table1[[#This Row],[my_ent_2]]=Table1[[#This Row],[their_ent_2]], 1, 0)</f>
        <v>0</v>
      </c>
      <c r="J984">
        <f>IF(Table1[[#This Row],[same_1]]=1 &amp; Table1[[#This Row],[same_2]]=1, 1, 0)</f>
        <v>0</v>
      </c>
      <c r="K984">
        <f>IF(ISNUMBER(SEARCH(Table1[[#This Row],[their_ent_1]],Table1[[#This Row],[my_ent_1]])), 1, 0)</f>
        <v>0</v>
      </c>
      <c r="L984">
        <f>IF(ISNUMBER(SEARCH(Table1[[#This Row],[their_ent_2]],Table1[[#This Row],[my_ent_2]])), 1, 0)</f>
        <v>0</v>
      </c>
    </row>
    <row r="985" spans="1:12" x14ac:dyDescent="0.3">
      <c r="A985" t="s">
        <v>3034</v>
      </c>
      <c r="B985" t="s">
        <v>3035</v>
      </c>
      <c r="C985" t="s">
        <v>3036</v>
      </c>
      <c r="D985" t="s">
        <v>3037</v>
      </c>
      <c r="E985" t="s">
        <v>3038</v>
      </c>
      <c r="F985">
        <v>3</v>
      </c>
      <c r="G985">
        <v>983</v>
      </c>
      <c r="H985">
        <f>IF(Table1[[#This Row],[my_ent_1]]=Table1[[#This Row],[their_ent_1]], 1, 0)</f>
        <v>0</v>
      </c>
      <c r="I985">
        <f>IF(Table1[[#This Row],[my_ent_2]]=Table1[[#This Row],[their_ent_2]], 1, 0)</f>
        <v>0</v>
      </c>
      <c r="J985">
        <f>IF(Table1[[#This Row],[same_1]]=1 &amp; Table1[[#This Row],[same_2]]=1, 1, 0)</f>
        <v>0</v>
      </c>
      <c r="K985">
        <f>IF(ISNUMBER(SEARCH(Table1[[#This Row],[their_ent_1]],Table1[[#This Row],[my_ent_1]])), 1, 0)</f>
        <v>1</v>
      </c>
      <c r="L985">
        <f>IF(ISNUMBER(SEARCH(Table1[[#This Row],[their_ent_2]],Table1[[#This Row],[my_ent_2]])), 1, 0)</f>
        <v>0</v>
      </c>
    </row>
    <row r="986" spans="1:12" x14ac:dyDescent="0.3">
      <c r="A986" t="s">
        <v>3039</v>
      </c>
      <c r="B986" t="s">
        <v>863</v>
      </c>
      <c r="C986" t="s">
        <v>864</v>
      </c>
      <c r="D986" t="s">
        <v>381</v>
      </c>
      <c r="E986" t="s">
        <v>381</v>
      </c>
      <c r="F986">
        <v>3</v>
      </c>
      <c r="G986">
        <v>984</v>
      </c>
      <c r="H986">
        <f>IF(Table1[[#This Row],[my_ent_1]]=Table1[[#This Row],[their_ent_1]], 1, 0)</f>
        <v>0</v>
      </c>
      <c r="I986">
        <f>IF(Table1[[#This Row],[my_ent_2]]=Table1[[#This Row],[their_ent_2]], 1, 0)</f>
        <v>1</v>
      </c>
      <c r="J986">
        <f>IF(Table1[[#This Row],[same_1]]=1 &amp; Table1[[#This Row],[same_2]]=1, 1, 0)</f>
        <v>0</v>
      </c>
      <c r="K986">
        <f>IF(ISNUMBER(SEARCH(Table1[[#This Row],[their_ent_1]],Table1[[#This Row],[my_ent_1]])), 1, 0)</f>
        <v>1</v>
      </c>
      <c r="L986">
        <f>IF(ISNUMBER(SEARCH(Table1[[#This Row],[their_ent_2]],Table1[[#This Row],[my_ent_2]])), 1, 0)</f>
        <v>1</v>
      </c>
    </row>
    <row r="987" spans="1:12" x14ac:dyDescent="0.3">
      <c r="A987" t="s">
        <v>3040</v>
      </c>
      <c r="B987" t="s">
        <v>3041</v>
      </c>
      <c r="C987" t="s">
        <v>3042</v>
      </c>
      <c r="D987" t="s">
        <v>3043</v>
      </c>
      <c r="E987" t="s">
        <v>3043</v>
      </c>
      <c r="F987">
        <v>3</v>
      </c>
      <c r="G987">
        <v>985</v>
      </c>
      <c r="H987">
        <f>IF(Table1[[#This Row],[my_ent_1]]=Table1[[#This Row],[their_ent_1]], 1, 0)</f>
        <v>0</v>
      </c>
      <c r="I987">
        <f>IF(Table1[[#This Row],[my_ent_2]]=Table1[[#This Row],[their_ent_2]], 1, 0)</f>
        <v>1</v>
      </c>
      <c r="J987">
        <f>IF(Table1[[#This Row],[same_1]]=1 &amp; Table1[[#This Row],[same_2]]=1, 1, 0)</f>
        <v>0</v>
      </c>
      <c r="K987">
        <f>IF(ISNUMBER(SEARCH(Table1[[#This Row],[their_ent_1]],Table1[[#This Row],[my_ent_1]])), 1, 0)</f>
        <v>1</v>
      </c>
      <c r="L987">
        <f>IF(ISNUMBER(SEARCH(Table1[[#This Row],[their_ent_2]],Table1[[#This Row],[my_ent_2]])), 1, 0)</f>
        <v>1</v>
      </c>
    </row>
    <row r="988" spans="1:12" x14ac:dyDescent="0.3">
      <c r="A988" t="s">
        <v>3044</v>
      </c>
      <c r="B988" t="s">
        <v>354</v>
      </c>
      <c r="C988" t="s">
        <v>3045</v>
      </c>
      <c r="D988" t="s">
        <v>1918</v>
      </c>
      <c r="E988" t="s">
        <v>275</v>
      </c>
      <c r="F988">
        <v>4</v>
      </c>
      <c r="G988">
        <v>986</v>
      </c>
      <c r="H988">
        <f>IF(Table1[[#This Row],[my_ent_1]]=Table1[[#This Row],[their_ent_1]], 1, 0)</f>
        <v>0</v>
      </c>
      <c r="I988">
        <f>IF(Table1[[#This Row],[my_ent_2]]=Table1[[#This Row],[their_ent_2]], 1, 0)</f>
        <v>0</v>
      </c>
      <c r="J988">
        <f>IF(Table1[[#This Row],[same_1]]=1 &amp; Table1[[#This Row],[same_2]]=1, 1, 0)</f>
        <v>0</v>
      </c>
      <c r="K988">
        <f>IF(ISNUMBER(SEARCH(Table1[[#This Row],[their_ent_1]],Table1[[#This Row],[my_ent_1]])), 1, 0)</f>
        <v>0</v>
      </c>
      <c r="L988">
        <f>IF(ISNUMBER(SEARCH(Table1[[#This Row],[their_ent_2]],Table1[[#This Row],[my_ent_2]])), 1, 0)</f>
        <v>0</v>
      </c>
    </row>
    <row r="989" spans="1:12" x14ac:dyDescent="0.3">
      <c r="A989" t="s">
        <v>3046</v>
      </c>
      <c r="B989" t="s">
        <v>3047</v>
      </c>
      <c r="C989" t="s">
        <v>3047</v>
      </c>
      <c r="D989" t="s">
        <v>1691</v>
      </c>
      <c r="E989" t="s">
        <v>1692</v>
      </c>
      <c r="F989">
        <v>3</v>
      </c>
      <c r="G989">
        <v>987</v>
      </c>
      <c r="H989">
        <f>IF(Table1[[#This Row],[my_ent_1]]=Table1[[#This Row],[their_ent_1]], 1, 0)</f>
        <v>1</v>
      </c>
      <c r="I989">
        <f>IF(Table1[[#This Row],[my_ent_2]]=Table1[[#This Row],[their_ent_2]], 1, 0)</f>
        <v>0</v>
      </c>
      <c r="J989">
        <f>IF(Table1[[#This Row],[same_1]]=1 &amp; Table1[[#This Row],[same_2]]=1, 1, 0)</f>
        <v>0</v>
      </c>
      <c r="K989">
        <f>IF(ISNUMBER(SEARCH(Table1[[#This Row],[their_ent_1]],Table1[[#This Row],[my_ent_1]])), 1, 0)</f>
        <v>1</v>
      </c>
      <c r="L989">
        <f>IF(ISNUMBER(SEARCH(Table1[[#This Row],[their_ent_2]],Table1[[#This Row],[my_ent_2]])), 1, 0)</f>
        <v>1</v>
      </c>
    </row>
    <row r="990" spans="1:12" x14ac:dyDescent="0.3">
      <c r="A990" t="s">
        <v>3048</v>
      </c>
      <c r="B990" t="s">
        <v>3049</v>
      </c>
      <c r="C990" t="s">
        <v>3049</v>
      </c>
      <c r="D990" t="s">
        <v>3050</v>
      </c>
      <c r="E990" t="s">
        <v>1299</v>
      </c>
      <c r="F990">
        <v>3</v>
      </c>
      <c r="G990">
        <v>988</v>
      </c>
      <c r="H990">
        <f>IF(Table1[[#This Row],[my_ent_1]]=Table1[[#This Row],[their_ent_1]], 1, 0)</f>
        <v>1</v>
      </c>
      <c r="I990">
        <f>IF(Table1[[#This Row],[my_ent_2]]=Table1[[#This Row],[their_ent_2]], 1, 0)</f>
        <v>0</v>
      </c>
      <c r="J990">
        <f>IF(Table1[[#This Row],[same_1]]=1 &amp; Table1[[#This Row],[same_2]]=1, 1, 0)</f>
        <v>0</v>
      </c>
      <c r="K990">
        <f>IF(ISNUMBER(SEARCH(Table1[[#This Row],[their_ent_1]],Table1[[#This Row],[my_ent_1]])), 1, 0)</f>
        <v>1</v>
      </c>
      <c r="L990">
        <f>IF(ISNUMBER(SEARCH(Table1[[#This Row],[their_ent_2]],Table1[[#This Row],[my_ent_2]])), 1, 0)</f>
        <v>0</v>
      </c>
    </row>
    <row r="991" spans="1:12" x14ac:dyDescent="0.3">
      <c r="A991" t="s">
        <v>3051</v>
      </c>
      <c r="B991" t="s">
        <v>260</v>
      </c>
      <c r="C991" t="s">
        <v>405</v>
      </c>
      <c r="D991" t="s">
        <v>450</v>
      </c>
      <c r="E991" t="s">
        <v>3052</v>
      </c>
      <c r="F991">
        <v>3</v>
      </c>
      <c r="G991">
        <v>989</v>
      </c>
      <c r="H991">
        <f>IF(Table1[[#This Row],[my_ent_1]]=Table1[[#This Row],[their_ent_1]], 1, 0)</f>
        <v>0</v>
      </c>
      <c r="I991">
        <f>IF(Table1[[#This Row],[my_ent_2]]=Table1[[#This Row],[their_ent_2]], 1, 0)</f>
        <v>0</v>
      </c>
      <c r="J991">
        <f>IF(Table1[[#This Row],[same_1]]=1 &amp; Table1[[#This Row],[same_2]]=1, 1, 0)</f>
        <v>0</v>
      </c>
      <c r="K991">
        <f>IF(ISNUMBER(SEARCH(Table1[[#This Row],[their_ent_1]],Table1[[#This Row],[my_ent_1]])), 1, 0)</f>
        <v>1</v>
      </c>
      <c r="L991">
        <f>IF(ISNUMBER(SEARCH(Table1[[#This Row],[their_ent_2]],Table1[[#This Row],[my_ent_2]])), 1, 0)</f>
        <v>0</v>
      </c>
    </row>
    <row r="992" spans="1:12" x14ac:dyDescent="0.3">
      <c r="A992" t="s">
        <v>3053</v>
      </c>
      <c r="B992" t="s">
        <v>3054</v>
      </c>
      <c r="C992" t="s">
        <v>1420</v>
      </c>
      <c r="D992" t="s">
        <v>2482</v>
      </c>
      <c r="E992" t="s">
        <v>2482</v>
      </c>
      <c r="F992">
        <v>1</v>
      </c>
      <c r="G992">
        <v>990</v>
      </c>
      <c r="H992">
        <f>IF(Table1[[#This Row],[my_ent_1]]=Table1[[#This Row],[their_ent_1]], 1, 0)</f>
        <v>0</v>
      </c>
      <c r="I992">
        <f>IF(Table1[[#This Row],[my_ent_2]]=Table1[[#This Row],[their_ent_2]], 1, 0)</f>
        <v>1</v>
      </c>
      <c r="J992">
        <f>IF(Table1[[#This Row],[same_1]]=1 &amp; Table1[[#This Row],[same_2]]=1, 1, 0)</f>
        <v>0</v>
      </c>
      <c r="K992">
        <f>IF(ISNUMBER(SEARCH(Table1[[#This Row],[their_ent_1]],Table1[[#This Row],[my_ent_1]])), 1, 0)</f>
        <v>0</v>
      </c>
      <c r="L992">
        <f>IF(ISNUMBER(SEARCH(Table1[[#This Row],[their_ent_2]],Table1[[#This Row],[my_ent_2]])), 1, 0)</f>
        <v>1</v>
      </c>
    </row>
    <row r="993" spans="1:12" x14ac:dyDescent="0.3">
      <c r="A993" t="s">
        <v>3055</v>
      </c>
      <c r="B993" t="s">
        <v>3056</v>
      </c>
      <c r="C993" t="s">
        <v>3057</v>
      </c>
      <c r="D993" t="s">
        <v>3058</v>
      </c>
      <c r="E993" t="s">
        <v>3058</v>
      </c>
      <c r="F993">
        <v>1</v>
      </c>
      <c r="G993">
        <v>991</v>
      </c>
      <c r="H993">
        <f>IF(Table1[[#This Row],[my_ent_1]]=Table1[[#This Row],[their_ent_1]], 1, 0)</f>
        <v>0</v>
      </c>
      <c r="I993">
        <f>IF(Table1[[#This Row],[my_ent_2]]=Table1[[#This Row],[their_ent_2]], 1, 0)</f>
        <v>1</v>
      </c>
      <c r="J993">
        <f>IF(Table1[[#This Row],[same_1]]=1 &amp; Table1[[#This Row],[same_2]]=1, 1, 0)</f>
        <v>0</v>
      </c>
      <c r="K993">
        <f>IF(ISNUMBER(SEARCH(Table1[[#This Row],[their_ent_1]],Table1[[#This Row],[my_ent_1]])), 1, 0)</f>
        <v>1</v>
      </c>
      <c r="L993">
        <f>IF(ISNUMBER(SEARCH(Table1[[#This Row],[their_ent_2]],Table1[[#This Row],[my_ent_2]])), 1, 0)</f>
        <v>1</v>
      </c>
    </row>
    <row r="994" spans="1:12" x14ac:dyDescent="0.3">
      <c r="A994" t="s">
        <v>3059</v>
      </c>
      <c r="B994" t="s">
        <v>20</v>
      </c>
      <c r="C994" t="s">
        <v>1031</v>
      </c>
      <c r="D994" t="s">
        <v>3060</v>
      </c>
      <c r="E994" t="s">
        <v>103</v>
      </c>
      <c r="F994">
        <v>3</v>
      </c>
      <c r="G994">
        <v>992</v>
      </c>
      <c r="H994">
        <f>IF(Table1[[#This Row],[my_ent_1]]=Table1[[#This Row],[their_ent_1]], 1, 0)</f>
        <v>0</v>
      </c>
      <c r="I994">
        <f>IF(Table1[[#This Row],[my_ent_2]]=Table1[[#This Row],[their_ent_2]], 1, 0)</f>
        <v>0</v>
      </c>
      <c r="J994">
        <f>IF(Table1[[#This Row],[same_1]]=1 &amp; Table1[[#This Row],[same_2]]=1, 1, 0)</f>
        <v>0</v>
      </c>
      <c r="K994">
        <f>IF(ISNUMBER(SEARCH(Table1[[#This Row],[their_ent_1]],Table1[[#This Row],[my_ent_1]])), 1, 0)</f>
        <v>0</v>
      </c>
      <c r="L994">
        <f>IF(ISNUMBER(SEARCH(Table1[[#This Row],[their_ent_2]],Table1[[#This Row],[my_ent_2]])), 1, 0)</f>
        <v>0</v>
      </c>
    </row>
    <row r="995" spans="1:12" x14ac:dyDescent="0.3">
      <c r="A995" t="s">
        <v>3061</v>
      </c>
      <c r="B995" t="s">
        <v>580</v>
      </c>
      <c r="C995" t="s">
        <v>580</v>
      </c>
      <c r="D995" t="s">
        <v>20</v>
      </c>
      <c r="E995" t="s">
        <v>407</v>
      </c>
      <c r="F995">
        <v>3</v>
      </c>
      <c r="G995">
        <v>993</v>
      </c>
      <c r="H995">
        <f>IF(Table1[[#This Row],[my_ent_1]]=Table1[[#This Row],[their_ent_1]], 1, 0)</f>
        <v>1</v>
      </c>
      <c r="I995">
        <f>IF(Table1[[#This Row],[my_ent_2]]=Table1[[#This Row],[their_ent_2]], 1, 0)</f>
        <v>0</v>
      </c>
      <c r="J995">
        <f>IF(Table1[[#This Row],[same_1]]=1 &amp; Table1[[#This Row],[same_2]]=1, 1, 0)</f>
        <v>0</v>
      </c>
      <c r="K995">
        <f>IF(ISNUMBER(SEARCH(Table1[[#This Row],[their_ent_1]],Table1[[#This Row],[my_ent_1]])), 1, 0)</f>
        <v>1</v>
      </c>
      <c r="L995">
        <f>IF(ISNUMBER(SEARCH(Table1[[#This Row],[their_ent_2]],Table1[[#This Row],[my_ent_2]])), 1, 0)</f>
        <v>0</v>
      </c>
    </row>
    <row r="996" spans="1:12" x14ac:dyDescent="0.3">
      <c r="A996" t="s">
        <v>3062</v>
      </c>
      <c r="B996" t="s">
        <v>3063</v>
      </c>
      <c r="C996" t="s">
        <v>3064</v>
      </c>
      <c r="D996" t="s">
        <v>3065</v>
      </c>
      <c r="E996" t="s">
        <v>3066</v>
      </c>
      <c r="F996">
        <v>3</v>
      </c>
      <c r="G996">
        <v>994</v>
      </c>
      <c r="H996">
        <f>IF(Table1[[#This Row],[my_ent_1]]=Table1[[#This Row],[their_ent_1]], 1, 0)</f>
        <v>0</v>
      </c>
      <c r="I996">
        <f>IF(Table1[[#This Row],[my_ent_2]]=Table1[[#This Row],[their_ent_2]], 1, 0)</f>
        <v>0</v>
      </c>
      <c r="J996">
        <f>IF(Table1[[#This Row],[same_1]]=1 &amp; Table1[[#This Row],[same_2]]=1, 1, 0)</f>
        <v>0</v>
      </c>
      <c r="K996">
        <f>IF(ISNUMBER(SEARCH(Table1[[#This Row],[their_ent_1]],Table1[[#This Row],[my_ent_1]])), 1, 0)</f>
        <v>0</v>
      </c>
      <c r="L996">
        <f>IF(ISNUMBER(SEARCH(Table1[[#This Row],[their_ent_2]],Table1[[#This Row],[my_ent_2]])), 1, 0)</f>
        <v>0</v>
      </c>
    </row>
    <row r="997" spans="1:12" x14ac:dyDescent="0.3">
      <c r="A997" t="s">
        <v>3067</v>
      </c>
      <c r="B997" t="s">
        <v>394</v>
      </c>
      <c r="C997" t="s">
        <v>394</v>
      </c>
      <c r="D997" t="s">
        <v>3068</v>
      </c>
      <c r="E997" t="s">
        <v>3007</v>
      </c>
      <c r="F997">
        <v>3</v>
      </c>
      <c r="G997">
        <v>995</v>
      </c>
      <c r="H997">
        <f>IF(Table1[[#This Row],[my_ent_1]]=Table1[[#This Row],[their_ent_1]], 1, 0)</f>
        <v>1</v>
      </c>
      <c r="I997">
        <f>IF(Table1[[#This Row],[my_ent_2]]=Table1[[#This Row],[their_ent_2]], 1, 0)</f>
        <v>0</v>
      </c>
      <c r="J997">
        <f>IF(Table1[[#This Row],[same_1]]=1 &amp; Table1[[#This Row],[same_2]]=1, 1, 0)</f>
        <v>0</v>
      </c>
      <c r="K997">
        <f>IF(ISNUMBER(SEARCH(Table1[[#This Row],[their_ent_1]],Table1[[#This Row],[my_ent_1]])), 1, 0)</f>
        <v>1</v>
      </c>
      <c r="L997">
        <f>IF(ISNUMBER(SEARCH(Table1[[#This Row],[their_ent_2]],Table1[[#This Row],[my_ent_2]])), 1, 0)</f>
        <v>0</v>
      </c>
    </row>
    <row r="998" spans="1:12" x14ac:dyDescent="0.3">
      <c r="A998" t="s">
        <v>3069</v>
      </c>
      <c r="B998" t="s">
        <v>3070</v>
      </c>
      <c r="C998" t="s">
        <v>3070</v>
      </c>
      <c r="D998" t="s">
        <v>3071</v>
      </c>
      <c r="E998" t="s">
        <v>3072</v>
      </c>
      <c r="F998">
        <v>3</v>
      </c>
      <c r="G998">
        <v>996</v>
      </c>
      <c r="H998">
        <f>IF(Table1[[#This Row],[my_ent_1]]=Table1[[#This Row],[their_ent_1]], 1, 0)</f>
        <v>1</v>
      </c>
      <c r="I998">
        <f>IF(Table1[[#This Row],[my_ent_2]]=Table1[[#This Row],[their_ent_2]], 1, 0)</f>
        <v>0</v>
      </c>
      <c r="J998">
        <f>IF(Table1[[#This Row],[same_1]]=1 &amp; Table1[[#This Row],[same_2]]=1, 1, 0)</f>
        <v>0</v>
      </c>
      <c r="K998">
        <f>IF(ISNUMBER(SEARCH(Table1[[#This Row],[their_ent_1]],Table1[[#This Row],[my_ent_1]])), 1, 0)</f>
        <v>1</v>
      </c>
      <c r="L998">
        <f>IF(ISNUMBER(SEARCH(Table1[[#This Row],[their_ent_2]],Table1[[#This Row],[my_ent_2]])), 1, 0)</f>
        <v>1</v>
      </c>
    </row>
    <row r="999" spans="1:12" x14ac:dyDescent="0.3">
      <c r="A999" t="s">
        <v>3073</v>
      </c>
      <c r="B999" t="s">
        <v>3074</v>
      </c>
      <c r="C999" t="s">
        <v>3074</v>
      </c>
      <c r="D999" t="s">
        <v>3075</v>
      </c>
      <c r="E999" t="s">
        <v>103</v>
      </c>
      <c r="F999">
        <v>3</v>
      </c>
      <c r="G999">
        <v>997</v>
      </c>
      <c r="H999">
        <f>IF(Table1[[#This Row],[my_ent_1]]=Table1[[#This Row],[their_ent_1]], 1, 0)</f>
        <v>1</v>
      </c>
      <c r="I999">
        <f>IF(Table1[[#This Row],[my_ent_2]]=Table1[[#This Row],[their_ent_2]], 1, 0)</f>
        <v>0</v>
      </c>
      <c r="J999">
        <f>IF(Table1[[#This Row],[same_1]]=1 &amp; Table1[[#This Row],[same_2]]=1, 1, 0)</f>
        <v>0</v>
      </c>
      <c r="K999">
        <f>IF(ISNUMBER(SEARCH(Table1[[#This Row],[their_ent_1]],Table1[[#This Row],[my_ent_1]])), 1, 0)</f>
        <v>1</v>
      </c>
      <c r="L999">
        <f>IF(ISNUMBER(SEARCH(Table1[[#This Row],[their_ent_2]],Table1[[#This Row],[my_ent_2]])), 1, 0)</f>
        <v>0</v>
      </c>
    </row>
    <row r="1000" spans="1:12" x14ac:dyDescent="0.3">
      <c r="A1000" t="s">
        <v>3076</v>
      </c>
      <c r="B1000" t="s">
        <v>3077</v>
      </c>
      <c r="C1000" t="s">
        <v>3077</v>
      </c>
      <c r="D1000" t="s">
        <v>25</v>
      </c>
      <c r="E1000" t="s">
        <v>329</v>
      </c>
      <c r="F1000">
        <v>3</v>
      </c>
      <c r="G1000">
        <v>998</v>
      </c>
      <c r="H1000">
        <f>IF(Table1[[#This Row],[my_ent_1]]=Table1[[#This Row],[their_ent_1]], 1, 0)</f>
        <v>1</v>
      </c>
      <c r="I1000">
        <f>IF(Table1[[#This Row],[my_ent_2]]=Table1[[#This Row],[their_ent_2]], 1, 0)</f>
        <v>0</v>
      </c>
      <c r="J1000">
        <f>IF(Table1[[#This Row],[same_1]]=1 &amp; Table1[[#This Row],[same_2]]=1, 1, 0)</f>
        <v>0</v>
      </c>
      <c r="K1000">
        <f>IF(ISNUMBER(SEARCH(Table1[[#This Row],[their_ent_1]],Table1[[#This Row],[my_ent_1]])), 1, 0)</f>
        <v>1</v>
      </c>
      <c r="L1000">
        <f>IF(ISNUMBER(SEARCH(Table1[[#This Row],[their_ent_2]],Table1[[#This Row],[my_ent_2]])), 1, 0)</f>
        <v>0</v>
      </c>
    </row>
    <row r="1001" spans="1:12" x14ac:dyDescent="0.3">
      <c r="A1001" t="s">
        <v>3078</v>
      </c>
      <c r="B1001" t="s">
        <v>3079</v>
      </c>
      <c r="C1001" t="s">
        <v>163</v>
      </c>
      <c r="D1001" t="s">
        <v>450</v>
      </c>
      <c r="E1001" t="s">
        <v>3080</v>
      </c>
      <c r="F1001">
        <v>2</v>
      </c>
      <c r="G1001">
        <v>999</v>
      </c>
      <c r="H1001">
        <f>IF(Table1[[#This Row],[my_ent_1]]=Table1[[#This Row],[their_ent_1]], 1, 0)</f>
        <v>0</v>
      </c>
      <c r="I1001">
        <f>IF(Table1[[#This Row],[my_ent_2]]=Table1[[#This Row],[their_ent_2]], 1, 0)</f>
        <v>0</v>
      </c>
      <c r="J1001">
        <f>IF(Table1[[#This Row],[same_1]]=1 &amp; Table1[[#This Row],[same_2]]=1, 1, 0)</f>
        <v>0</v>
      </c>
      <c r="K1001">
        <f>IF(ISNUMBER(SEARCH(Table1[[#This Row],[their_ent_1]],Table1[[#This Row],[my_ent_1]])), 1, 0)</f>
        <v>0</v>
      </c>
      <c r="L1001">
        <f>IF(ISNUMBER(SEARCH(Table1[[#This Row],[their_ent_2]],Table1[[#This Row],[my_ent_2]])), 1, 0)</f>
        <v>0</v>
      </c>
    </row>
    <row r="1002" spans="1:12" x14ac:dyDescent="0.3">
      <c r="A1002" t="s">
        <v>3081</v>
      </c>
      <c r="B1002" t="s">
        <v>3082</v>
      </c>
      <c r="C1002" t="s">
        <v>3083</v>
      </c>
      <c r="D1002" t="s">
        <v>3084</v>
      </c>
      <c r="E1002" t="s">
        <v>3082</v>
      </c>
      <c r="F1002">
        <v>3</v>
      </c>
      <c r="G1002">
        <v>1000</v>
      </c>
      <c r="H1002">
        <f>IF(Table1[[#This Row],[my_ent_1]]=Table1[[#This Row],[their_ent_1]], 1, 0)</f>
        <v>0</v>
      </c>
      <c r="I1002">
        <f>IF(Table1[[#This Row],[my_ent_2]]=Table1[[#This Row],[their_ent_2]], 1, 0)</f>
        <v>0</v>
      </c>
      <c r="J1002">
        <f>IF(Table1[[#This Row],[same_1]]=1 &amp; Table1[[#This Row],[same_2]]=1, 1, 0)</f>
        <v>0</v>
      </c>
      <c r="K1002">
        <f>IF(ISNUMBER(SEARCH(Table1[[#This Row],[their_ent_1]],Table1[[#This Row],[my_ent_1]])), 1, 0)</f>
        <v>0</v>
      </c>
      <c r="L1002">
        <f>IF(ISNUMBER(SEARCH(Table1[[#This Row],[their_ent_2]],Table1[[#This Row],[my_ent_2]])), 1, 0)</f>
        <v>0</v>
      </c>
    </row>
    <row r="1003" spans="1:12" x14ac:dyDescent="0.3">
      <c r="A1003" t="s">
        <v>3085</v>
      </c>
      <c r="B1003" t="s">
        <v>3086</v>
      </c>
      <c r="C1003" t="s">
        <v>3087</v>
      </c>
      <c r="D1003" t="s">
        <v>3088</v>
      </c>
      <c r="E1003" t="s">
        <v>3088</v>
      </c>
      <c r="F1003">
        <v>1</v>
      </c>
      <c r="G1003">
        <v>1001</v>
      </c>
      <c r="H1003">
        <f>IF(Table1[[#This Row],[my_ent_1]]=Table1[[#This Row],[their_ent_1]], 1, 0)</f>
        <v>0</v>
      </c>
      <c r="I1003">
        <f>IF(Table1[[#This Row],[my_ent_2]]=Table1[[#This Row],[their_ent_2]], 1, 0)</f>
        <v>1</v>
      </c>
      <c r="J1003">
        <f>IF(Table1[[#This Row],[same_1]]=1 &amp; Table1[[#This Row],[same_2]]=1, 1, 0)</f>
        <v>0</v>
      </c>
      <c r="K1003">
        <f>IF(ISNUMBER(SEARCH(Table1[[#This Row],[their_ent_1]],Table1[[#This Row],[my_ent_1]])), 1, 0)</f>
        <v>0</v>
      </c>
      <c r="L1003">
        <f>IF(ISNUMBER(SEARCH(Table1[[#This Row],[their_ent_2]],Table1[[#This Row],[my_ent_2]])), 1, 0)</f>
        <v>1</v>
      </c>
    </row>
    <row r="1004" spans="1:12" x14ac:dyDescent="0.3">
      <c r="A1004" t="s">
        <v>3089</v>
      </c>
      <c r="B1004" t="s">
        <v>1482</v>
      </c>
      <c r="C1004" t="s">
        <v>3090</v>
      </c>
      <c r="D1004" t="s">
        <v>3090</v>
      </c>
      <c r="E1004" t="s">
        <v>3091</v>
      </c>
      <c r="F1004">
        <v>1</v>
      </c>
      <c r="G1004">
        <v>1002</v>
      </c>
      <c r="H1004">
        <f>IF(Table1[[#This Row],[my_ent_1]]=Table1[[#This Row],[their_ent_1]], 1, 0)</f>
        <v>0</v>
      </c>
      <c r="I1004">
        <f>IF(Table1[[#This Row],[my_ent_2]]=Table1[[#This Row],[their_ent_2]], 1, 0)</f>
        <v>0</v>
      </c>
      <c r="J1004">
        <f>IF(Table1[[#This Row],[same_1]]=1 &amp; Table1[[#This Row],[same_2]]=1, 1, 0)</f>
        <v>0</v>
      </c>
      <c r="K1004">
        <f>IF(ISNUMBER(SEARCH(Table1[[#This Row],[their_ent_1]],Table1[[#This Row],[my_ent_1]])), 1, 0)</f>
        <v>0</v>
      </c>
      <c r="L1004">
        <f>IF(ISNUMBER(SEARCH(Table1[[#This Row],[their_ent_2]],Table1[[#This Row],[my_ent_2]])), 1, 0)</f>
        <v>0</v>
      </c>
    </row>
    <row r="1005" spans="1:12" x14ac:dyDescent="0.3">
      <c r="A1005" t="s">
        <v>3092</v>
      </c>
      <c r="B1005" t="s">
        <v>1425</v>
      </c>
      <c r="C1005" t="s">
        <v>1425</v>
      </c>
      <c r="D1005" t="s">
        <v>238</v>
      </c>
      <c r="E1005" t="s">
        <v>198</v>
      </c>
      <c r="F1005">
        <v>3</v>
      </c>
      <c r="G1005">
        <v>1003</v>
      </c>
      <c r="H1005">
        <f>IF(Table1[[#This Row],[my_ent_1]]=Table1[[#This Row],[their_ent_1]], 1, 0)</f>
        <v>1</v>
      </c>
      <c r="I1005">
        <f>IF(Table1[[#This Row],[my_ent_2]]=Table1[[#This Row],[their_ent_2]], 1, 0)</f>
        <v>0</v>
      </c>
      <c r="J1005">
        <f>IF(Table1[[#This Row],[same_1]]=1 &amp; Table1[[#This Row],[same_2]]=1, 1, 0)</f>
        <v>0</v>
      </c>
      <c r="K1005">
        <f>IF(ISNUMBER(SEARCH(Table1[[#This Row],[their_ent_1]],Table1[[#This Row],[my_ent_1]])), 1, 0)</f>
        <v>1</v>
      </c>
      <c r="L1005">
        <f>IF(ISNUMBER(SEARCH(Table1[[#This Row],[their_ent_2]],Table1[[#This Row],[my_ent_2]])), 1, 0)</f>
        <v>0</v>
      </c>
    </row>
    <row r="1006" spans="1:12" x14ac:dyDescent="0.3">
      <c r="A1006" t="s">
        <v>3093</v>
      </c>
      <c r="B1006" t="s">
        <v>3094</v>
      </c>
      <c r="C1006" t="s">
        <v>3094</v>
      </c>
      <c r="D1006" t="s">
        <v>376</v>
      </c>
      <c r="E1006" t="s">
        <v>30</v>
      </c>
      <c r="F1006">
        <v>3</v>
      </c>
      <c r="G1006">
        <v>1004</v>
      </c>
      <c r="H1006">
        <f>IF(Table1[[#This Row],[my_ent_1]]=Table1[[#This Row],[their_ent_1]], 1, 0)</f>
        <v>1</v>
      </c>
      <c r="I1006">
        <f>IF(Table1[[#This Row],[my_ent_2]]=Table1[[#This Row],[their_ent_2]], 1, 0)</f>
        <v>0</v>
      </c>
      <c r="J1006">
        <f>IF(Table1[[#This Row],[same_1]]=1 &amp; Table1[[#This Row],[same_2]]=1, 1, 0)</f>
        <v>0</v>
      </c>
      <c r="K1006">
        <f>IF(ISNUMBER(SEARCH(Table1[[#This Row],[their_ent_1]],Table1[[#This Row],[my_ent_1]])), 1, 0)</f>
        <v>1</v>
      </c>
      <c r="L1006">
        <f>IF(ISNUMBER(SEARCH(Table1[[#This Row],[their_ent_2]],Table1[[#This Row],[my_ent_2]])), 1, 0)</f>
        <v>0</v>
      </c>
    </row>
    <row r="1007" spans="1:12" x14ac:dyDescent="0.3">
      <c r="A1007" t="s">
        <v>3095</v>
      </c>
      <c r="B1007" t="s">
        <v>2879</v>
      </c>
      <c r="C1007" t="s">
        <v>392</v>
      </c>
      <c r="D1007" t="s">
        <v>642</v>
      </c>
      <c r="E1007" t="s">
        <v>2879</v>
      </c>
      <c r="F1007">
        <v>4</v>
      </c>
      <c r="G1007">
        <v>1005</v>
      </c>
      <c r="H1007">
        <f>IF(Table1[[#This Row],[my_ent_1]]=Table1[[#This Row],[their_ent_1]], 1, 0)</f>
        <v>0</v>
      </c>
      <c r="I1007">
        <f>IF(Table1[[#This Row],[my_ent_2]]=Table1[[#This Row],[their_ent_2]], 1, 0)</f>
        <v>0</v>
      </c>
      <c r="J1007">
        <f>IF(Table1[[#This Row],[same_1]]=1 &amp; Table1[[#This Row],[same_2]]=1, 1, 0)</f>
        <v>0</v>
      </c>
      <c r="K1007">
        <f>IF(ISNUMBER(SEARCH(Table1[[#This Row],[their_ent_1]],Table1[[#This Row],[my_ent_1]])), 1, 0)</f>
        <v>0</v>
      </c>
      <c r="L1007">
        <f>IF(ISNUMBER(SEARCH(Table1[[#This Row],[their_ent_2]],Table1[[#This Row],[my_ent_2]])), 1, 0)</f>
        <v>0</v>
      </c>
    </row>
    <row r="1008" spans="1:12" x14ac:dyDescent="0.3">
      <c r="A1008" t="s">
        <v>3096</v>
      </c>
      <c r="B1008" t="s">
        <v>260</v>
      </c>
      <c r="C1008" t="s">
        <v>405</v>
      </c>
      <c r="D1008" t="s">
        <v>127</v>
      </c>
      <c r="E1008" t="s">
        <v>127</v>
      </c>
      <c r="F1008">
        <v>1</v>
      </c>
      <c r="G1008">
        <v>1006</v>
      </c>
      <c r="H1008">
        <f>IF(Table1[[#This Row],[my_ent_1]]=Table1[[#This Row],[their_ent_1]], 1, 0)</f>
        <v>0</v>
      </c>
      <c r="I1008">
        <f>IF(Table1[[#This Row],[my_ent_2]]=Table1[[#This Row],[their_ent_2]], 1, 0)</f>
        <v>1</v>
      </c>
      <c r="J1008">
        <f>IF(Table1[[#This Row],[same_1]]=1 &amp; Table1[[#This Row],[same_2]]=1, 1, 0)</f>
        <v>0</v>
      </c>
      <c r="K1008">
        <f>IF(ISNUMBER(SEARCH(Table1[[#This Row],[their_ent_1]],Table1[[#This Row],[my_ent_1]])), 1, 0)</f>
        <v>1</v>
      </c>
      <c r="L1008">
        <f>IF(ISNUMBER(SEARCH(Table1[[#This Row],[their_ent_2]],Table1[[#This Row],[my_ent_2]])), 1, 0)</f>
        <v>1</v>
      </c>
    </row>
    <row r="1009" spans="1:12" x14ac:dyDescent="0.3">
      <c r="A1009" t="s">
        <v>3097</v>
      </c>
      <c r="B1009" t="s">
        <v>3098</v>
      </c>
      <c r="C1009" t="s">
        <v>30</v>
      </c>
      <c r="D1009" t="s">
        <v>30</v>
      </c>
      <c r="E1009" t="s">
        <v>1587</v>
      </c>
      <c r="F1009">
        <v>1</v>
      </c>
      <c r="G1009">
        <v>1007</v>
      </c>
      <c r="H1009">
        <f>IF(Table1[[#This Row],[my_ent_1]]=Table1[[#This Row],[their_ent_1]], 1, 0)</f>
        <v>0</v>
      </c>
      <c r="I1009">
        <f>IF(Table1[[#This Row],[my_ent_2]]=Table1[[#This Row],[their_ent_2]], 1, 0)</f>
        <v>0</v>
      </c>
      <c r="J1009">
        <f>IF(Table1[[#This Row],[same_1]]=1 &amp; Table1[[#This Row],[same_2]]=1, 1, 0)</f>
        <v>0</v>
      </c>
      <c r="K1009">
        <f>IF(ISNUMBER(SEARCH(Table1[[#This Row],[their_ent_1]],Table1[[#This Row],[my_ent_1]])), 1, 0)</f>
        <v>0</v>
      </c>
      <c r="L1009">
        <f>IF(ISNUMBER(SEARCH(Table1[[#This Row],[their_ent_2]],Table1[[#This Row],[my_ent_2]])), 1, 0)</f>
        <v>0</v>
      </c>
    </row>
    <row r="1010" spans="1:12" x14ac:dyDescent="0.3">
      <c r="A1010" t="s">
        <v>3099</v>
      </c>
      <c r="B1010" t="s">
        <v>3100</v>
      </c>
      <c r="C1010" t="s">
        <v>3100</v>
      </c>
      <c r="D1010" t="s">
        <v>3101</v>
      </c>
      <c r="E1010" t="s">
        <v>3102</v>
      </c>
      <c r="F1010">
        <v>1</v>
      </c>
      <c r="G1010">
        <v>1008</v>
      </c>
      <c r="H1010">
        <f>IF(Table1[[#This Row],[my_ent_1]]=Table1[[#This Row],[their_ent_1]], 1, 0)</f>
        <v>1</v>
      </c>
      <c r="I1010">
        <f>IF(Table1[[#This Row],[my_ent_2]]=Table1[[#This Row],[their_ent_2]], 1, 0)</f>
        <v>0</v>
      </c>
      <c r="J1010">
        <f>IF(Table1[[#This Row],[same_1]]=1 &amp; Table1[[#This Row],[same_2]]=1, 1, 0)</f>
        <v>0</v>
      </c>
      <c r="K1010">
        <f>IF(ISNUMBER(SEARCH(Table1[[#This Row],[their_ent_1]],Table1[[#This Row],[my_ent_1]])), 1, 0)</f>
        <v>1</v>
      </c>
      <c r="L1010">
        <f>IF(ISNUMBER(SEARCH(Table1[[#This Row],[their_ent_2]],Table1[[#This Row],[my_ent_2]])), 1, 0)</f>
        <v>0</v>
      </c>
    </row>
    <row r="1011" spans="1:12" x14ac:dyDescent="0.3">
      <c r="A1011" t="s">
        <v>3103</v>
      </c>
      <c r="B1011" t="s">
        <v>3104</v>
      </c>
      <c r="C1011" t="s">
        <v>3104</v>
      </c>
      <c r="D1011" t="s">
        <v>222</v>
      </c>
      <c r="E1011" t="s">
        <v>103</v>
      </c>
      <c r="F1011">
        <v>3</v>
      </c>
      <c r="G1011">
        <v>1009</v>
      </c>
      <c r="H1011">
        <f>IF(Table1[[#This Row],[my_ent_1]]=Table1[[#This Row],[their_ent_1]], 1, 0)</f>
        <v>1</v>
      </c>
      <c r="I1011">
        <f>IF(Table1[[#This Row],[my_ent_2]]=Table1[[#This Row],[their_ent_2]], 1, 0)</f>
        <v>0</v>
      </c>
      <c r="J1011">
        <f>IF(Table1[[#This Row],[same_1]]=1 &amp; Table1[[#This Row],[same_2]]=1, 1, 0)</f>
        <v>0</v>
      </c>
      <c r="K1011">
        <f>IF(ISNUMBER(SEARCH(Table1[[#This Row],[their_ent_1]],Table1[[#This Row],[my_ent_1]])), 1, 0)</f>
        <v>1</v>
      </c>
      <c r="L1011">
        <f>IF(ISNUMBER(SEARCH(Table1[[#This Row],[their_ent_2]],Table1[[#This Row],[my_ent_2]])), 1, 0)</f>
        <v>0</v>
      </c>
    </row>
    <row r="1012" spans="1:12" x14ac:dyDescent="0.3">
      <c r="A1012" t="s">
        <v>3105</v>
      </c>
      <c r="B1012" t="s">
        <v>3106</v>
      </c>
      <c r="C1012" t="s">
        <v>3107</v>
      </c>
      <c r="D1012" t="s">
        <v>59</v>
      </c>
      <c r="E1012" t="s">
        <v>3106</v>
      </c>
      <c r="F1012">
        <v>1</v>
      </c>
      <c r="G1012">
        <v>1010</v>
      </c>
      <c r="H1012">
        <f>IF(Table1[[#This Row],[my_ent_1]]=Table1[[#This Row],[their_ent_1]], 1, 0)</f>
        <v>0</v>
      </c>
      <c r="I1012">
        <f>IF(Table1[[#This Row],[my_ent_2]]=Table1[[#This Row],[their_ent_2]], 1, 0)</f>
        <v>0</v>
      </c>
      <c r="J1012">
        <f>IF(Table1[[#This Row],[same_1]]=1 &amp; Table1[[#This Row],[same_2]]=1, 1, 0)</f>
        <v>0</v>
      </c>
      <c r="K1012">
        <f>IF(ISNUMBER(SEARCH(Table1[[#This Row],[their_ent_1]],Table1[[#This Row],[my_ent_1]])), 1, 0)</f>
        <v>0</v>
      </c>
      <c r="L1012">
        <f>IF(ISNUMBER(SEARCH(Table1[[#This Row],[their_ent_2]],Table1[[#This Row],[my_ent_2]])), 1, 0)</f>
        <v>0</v>
      </c>
    </row>
    <row r="1013" spans="1:12" x14ac:dyDescent="0.3">
      <c r="A1013" t="s">
        <v>3108</v>
      </c>
      <c r="B1013" t="s">
        <v>279</v>
      </c>
      <c r="C1013" t="s">
        <v>279</v>
      </c>
      <c r="D1013" t="s">
        <v>135</v>
      </c>
      <c r="E1013" t="s">
        <v>136</v>
      </c>
      <c r="F1013">
        <v>1</v>
      </c>
      <c r="G1013">
        <v>1011</v>
      </c>
      <c r="H1013">
        <f>IF(Table1[[#This Row],[my_ent_1]]=Table1[[#This Row],[their_ent_1]], 1, 0)</f>
        <v>1</v>
      </c>
      <c r="I1013">
        <f>IF(Table1[[#This Row],[my_ent_2]]=Table1[[#This Row],[their_ent_2]], 1, 0)</f>
        <v>0</v>
      </c>
      <c r="J1013">
        <f>IF(Table1[[#This Row],[same_1]]=1 &amp; Table1[[#This Row],[same_2]]=1, 1, 0)</f>
        <v>0</v>
      </c>
      <c r="K1013">
        <f>IF(ISNUMBER(SEARCH(Table1[[#This Row],[their_ent_1]],Table1[[#This Row],[my_ent_1]])), 1, 0)</f>
        <v>1</v>
      </c>
      <c r="L1013">
        <f>IF(ISNUMBER(SEARCH(Table1[[#This Row],[their_ent_2]],Table1[[#This Row],[my_ent_2]])), 1, 0)</f>
        <v>1</v>
      </c>
    </row>
    <row r="1014" spans="1:12" x14ac:dyDescent="0.3">
      <c r="A1014" t="s">
        <v>3109</v>
      </c>
      <c r="B1014" t="s">
        <v>381</v>
      </c>
      <c r="C1014" t="s">
        <v>381</v>
      </c>
      <c r="D1014" t="s">
        <v>3110</v>
      </c>
      <c r="E1014" t="s">
        <v>20</v>
      </c>
      <c r="F1014">
        <v>1</v>
      </c>
      <c r="G1014">
        <v>1012</v>
      </c>
      <c r="H1014">
        <f>IF(Table1[[#This Row],[my_ent_1]]=Table1[[#This Row],[their_ent_1]], 1, 0)</f>
        <v>1</v>
      </c>
      <c r="I1014">
        <f>IF(Table1[[#This Row],[my_ent_2]]=Table1[[#This Row],[their_ent_2]], 1, 0)</f>
        <v>0</v>
      </c>
      <c r="J1014">
        <f>IF(Table1[[#This Row],[same_1]]=1 &amp; Table1[[#This Row],[same_2]]=1, 1, 0)</f>
        <v>0</v>
      </c>
      <c r="K1014">
        <f>IF(ISNUMBER(SEARCH(Table1[[#This Row],[their_ent_1]],Table1[[#This Row],[my_ent_1]])), 1, 0)</f>
        <v>1</v>
      </c>
      <c r="L1014">
        <f>IF(ISNUMBER(SEARCH(Table1[[#This Row],[their_ent_2]],Table1[[#This Row],[my_ent_2]])), 1, 0)</f>
        <v>0</v>
      </c>
    </row>
    <row r="1015" spans="1:12" x14ac:dyDescent="0.3">
      <c r="A1015" t="s">
        <v>3111</v>
      </c>
      <c r="B1015" t="s">
        <v>3112</v>
      </c>
      <c r="C1015" t="s">
        <v>140</v>
      </c>
      <c r="D1015" t="s">
        <v>3113</v>
      </c>
      <c r="E1015" t="s">
        <v>3113</v>
      </c>
      <c r="F1015">
        <v>2</v>
      </c>
      <c r="G1015">
        <v>1013</v>
      </c>
      <c r="H1015">
        <f>IF(Table1[[#This Row],[my_ent_1]]=Table1[[#This Row],[their_ent_1]], 1, 0)</f>
        <v>0</v>
      </c>
      <c r="I1015">
        <f>IF(Table1[[#This Row],[my_ent_2]]=Table1[[#This Row],[their_ent_2]], 1, 0)</f>
        <v>1</v>
      </c>
      <c r="J1015">
        <f>IF(Table1[[#This Row],[same_1]]=1 &amp; Table1[[#This Row],[same_2]]=1, 1, 0)</f>
        <v>0</v>
      </c>
      <c r="K1015">
        <f>IF(ISNUMBER(SEARCH(Table1[[#This Row],[their_ent_1]],Table1[[#This Row],[my_ent_1]])), 1, 0)</f>
        <v>0</v>
      </c>
      <c r="L1015">
        <f>IF(ISNUMBER(SEARCH(Table1[[#This Row],[their_ent_2]],Table1[[#This Row],[my_ent_2]])), 1, 0)</f>
        <v>1</v>
      </c>
    </row>
    <row r="1016" spans="1:12" x14ac:dyDescent="0.3">
      <c r="A1016" t="s">
        <v>3114</v>
      </c>
      <c r="B1016" t="s">
        <v>3115</v>
      </c>
      <c r="C1016" t="s">
        <v>3116</v>
      </c>
      <c r="D1016" t="s">
        <v>3117</v>
      </c>
      <c r="E1016" t="s">
        <v>3117</v>
      </c>
      <c r="F1016">
        <v>3</v>
      </c>
      <c r="G1016">
        <v>1014</v>
      </c>
      <c r="H1016">
        <f>IF(Table1[[#This Row],[my_ent_1]]=Table1[[#This Row],[their_ent_1]], 1, 0)</f>
        <v>0</v>
      </c>
      <c r="I1016">
        <f>IF(Table1[[#This Row],[my_ent_2]]=Table1[[#This Row],[their_ent_2]], 1, 0)</f>
        <v>1</v>
      </c>
      <c r="J1016">
        <f>IF(Table1[[#This Row],[same_1]]=1 &amp; Table1[[#This Row],[same_2]]=1, 1, 0)</f>
        <v>0</v>
      </c>
      <c r="K1016">
        <f>IF(ISNUMBER(SEARCH(Table1[[#This Row],[their_ent_1]],Table1[[#This Row],[my_ent_1]])), 1, 0)</f>
        <v>0</v>
      </c>
      <c r="L1016">
        <f>IF(ISNUMBER(SEARCH(Table1[[#This Row],[their_ent_2]],Table1[[#This Row],[my_ent_2]])), 1, 0)</f>
        <v>1</v>
      </c>
    </row>
    <row r="1017" spans="1:12" x14ac:dyDescent="0.3">
      <c r="A1017" t="s">
        <v>3118</v>
      </c>
      <c r="B1017" t="s">
        <v>44</v>
      </c>
      <c r="C1017" t="s">
        <v>44</v>
      </c>
      <c r="D1017" t="s">
        <v>3119</v>
      </c>
      <c r="E1017" t="s">
        <v>3120</v>
      </c>
      <c r="F1017">
        <v>3</v>
      </c>
      <c r="G1017">
        <v>1015</v>
      </c>
      <c r="H1017">
        <f>IF(Table1[[#This Row],[my_ent_1]]=Table1[[#This Row],[their_ent_1]], 1, 0)</f>
        <v>1</v>
      </c>
      <c r="I1017">
        <f>IF(Table1[[#This Row],[my_ent_2]]=Table1[[#This Row],[their_ent_2]], 1, 0)</f>
        <v>0</v>
      </c>
      <c r="J1017">
        <f>IF(Table1[[#This Row],[same_1]]=1 &amp; Table1[[#This Row],[same_2]]=1, 1, 0)</f>
        <v>0</v>
      </c>
      <c r="K1017">
        <f>IF(ISNUMBER(SEARCH(Table1[[#This Row],[their_ent_1]],Table1[[#This Row],[my_ent_1]])), 1, 0)</f>
        <v>1</v>
      </c>
      <c r="L1017">
        <f>IF(ISNUMBER(SEARCH(Table1[[#This Row],[their_ent_2]],Table1[[#This Row],[my_ent_2]])), 1, 0)</f>
        <v>0</v>
      </c>
    </row>
    <row r="1018" spans="1:12" x14ac:dyDescent="0.3">
      <c r="A1018" t="s">
        <v>3121</v>
      </c>
      <c r="B1018" t="s">
        <v>295</v>
      </c>
      <c r="C1018" t="s">
        <v>3122</v>
      </c>
      <c r="D1018" t="s">
        <v>157</v>
      </c>
      <c r="E1018" t="s">
        <v>3123</v>
      </c>
      <c r="F1018">
        <v>3</v>
      </c>
      <c r="G1018">
        <v>1016</v>
      </c>
      <c r="H1018">
        <f>IF(Table1[[#This Row],[my_ent_1]]=Table1[[#This Row],[their_ent_1]], 1, 0)</f>
        <v>0</v>
      </c>
      <c r="I1018">
        <f>IF(Table1[[#This Row],[my_ent_2]]=Table1[[#This Row],[their_ent_2]], 1, 0)</f>
        <v>0</v>
      </c>
      <c r="J1018">
        <f>IF(Table1[[#This Row],[same_1]]=1 &amp; Table1[[#This Row],[same_2]]=1, 1, 0)</f>
        <v>0</v>
      </c>
      <c r="K1018">
        <f>IF(ISNUMBER(SEARCH(Table1[[#This Row],[their_ent_1]],Table1[[#This Row],[my_ent_1]])), 1, 0)</f>
        <v>0</v>
      </c>
      <c r="L1018">
        <f>IF(ISNUMBER(SEARCH(Table1[[#This Row],[their_ent_2]],Table1[[#This Row],[my_ent_2]])), 1, 0)</f>
        <v>0</v>
      </c>
    </row>
    <row r="1019" spans="1:12" x14ac:dyDescent="0.3">
      <c r="A1019" t="s">
        <v>3124</v>
      </c>
      <c r="B1019" t="s">
        <v>3125</v>
      </c>
      <c r="C1019" t="s">
        <v>3125</v>
      </c>
      <c r="D1019" t="s">
        <v>3126</v>
      </c>
      <c r="E1019" t="s">
        <v>3127</v>
      </c>
      <c r="F1019">
        <v>3</v>
      </c>
      <c r="G1019">
        <v>1017</v>
      </c>
      <c r="H1019">
        <f>IF(Table1[[#This Row],[my_ent_1]]=Table1[[#This Row],[their_ent_1]], 1, 0)</f>
        <v>1</v>
      </c>
      <c r="I1019">
        <f>IF(Table1[[#This Row],[my_ent_2]]=Table1[[#This Row],[their_ent_2]], 1, 0)</f>
        <v>0</v>
      </c>
      <c r="J1019">
        <f>IF(Table1[[#This Row],[same_1]]=1 &amp; Table1[[#This Row],[same_2]]=1, 1, 0)</f>
        <v>0</v>
      </c>
      <c r="K1019">
        <f>IF(ISNUMBER(SEARCH(Table1[[#This Row],[their_ent_1]],Table1[[#This Row],[my_ent_1]])), 1, 0)</f>
        <v>1</v>
      </c>
      <c r="L1019">
        <f>IF(ISNUMBER(SEARCH(Table1[[#This Row],[their_ent_2]],Table1[[#This Row],[my_ent_2]])), 1, 0)</f>
        <v>0</v>
      </c>
    </row>
    <row r="1020" spans="1:12" x14ac:dyDescent="0.3">
      <c r="A1020" t="s">
        <v>3128</v>
      </c>
      <c r="B1020" t="s">
        <v>3129</v>
      </c>
      <c r="C1020" t="s">
        <v>3129</v>
      </c>
      <c r="D1020" t="s">
        <v>381</v>
      </c>
      <c r="E1020" t="s">
        <v>348</v>
      </c>
      <c r="F1020">
        <v>3</v>
      </c>
      <c r="G1020">
        <v>1018</v>
      </c>
      <c r="H1020">
        <f>IF(Table1[[#This Row],[my_ent_1]]=Table1[[#This Row],[their_ent_1]], 1, 0)</f>
        <v>1</v>
      </c>
      <c r="I1020">
        <f>IF(Table1[[#This Row],[my_ent_2]]=Table1[[#This Row],[their_ent_2]], 1, 0)</f>
        <v>0</v>
      </c>
      <c r="J1020">
        <f>IF(Table1[[#This Row],[same_1]]=1 &amp; Table1[[#This Row],[same_2]]=1, 1, 0)</f>
        <v>0</v>
      </c>
      <c r="K1020">
        <f>IF(ISNUMBER(SEARCH(Table1[[#This Row],[their_ent_1]],Table1[[#This Row],[my_ent_1]])), 1, 0)</f>
        <v>1</v>
      </c>
      <c r="L1020">
        <f>IF(ISNUMBER(SEARCH(Table1[[#This Row],[their_ent_2]],Table1[[#This Row],[my_ent_2]])), 1, 0)</f>
        <v>0</v>
      </c>
    </row>
    <row r="1021" spans="1:12" x14ac:dyDescent="0.3">
      <c r="A1021" t="s">
        <v>3130</v>
      </c>
      <c r="B1021" t="s">
        <v>391</v>
      </c>
      <c r="C1021" t="s">
        <v>78</v>
      </c>
      <c r="D1021" t="s">
        <v>113</v>
      </c>
      <c r="E1021" t="s">
        <v>198</v>
      </c>
      <c r="F1021">
        <v>3</v>
      </c>
      <c r="G1021">
        <v>1019</v>
      </c>
      <c r="H1021">
        <f>IF(Table1[[#This Row],[my_ent_1]]=Table1[[#This Row],[their_ent_1]], 1, 0)</f>
        <v>0</v>
      </c>
      <c r="I1021">
        <f>IF(Table1[[#This Row],[my_ent_2]]=Table1[[#This Row],[their_ent_2]], 1, 0)</f>
        <v>0</v>
      </c>
      <c r="J1021">
        <f>IF(Table1[[#This Row],[same_1]]=1 &amp; Table1[[#This Row],[same_2]]=1, 1, 0)</f>
        <v>0</v>
      </c>
      <c r="K1021">
        <f>IF(ISNUMBER(SEARCH(Table1[[#This Row],[their_ent_1]],Table1[[#This Row],[my_ent_1]])), 1, 0)</f>
        <v>1</v>
      </c>
      <c r="L1021">
        <f>IF(ISNUMBER(SEARCH(Table1[[#This Row],[their_ent_2]],Table1[[#This Row],[my_ent_2]])), 1, 0)</f>
        <v>0</v>
      </c>
    </row>
    <row r="1022" spans="1:12" x14ac:dyDescent="0.3">
      <c r="A1022" t="s">
        <v>3131</v>
      </c>
      <c r="B1022" t="s">
        <v>3132</v>
      </c>
      <c r="C1022" t="s">
        <v>425</v>
      </c>
      <c r="D1022" t="s">
        <v>2840</v>
      </c>
      <c r="E1022" t="s">
        <v>2600</v>
      </c>
      <c r="F1022">
        <v>4</v>
      </c>
      <c r="G1022">
        <v>1020</v>
      </c>
      <c r="H1022">
        <f>IF(Table1[[#This Row],[my_ent_1]]=Table1[[#This Row],[their_ent_1]], 1, 0)</f>
        <v>0</v>
      </c>
      <c r="I1022">
        <f>IF(Table1[[#This Row],[my_ent_2]]=Table1[[#This Row],[their_ent_2]], 1, 0)</f>
        <v>0</v>
      </c>
      <c r="J1022">
        <f>IF(Table1[[#This Row],[same_1]]=1 &amp; Table1[[#This Row],[same_2]]=1, 1, 0)</f>
        <v>0</v>
      </c>
      <c r="K1022">
        <f>IF(ISNUMBER(SEARCH(Table1[[#This Row],[their_ent_1]],Table1[[#This Row],[my_ent_1]])), 1, 0)</f>
        <v>0</v>
      </c>
      <c r="L1022">
        <f>IF(ISNUMBER(SEARCH(Table1[[#This Row],[their_ent_2]],Table1[[#This Row],[my_ent_2]])), 1, 0)</f>
        <v>0</v>
      </c>
    </row>
    <row r="1023" spans="1:12" x14ac:dyDescent="0.3">
      <c r="A1023" t="s">
        <v>3133</v>
      </c>
      <c r="B1023" t="s">
        <v>863</v>
      </c>
      <c r="C1023" t="s">
        <v>864</v>
      </c>
      <c r="D1023" t="s">
        <v>381</v>
      </c>
      <c r="E1023" t="s">
        <v>381</v>
      </c>
      <c r="F1023">
        <v>3</v>
      </c>
      <c r="G1023">
        <v>1021</v>
      </c>
      <c r="H1023">
        <f>IF(Table1[[#This Row],[my_ent_1]]=Table1[[#This Row],[their_ent_1]], 1, 0)</f>
        <v>0</v>
      </c>
      <c r="I1023">
        <f>IF(Table1[[#This Row],[my_ent_2]]=Table1[[#This Row],[their_ent_2]], 1, 0)</f>
        <v>1</v>
      </c>
      <c r="J1023">
        <f>IF(Table1[[#This Row],[same_1]]=1 &amp; Table1[[#This Row],[same_2]]=1, 1, 0)</f>
        <v>0</v>
      </c>
      <c r="K1023">
        <f>IF(ISNUMBER(SEARCH(Table1[[#This Row],[their_ent_1]],Table1[[#This Row],[my_ent_1]])), 1, 0)</f>
        <v>1</v>
      </c>
      <c r="L1023">
        <f>IF(ISNUMBER(SEARCH(Table1[[#This Row],[their_ent_2]],Table1[[#This Row],[my_ent_2]])), 1, 0)</f>
        <v>1</v>
      </c>
    </row>
    <row r="1024" spans="1:12" x14ac:dyDescent="0.3">
      <c r="A1024" t="s">
        <v>3134</v>
      </c>
      <c r="B1024" t="s">
        <v>3135</v>
      </c>
      <c r="C1024" t="s">
        <v>3136</v>
      </c>
      <c r="D1024" t="s">
        <v>762</v>
      </c>
      <c r="E1024" t="s">
        <v>3137</v>
      </c>
      <c r="F1024">
        <v>3</v>
      </c>
      <c r="G1024">
        <v>1022</v>
      </c>
      <c r="H1024">
        <f>IF(Table1[[#This Row],[my_ent_1]]=Table1[[#This Row],[their_ent_1]], 1, 0)</f>
        <v>0</v>
      </c>
      <c r="I1024">
        <f>IF(Table1[[#This Row],[my_ent_2]]=Table1[[#This Row],[their_ent_2]], 1, 0)</f>
        <v>0</v>
      </c>
      <c r="J1024">
        <f>IF(Table1[[#This Row],[same_1]]=1 &amp; Table1[[#This Row],[same_2]]=1, 1, 0)</f>
        <v>0</v>
      </c>
      <c r="K1024">
        <f>IF(ISNUMBER(SEARCH(Table1[[#This Row],[their_ent_1]],Table1[[#This Row],[my_ent_1]])), 1, 0)</f>
        <v>0</v>
      </c>
      <c r="L1024">
        <f>IF(ISNUMBER(SEARCH(Table1[[#This Row],[their_ent_2]],Table1[[#This Row],[my_ent_2]])), 1, 0)</f>
        <v>0</v>
      </c>
    </row>
    <row r="1025" spans="1:12" x14ac:dyDescent="0.3">
      <c r="A1025" t="s">
        <v>3138</v>
      </c>
      <c r="B1025" t="s">
        <v>1009</v>
      </c>
      <c r="C1025" t="s">
        <v>1009</v>
      </c>
      <c r="D1025" t="s">
        <v>206</v>
      </c>
      <c r="E1025" t="s">
        <v>31</v>
      </c>
      <c r="F1025">
        <v>1</v>
      </c>
      <c r="G1025">
        <v>1023</v>
      </c>
      <c r="H1025">
        <f>IF(Table1[[#This Row],[my_ent_1]]=Table1[[#This Row],[their_ent_1]], 1, 0)</f>
        <v>1</v>
      </c>
      <c r="I1025">
        <f>IF(Table1[[#This Row],[my_ent_2]]=Table1[[#This Row],[their_ent_2]], 1, 0)</f>
        <v>0</v>
      </c>
      <c r="J1025">
        <f>IF(Table1[[#This Row],[same_1]]=1 &amp; Table1[[#This Row],[same_2]]=1, 1, 0)</f>
        <v>0</v>
      </c>
      <c r="K1025">
        <f>IF(ISNUMBER(SEARCH(Table1[[#This Row],[their_ent_1]],Table1[[#This Row],[my_ent_1]])), 1, 0)</f>
        <v>1</v>
      </c>
      <c r="L1025">
        <f>IF(ISNUMBER(SEARCH(Table1[[#This Row],[their_ent_2]],Table1[[#This Row],[my_ent_2]])), 1, 0)</f>
        <v>1</v>
      </c>
    </row>
    <row r="1026" spans="1:12" x14ac:dyDescent="0.3">
      <c r="A1026" t="s">
        <v>3139</v>
      </c>
      <c r="B1026" t="s">
        <v>3140</v>
      </c>
      <c r="C1026" t="s">
        <v>3140</v>
      </c>
      <c r="D1026" t="s">
        <v>20</v>
      </c>
      <c r="E1026" t="s">
        <v>407</v>
      </c>
      <c r="F1026">
        <v>3</v>
      </c>
      <c r="G1026">
        <v>1024</v>
      </c>
      <c r="H1026">
        <f>IF(Table1[[#This Row],[my_ent_1]]=Table1[[#This Row],[their_ent_1]], 1, 0)</f>
        <v>1</v>
      </c>
      <c r="I1026">
        <f>IF(Table1[[#This Row],[my_ent_2]]=Table1[[#This Row],[their_ent_2]], 1, 0)</f>
        <v>0</v>
      </c>
      <c r="J1026">
        <f>IF(Table1[[#This Row],[same_1]]=1 &amp; Table1[[#This Row],[same_2]]=1, 1, 0)</f>
        <v>0</v>
      </c>
      <c r="K1026">
        <f>IF(ISNUMBER(SEARCH(Table1[[#This Row],[their_ent_1]],Table1[[#This Row],[my_ent_1]])), 1, 0)</f>
        <v>1</v>
      </c>
      <c r="L1026">
        <f>IF(ISNUMBER(SEARCH(Table1[[#This Row],[their_ent_2]],Table1[[#This Row],[my_ent_2]])), 1, 0)</f>
        <v>0</v>
      </c>
    </row>
    <row r="1027" spans="1:12" x14ac:dyDescent="0.3">
      <c r="A1027" t="s">
        <v>3141</v>
      </c>
      <c r="B1027" t="s">
        <v>3142</v>
      </c>
      <c r="C1027" t="s">
        <v>3143</v>
      </c>
      <c r="D1027" t="s">
        <v>2820</v>
      </c>
      <c r="E1027" t="s">
        <v>3144</v>
      </c>
      <c r="F1027">
        <v>1</v>
      </c>
      <c r="G1027">
        <v>1025</v>
      </c>
      <c r="H1027">
        <f>IF(Table1[[#This Row],[my_ent_1]]=Table1[[#This Row],[their_ent_1]], 1, 0)</f>
        <v>0</v>
      </c>
      <c r="I1027">
        <f>IF(Table1[[#This Row],[my_ent_2]]=Table1[[#This Row],[their_ent_2]], 1, 0)</f>
        <v>0</v>
      </c>
      <c r="J1027">
        <f>IF(Table1[[#This Row],[same_1]]=1 &amp; Table1[[#This Row],[same_2]]=1, 1, 0)</f>
        <v>0</v>
      </c>
      <c r="K1027">
        <f>IF(ISNUMBER(SEARCH(Table1[[#This Row],[their_ent_1]],Table1[[#This Row],[my_ent_1]])), 1, 0)</f>
        <v>0</v>
      </c>
      <c r="L1027">
        <f>IF(ISNUMBER(SEARCH(Table1[[#This Row],[their_ent_2]],Table1[[#This Row],[my_ent_2]])), 1, 0)</f>
        <v>0</v>
      </c>
    </row>
    <row r="1028" spans="1:12" x14ac:dyDescent="0.3">
      <c r="A1028" t="s">
        <v>3145</v>
      </c>
      <c r="B1028" t="s">
        <v>3146</v>
      </c>
      <c r="C1028" t="s">
        <v>622</v>
      </c>
      <c r="D1028" t="s">
        <v>3147</v>
      </c>
      <c r="E1028" t="s">
        <v>3148</v>
      </c>
      <c r="F1028">
        <v>1</v>
      </c>
      <c r="G1028">
        <v>1026</v>
      </c>
      <c r="H1028">
        <f>IF(Table1[[#This Row],[my_ent_1]]=Table1[[#This Row],[their_ent_1]], 1, 0)</f>
        <v>0</v>
      </c>
      <c r="I1028">
        <f>IF(Table1[[#This Row],[my_ent_2]]=Table1[[#This Row],[their_ent_2]], 1, 0)</f>
        <v>0</v>
      </c>
      <c r="J1028">
        <f>IF(Table1[[#This Row],[same_1]]=1 &amp; Table1[[#This Row],[same_2]]=1, 1, 0)</f>
        <v>0</v>
      </c>
      <c r="K1028">
        <f>IF(ISNUMBER(SEARCH(Table1[[#This Row],[their_ent_1]],Table1[[#This Row],[my_ent_1]])), 1, 0)</f>
        <v>0</v>
      </c>
      <c r="L1028">
        <f>IF(ISNUMBER(SEARCH(Table1[[#This Row],[their_ent_2]],Table1[[#This Row],[my_ent_2]])), 1, 0)</f>
        <v>0</v>
      </c>
    </row>
    <row r="1029" spans="1:12" x14ac:dyDescent="0.3">
      <c r="A1029" t="s">
        <v>3149</v>
      </c>
      <c r="B1029" t="s">
        <v>3150</v>
      </c>
      <c r="C1029" t="s">
        <v>3150</v>
      </c>
      <c r="D1029" t="s">
        <v>3151</v>
      </c>
      <c r="E1029" t="s">
        <v>1607</v>
      </c>
      <c r="F1029">
        <v>1</v>
      </c>
      <c r="G1029">
        <v>1027</v>
      </c>
      <c r="H1029">
        <f>IF(Table1[[#This Row],[my_ent_1]]=Table1[[#This Row],[their_ent_1]], 1, 0)</f>
        <v>1</v>
      </c>
      <c r="I1029">
        <f>IF(Table1[[#This Row],[my_ent_2]]=Table1[[#This Row],[their_ent_2]], 1, 0)</f>
        <v>0</v>
      </c>
      <c r="J1029">
        <f>IF(Table1[[#This Row],[same_1]]=1 &amp; Table1[[#This Row],[same_2]]=1, 1, 0)</f>
        <v>0</v>
      </c>
      <c r="K1029">
        <f>IF(ISNUMBER(SEARCH(Table1[[#This Row],[their_ent_1]],Table1[[#This Row],[my_ent_1]])), 1, 0)</f>
        <v>1</v>
      </c>
      <c r="L1029">
        <f>IF(ISNUMBER(SEARCH(Table1[[#This Row],[their_ent_2]],Table1[[#This Row],[my_ent_2]])), 1, 0)</f>
        <v>0</v>
      </c>
    </row>
    <row r="1030" spans="1:12" x14ac:dyDescent="0.3">
      <c r="A1030" t="s">
        <v>3152</v>
      </c>
      <c r="B1030" t="s">
        <v>3153</v>
      </c>
      <c r="C1030" t="s">
        <v>3154</v>
      </c>
      <c r="D1030" t="s">
        <v>3155</v>
      </c>
      <c r="E1030" t="s">
        <v>3156</v>
      </c>
      <c r="F1030">
        <v>1</v>
      </c>
      <c r="G1030">
        <v>1028</v>
      </c>
      <c r="H1030">
        <f>IF(Table1[[#This Row],[my_ent_1]]=Table1[[#This Row],[their_ent_1]], 1, 0)</f>
        <v>0</v>
      </c>
      <c r="I1030">
        <f>IF(Table1[[#This Row],[my_ent_2]]=Table1[[#This Row],[their_ent_2]], 1, 0)</f>
        <v>0</v>
      </c>
      <c r="J1030">
        <f>IF(Table1[[#This Row],[same_1]]=1 &amp; Table1[[#This Row],[same_2]]=1, 1, 0)</f>
        <v>0</v>
      </c>
      <c r="K1030">
        <f>IF(ISNUMBER(SEARCH(Table1[[#This Row],[their_ent_1]],Table1[[#This Row],[my_ent_1]])), 1, 0)</f>
        <v>0</v>
      </c>
      <c r="L1030">
        <f>IF(ISNUMBER(SEARCH(Table1[[#This Row],[their_ent_2]],Table1[[#This Row],[my_ent_2]])), 1, 0)</f>
        <v>0</v>
      </c>
    </row>
    <row r="1031" spans="1:12" x14ac:dyDescent="0.3">
      <c r="A1031" t="s">
        <v>3157</v>
      </c>
      <c r="B1031" t="s">
        <v>202</v>
      </c>
      <c r="C1031" t="s">
        <v>353</v>
      </c>
      <c r="D1031" t="s">
        <v>175</v>
      </c>
      <c r="E1031" t="s">
        <v>176</v>
      </c>
      <c r="F1031">
        <v>4</v>
      </c>
      <c r="G1031">
        <v>1029</v>
      </c>
      <c r="H1031">
        <f>IF(Table1[[#This Row],[my_ent_1]]=Table1[[#This Row],[their_ent_1]], 1, 0)</f>
        <v>0</v>
      </c>
      <c r="I1031">
        <f>IF(Table1[[#This Row],[my_ent_2]]=Table1[[#This Row],[their_ent_2]], 1, 0)</f>
        <v>0</v>
      </c>
      <c r="J1031">
        <f>IF(Table1[[#This Row],[same_1]]=1 &amp; Table1[[#This Row],[same_2]]=1, 1, 0)</f>
        <v>0</v>
      </c>
      <c r="K1031">
        <f>IF(ISNUMBER(SEARCH(Table1[[#This Row],[their_ent_1]],Table1[[#This Row],[my_ent_1]])), 1, 0)</f>
        <v>1</v>
      </c>
      <c r="L1031">
        <f>IF(ISNUMBER(SEARCH(Table1[[#This Row],[their_ent_2]],Table1[[#This Row],[my_ent_2]])), 1, 0)</f>
        <v>1</v>
      </c>
    </row>
    <row r="1032" spans="1:12" x14ac:dyDescent="0.3">
      <c r="A1032" t="s">
        <v>3158</v>
      </c>
      <c r="B1032" t="s">
        <v>3159</v>
      </c>
      <c r="C1032" t="s">
        <v>3160</v>
      </c>
      <c r="D1032" t="s">
        <v>59</v>
      </c>
      <c r="E1032" t="s">
        <v>3159</v>
      </c>
      <c r="F1032">
        <v>2</v>
      </c>
      <c r="G1032">
        <v>1030</v>
      </c>
      <c r="H1032">
        <f>IF(Table1[[#This Row],[my_ent_1]]=Table1[[#This Row],[their_ent_1]], 1, 0)</f>
        <v>0</v>
      </c>
      <c r="I1032">
        <f>IF(Table1[[#This Row],[my_ent_2]]=Table1[[#This Row],[their_ent_2]], 1, 0)</f>
        <v>0</v>
      </c>
      <c r="J1032">
        <f>IF(Table1[[#This Row],[same_1]]=1 &amp; Table1[[#This Row],[same_2]]=1, 1, 0)</f>
        <v>0</v>
      </c>
      <c r="K1032">
        <f>IF(ISNUMBER(SEARCH(Table1[[#This Row],[their_ent_1]],Table1[[#This Row],[my_ent_1]])), 1, 0)</f>
        <v>0</v>
      </c>
      <c r="L1032">
        <f>IF(ISNUMBER(SEARCH(Table1[[#This Row],[their_ent_2]],Table1[[#This Row],[my_ent_2]])), 1, 0)</f>
        <v>0</v>
      </c>
    </row>
    <row r="1033" spans="1:12" x14ac:dyDescent="0.3">
      <c r="A1033" t="s">
        <v>3161</v>
      </c>
      <c r="B1033" t="s">
        <v>219</v>
      </c>
      <c r="C1033" t="s">
        <v>26</v>
      </c>
      <c r="D1033" t="s">
        <v>103</v>
      </c>
      <c r="E1033" t="s">
        <v>103</v>
      </c>
      <c r="F1033">
        <v>3</v>
      </c>
      <c r="G1033">
        <v>1031</v>
      </c>
      <c r="H1033">
        <f>IF(Table1[[#This Row],[my_ent_1]]=Table1[[#This Row],[their_ent_1]], 1, 0)</f>
        <v>0</v>
      </c>
      <c r="I1033">
        <f>IF(Table1[[#This Row],[my_ent_2]]=Table1[[#This Row],[their_ent_2]], 1, 0)</f>
        <v>1</v>
      </c>
      <c r="J1033">
        <f>IF(Table1[[#This Row],[same_1]]=1 &amp; Table1[[#This Row],[same_2]]=1, 1, 0)</f>
        <v>0</v>
      </c>
      <c r="K1033">
        <f>IF(ISNUMBER(SEARCH(Table1[[#This Row],[their_ent_1]],Table1[[#This Row],[my_ent_1]])), 1, 0)</f>
        <v>1</v>
      </c>
      <c r="L1033">
        <f>IF(ISNUMBER(SEARCH(Table1[[#This Row],[their_ent_2]],Table1[[#This Row],[my_ent_2]])), 1, 0)</f>
        <v>1</v>
      </c>
    </row>
    <row r="1034" spans="1:12" x14ac:dyDescent="0.3">
      <c r="A1034" t="s">
        <v>3162</v>
      </c>
      <c r="B1034" t="s">
        <v>3163</v>
      </c>
      <c r="C1034" t="s">
        <v>3164</v>
      </c>
      <c r="D1034" t="s">
        <v>3165</v>
      </c>
      <c r="E1034" t="s">
        <v>3165</v>
      </c>
      <c r="F1034">
        <v>3</v>
      </c>
      <c r="G1034">
        <v>1032</v>
      </c>
      <c r="H1034">
        <f>IF(Table1[[#This Row],[my_ent_1]]=Table1[[#This Row],[their_ent_1]], 1, 0)</f>
        <v>0</v>
      </c>
      <c r="I1034">
        <f>IF(Table1[[#This Row],[my_ent_2]]=Table1[[#This Row],[their_ent_2]], 1, 0)</f>
        <v>1</v>
      </c>
      <c r="J1034">
        <f>IF(Table1[[#This Row],[same_1]]=1 &amp; Table1[[#This Row],[same_2]]=1, 1, 0)</f>
        <v>0</v>
      </c>
      <c r="K1034">
        <f>IF(ISNUMBER(SEARCH(Table1[[#This Row],[their_ent_1]],Table1[[#This Row],[my_ent_1]])), 1, 0)</f>
        <v>0</v>
      </c>
      <c r="L1034">
        <f>IF(ISNUMBER(SEARCH(Table1[[#This Row],[their_ent_2]],Table1[[#This Row],[my_ent_2]])), 1, 0)</f>
        <v>1</v>
      </c>
    </row>
    <row r="1035" spans="1:12" x14ac:dyDescent="0.3">
      <c r="A1035" t="s">
        <v>3166</v>
      </c>
      <c r="B1035" t="s">
        <v>3167</v>
      </c>
      <c r="C1035" t="s">
        <v>3168</v>
      </c>
      <c r="D1035" t="s">
        <v>3169</v>
      </c>
      <c r="E1035" t="s">
        <v>1679</v>
      </c>
      <c r="F1035">
        <v>1</v>
      </c>
      <c r="G1035">
        <v>1033</v>
      </c>
      <c r="H1035">
        <f>IF(Table1[[#This Row],[my_ent_1]]=Table1[[#This Row],[their_ent_1]], 1, 0)</f>
        <v>0</v>
      </c>
      <c r="I1035">
        <f>IF(Table1[[#This Row],[my_ent_2]]=Table1[[#This Row],[their_ent_2]], 1, 0)</f>
        <v>0</v>
      </c>
      <c r="J1035">
        <f>IF(Table1[[#This Row],[same_1]]=1 &amp; Table1[[#This Row],[same_2]]=1, 1, 0)</f>
        <v>0</v>
      </c>
      <c r="K1035">
        <f>IF(ISNUMBER(SEARCH(Table1[[#This Row],[their_ent_1]],Table1[[#This Row],[my_ent_1]])), 1, 0)</f>
        <v>1</v>
      </c>
      <c r="L1035">
        <f>IF(ISNUMBER(SEARCH(Table1[[#This Row],[their_ent_2]],Table1[[#This Row],[my_ent_2]])), 1, 0)</f>
        <v>0</v>
      </c>
    </row>
    <row r="1036" spans="1:12" x14ac:dyDescent="0.3">
      <c r="A1036" t="s">
        <v>3170</v>
      </c>
      <c r="B1036" t="s">
        <v>3171</v>
      </c>
      <c r="C1036" t="s">
        <v>1008</v>
      </c>
      <c r="D1036" t="s">
        <v>3172</v>
      </c>
      <c r="E1036" t="s">
        <v>3172</v>
      </c>
      <c r="F1036">
        <v>3</v>
      </c>
      <c r="G1036">
        <v>1034</v>
      </c>
      <c r="H1036">
        <f>IF(Table1[[#This Row],[my_ent_1]]=Table1[[#This Row],[their_ent_1]], 1, 0)</f>
        <v>0</v>
      </c>
      <c r="I1036">
        <f>IF(Table1[[#This Row],[my_ent_2]]=Table1[[#This Row],[their_ent_2]], 1, 0)</f>
        <v>1</v>
      </c>
      <c r="J1036">
        <f>IF(Table1[[#This Row],[same_1]]=1 &amp; Table1[[#This Row],[same_2]]=1, 1, 0)</f>
        <v>0</v>
      </c>
      <c r="K1036">
        <f>IF(ISNUMBER(SEARCH(Table1[[#This Row],[their_ent_1]],Table1[[#This Row],[my_ent_1]])), 1, 0)</f>
        <v>1</v>
      </c>
      <c r="L1036">
        <f>IF(ISNUMBER(SEARCH(Table1[[#This Row],[their_ent_2]],Table1[[#This Row],[my_ent_2]])), 1, 0)</f>
        <v>1</v>
      </c>
    </row>
    <row r="1037" spans="1:12" x14ac:dyDescent="0.3">
      <c r="A1037" t="s">
        <v>3173</v>
      </c>
      <c r="B1037" t="s">
        <v>3174</v>
      </c>
      <c r="C1037" t="s">
        <v>3175</v>
      </c>
      <c r="D1037" t="s">
        <v>3176</v>
      </c>
      <c r="E1037" t="s">
        <v>3176</v>
      </c>
      <c r="F1037">
        <v>3</v>
      </c>
      <c r="G1037">
        <v>1035</v>
      </c>
      <c r="H1037">
        <f>IF(Table1[[#This Row],[my_ent_1]]=Table1[[#This Row],[their_ent_1]], 1, 0)</f>
        <v>0</v>
      </c>
      <c r="I1037">
        <f>IF(Table1[[#This Row],[my_ent_2]]=Table1[[#This Row],[their_ent_2]], 1, 0)</f>
        <v>1</v>
      </c>
      <c r="J1037">
        <f>IF(Table1[[#This Row],[same_1]]=1 &amp; Table1[[#This Row],[same_2]]=1, 1, 0)</f>
        <v>0</v>
      </c>
      <c r="K1037">
        <f>IF(ISNUMBER(SEARCH(Table1[[#This Row],[their_ent_1]],Table1[[#This Row],[my_ent_1]])), 1, 0)</f>
        <v>1</v>
      </c>
      <c r="L1037">
        <f>IF(ISNUMBER(SEARCH(Table1[[#This Row],[their_ent_2]],Table1[[#This Row],[my_ent_2]])), 1, 0)</f>
        <v>1</v>
      </c>
    </row>
    <row r="1038" spans="1:12" x14ac:dyDescent="0.3">
      <c r="A1038" t="s">
        <v>3177</v>
      </c>
      <c r="B1038" t="s">
        <v>3178</v>
      </c>
      <c r="C1038" t="s">
        <v>281</v>
      </c>
      <c r="D1038" t="s">
        <v>281</v>
      </c>
      <c r="E1038" t="s">
        <v>643</v>
      </c>
      <c r="F1038">
        <v>3</v>
      </c>
      <c r="G1038">
        <v>1036</v>
      </c>
      <c r="H1038">
        <f>IF(Table1[[#This Row],[my_ent_1]]=Table1[[#This Row],[their_ent_1]], 1, 0)</f>
        <v>0</v>
      </c>
      <c r="I1038">
        <f>IF(Table1[[#This Row],[my_ent_2]]=Table1[[#This Row],[their_ent_2]], 1, 0)</f>
        <v>0</v>
      </c>
      <c r="J1038">
        <f>IF(Table1[[#This Row],[same_1]]=1 &amp; Table1[[#This Row],[same_2]]=1, 1, 0)</f>
        <v>0</v>
      </c>
      <c r="K1038">
        <f>IF(ISNUMBER(SEARCH(Table1[[#This Row],[their_ent_1]],Table1[[#This Row],[my_ent_1]])), 1, 0)</f>
        <v>0</v>
      </c>
      <c r="L1038">
        <f>IF(ISNUMBER(SEARCH(Table1[[#This Row],[their_ent_2]],Table1[[#This Row],[my_ent_2]])), 1, 0)</f>
        <v>0</v>
      </c>
    </row>
    <row r="1039" spans="1:12" x14ac:dyDescent="0.3">
      <c r="A1039" t="s">
        <v>3179</v>
      </c>
      <c r="B1039" t="s">
        <v>3180</v>
      </c>
      <c r="C1039" t="s">
        <v>3180</v>
      </c>
      <c r="D1039" t="s">
        <v>3181</v>
      </c>
      <c r="E1039" t="s">
        <v>3182</v>
      </c>
      <c r="F1039">
        <v>4</v>
      </c>
      <c r="G1039">
        <v>1037</v>
      </c>
      <c r="H1039">
        <f>IF(Table1[[#This Row],[my_ent_1]]=Table1[[#This Row],[their_ent_1]], 1, 0)</f>
        <v>1</v>
      </c>
      <c r="I1039">
        <f>IF(Table1[[#This Row],[my_ent_2]]=Table1[[#This Row],[their_ent_2]], 1, 0)</f>
        <v>0</v>
      </c>
      <c r="J1039">
        <f>IF(Table1[[#This Row],[same_1]]=1 &amp; Table1[[#This Row],[same_2]]=1, 1, 0)</f>
        <v>0</v>
      </c>
      <c r="K1039">
        <f>IF(ISNUMBER(SEARCH(Table1[[#This Row],[their_ent_1]],Table1[[#This Row],[my_ent_1]])), 1, 0)</f>
        <v>1</v>
      </c>
      <c r="L1039">
        <f>IF(ISNUMBER(SEARCH(Table1[[#This Row],[their_ent_2]],Table1[[#This Row],[my_ent_2]])), 1, 0)</f>
        <v>0</v>
      </c>
    </row>
    <row r="1040" spans="1:12" x14ac:dyDescent="0.3">
      <c r="A1040" t="s">
        <v>3183</v>
      </c>
      <c r="B1040" t="s">
        <v>3184</v>
      </c>
      <c r="C1040" t="s">
        <v>289</v>
      </c>
      <c r="D1040" t="s">
        <v>26</v>
      </c>
      <c r="E1040" t="s">
        <v>3184</v>
      </c>
      <c r="F1040">
        <v>1</v>
      </c>
      <c r="G1040">
        <v>1038</v>
      </c>
      <c r="H1040">
        <f>IF(Table1[[#This Row],[my_ent_1]]=Table1[[#This Row],[their_ent_1]], 1, 0)</f>
        <v>0</v>
      </c>
      <c r="I1040">
        <f>IF(Table1[[#This Row],[my_ent_2]]=Table1[[#This Row],[their_ent_2]], 1, 0)</f>
        <v>0</v>
      </c>
      <c r="J1040">
        <f>IF(Table1[[#This Row],[same_1]]=1 &amp; Table1[[#This Row],[same_2]]=1, 1, 0)</f>
        <v>0</v>
      </c>
      <c r="K1040">
        <f>IF(ISNUMBER(SEARCH(Table1[[#This Row],[their_ent_1]],Table1[[#This Row],[my_ent_1]])), 1, 0)</f>
        <v>0</v>
      </c>
      <c r="L1040">
        <f>IF(ISNUMBER(SEARCH(Table1[[#This Row],[their_ent_2]],Table1[[#This Row],[my_ent_2]])), 1, 0)</f>
        <v>0</v>
      </c>
    </row>
    <row r="1041" spans="1:12" x14ac:dyDescent="0.3">
      <c r="A1041" t="s">
        <v>3185</v>
      </c>
      <c r="B1041" t="s">
        <v>1544</v>
      </c>
      <c r="C1041" t="s">
        <v>1544</v>
      </c>
      <c r="D1041" t="s">
        <v>59</v>
      </c>
      <c r="E1041" t="s">
        <v>3186</v>
      </c>
      <c r="F1041">
        <v>1</v>
      </c>
      <c r="G1041">
        <v>1039</v>
      </c>
      <c r="H1041">
        <f>IF(Table1[[#This Row],[my_ent_1]]=Table1[[#This Row],[their_ent_1]], 1, 0)</f>
        <v>1</v>
      </c>
      <c r="I1041">
        <f>IF(Table1[[#This Row],[my_ent_2]]=Table1[[#This Row],[their_ent_2]], 1, 0)</f>
        <v>0</v>
      </c>
      <c r="J1041">
        <f>IF(Table1[[#This Row],[same_1]]=1 &amp; Table1[[#This Row],[same_2]]=1, 1, 0)</f>
        <v>0</v>
      </c>
      <c r="K1041">
        <f>IF(ISNUMBER(SEARCH(Table1[[#This Row],[their_ent_1]],Table1[[#This Row],[my_ent_1]])), 1, 0)</f>
        <v>1</v>
      </c>
      <c r="L1041">
        <f>IF(ISNUMBER(SEARCH(Table1[[#This Row],[their_ent_2]],Table1[[#This Row],[my_ent_2]])), 1, 0)</f>
        <v>0</v>
      </c>
    </row>
    <row r="1042" spans="1:12" x14ac:dyDescent="0.3">
      <c r="A1042" t="s">
        <v>3187</v>
      </c>
      <c r="B1042" t="s">
        <v>863</v>
      </c>
      <c r="C1042" t="s">
        <v>864</v>
      </c>
      <c r="D1042" t="s">
        <v>381</v>
      </c>
      <c r="E1042" t="s">
        <v>381</v>
      </c>
      <c r="F1042">
        <v>3</v>
      </c>
      <c r="G1042">
        <v>1040</v>
      </c>
      <c r="H1042">
        <f>IF(Table1[[#This Row],[my_ent_1]]=Table1[[#This Row],[their_ent_1]], 1, 0)</f>
        <v>0</v>
      </c>
      <c r="I1042">
        <f>IF(Table1[[#This Row],[my_ent_2]]=Table1[[#This Row],[their_ent_2]], 1, 0)</f>
        <v>1</v>
      </c>
      <c r="J1042">
        <f>IF(Table1[[#This Row],[same_1]]=1 &amp; Table1[[#This Row],[same_2]]=1, 1, 0)</f>
        <v>0</v>
      </c>
      <c r="K1042">
        <f>IF(ISNUMBER(SEARCH(Table1[[#This Row],[their_ent_1]],Table1[[#This Row],[my_ent_1]])), 1, 0)</f>
        <v>1</v>
      </c>
      <c r="L1042">
        <f>IF(ISNUMBER(SEARCH(Table1[[#This Row],[their_ent_2]],Table1[[#This Row],[my_ent_2]])), 1, 0)</f>
        <v>1</v>
      </c>
    </row>
    <row r="1043" spans="1:12" x14ac:dyDescent="0.3">
      <c r="A1043" t="s">
        <v>3188</v>
      </c>
      <c r="B1043" t="s">
        <v>1630</v>
      </c>
      <c r="C1043" t="s">
        <v>1630</v>
      </c>
      <c r="D1043" t="s">
        <v>1945</v>
      </c>
      <c r="E1043" t="s">
        <v>1946</v>
      </c>
      <c r="F1043">
        <v>1</v>
      </c>
      <c r="G1043">
        <v>1041</v>
      </c>
      <c r="H1043">
        <f>IF(Table1[[#This Row],[my_ent_1]]=Table1[[#This Row],[their_ent_1]], 1, 0)</f>
        <v>1</v>
      </c>
      <c r="I1043">
        <f>IF(Table1[[#This Row],[my_ent_2]]=Table1[[#This Row],[their_ent_2]], 1, 0)</f>
        <v>0</v>
      </c>
      <c r="J1043">
        <f>IF(Table1[[#This Row],[same_1]]=1 &amp; Table1[[#This Row],[same_2]]=1, 1, 0)</f>
        <v>0</v>
      </c>
      <c r="K1043">
        <f>IF(ISNUMBER(SEARCH(Table1[[#This Row],[their_ent_1]],Table1[[#This Row],[my_ent_1]])), 1, 0)</f>
        <v>1</v>
      </c>
      <c r="L1043">
        <f>IF(ISNUMBER(SEARCH(Table1[[#This Row],[their_ent_2]],Table1[[#This Row],[my_ent_2]])), 1, 0)</f>
        <v>1</v>
      </c>
    </row>
    <row r="1044" spans="1:12" x14ac:dyDescent="0.3">
      <c r="A1044" t="s">
        <v>2481</v>
      </c>
      <c r="B1044" t="s">
        <v>2482</v>
      </c>
      <c r="C1044" t="s">
        <v>2483</v>
      </c>
      <c r="D1044" t="s">
        <v>20</v>
      </c>
      <c r="E1044" t="s">
        <v>20</v>
      </c>
      <c r="F1044">
        <v>3</v>
      </c>
      <c r="G1044">
        <v>1042</v>
      </c>
      <c r="H1044">
        <f>IF(Table1[[#This Row],[my_ent_1]]=Table1[[#This Row],[their_ent_1]], 1, 0)</f>
        <v>0</v>
      </c>
      <c r="I1044">
        <f>IF(Table1[[#This Row],[my_ent_2]]=Table1[[#This Row],[their_ent_2]], 1, 0)</f>
        <v>1</v>
      </c>
      <c r="J1044">
        <f>IF(Table1[[#This Row],[same_1]]=1 &amp; Table1[[#This Row],[same_2]]=1, 1, 0)</f>
        <v>0</v>
      </c>
      <c r="K1044">
        <f>IF(ISNUMBER(SEARCH(Table1[[#This Row],[their_ent_1]],Table1[[#This Row],[my_ent_1]])), 1, 0)</f>
        <v>0</v>
      </c>
      <c r="L1044">
        <f>IF(ISNUMBER(SEARCH(Table1[[#This Row],[their_ent_2]],Table1[[#This Row],[my_ent_2]])), 1, 0)</f>
        <v>1</v>
      </c>
    </row>
    <row r="1045" spans="1:12" x14ac:dyDescent="0.3">
      <c r="A1045" t="s">
        <v>3189</v>
      </c>
      <c r="B1045" t="s">
        <v>340</v>
      </c>
      <c r="C1045" t="s">
        <v>3190</v>
      </c>
      <c r="D1045" t="s">
        <v>3190</v>
      </c>
      <c r="E1045" t="s">
        <v>3191</v>
      </c>
      <c r="F1045">
        <v>2</v>
      </c>
      <c r="G1045">
        <v>1043</v>
      </c>
      <c r="H1045">
        <f>IF(Table1[[#This Row],[my_ent_1]]=Table1[[#This Row],[their_ent_1]], 1, 0)</f>
        <v>0</v>
      </c>
      <c r="I1045">
        <f>IF(Table1[[#This Row],[my_ent_2]]=Table1[[#This Row],[their_ent_2]], 1, 0)</f>
        <v>0</v>
      </c>
      <c r="J1045">
        <f>IF(Table1[[#This Row],[same_1]]=1 &amp; Table1[[#This Row],[same_2]]=1, 1, 0)</f>
        <v>0</v>
      </c>
      <c r="K1045">
        <f>IF(ISNUMBER(SEARCH(Table1[[#This Row],[their_ent_1]],Table1[[#This Row],[my_ent_1]])), 1, 0)</f>
        <v>0</v>
      </c>
      <c r="L1045">
        <f>IF(ISNUMBER(SEARCH(Table1[[#This Row],[their_ent_2]],Table1[[#This Row],[my_ent_2]])), 1, 0)</f>
        <v>0</v>
      </c>
    </row>
    <row r="1046" spans="1:12" x14ac:dyDescent="0.3">
      <c r="A1046" t="s">
        <v>3192</v>
      </c>
      <c r="B1046" t="s">
        <v>3193</v>
      </c>
      <c r="C1046" t="s">
        <v>3194</v>
      </c>
      <c r="D1046" t="s">
        <v>3194</v>
      </c>
      <c r="E1046" t="s">
        <v>3195</v>
      </c>
      <c r="F1046">
        <v>3</v>
      </c>
      <c r="G1046">
        <v>1044</v>
      </c>
      <c r="H1046">
        <f>IF(Table1[[#This Row],[my_ent_1]]=Table1[[#This Row],[their_ent_1]], 1, 0)</f>
        <v>0</v>
      </c>
      <c r="I1046">
        <f>IF(Table1[[#This Row],[my_ent_2]]=Table1[[#This Row],[their_ent_2]], 1, 0)</f>
        <v>0</v>
      </c>
      <c r="J1046">
        <f>IF(Table1[[#This Row],[same_1]]=1 &amp; Table1[[#This Row],[same_2]]=1, 1, 0)</f>
        <v>0</v>
      </c>
      <c r="K1046">
        <f>IF(ISNUMBER(SEARCH(Table1[[#This Row],[their_ent_1]],Table1[[#This Row],[my_ent_1]])), 1, 0)</f>
        <v>0</v>
      </c>
      <c r="L1046">
        <f>IF(ISNUMBER(SEARCH(Table1[[#This Row],[their_ent_2]],Table1[[#This Row],[my_ent_2]])), 1, 0)</f>
        <v>0</v>
      </c>
    </row>
    <row r="1047" spans="1:12" x14ac:dyDescent="0.3">
      <c r="A1047" t="s">
        <v>3196</v>
      </c>
      <c r="B1047" t="s">
        <v>2131</v>
      </c>
      <c r="C1047" t="s">
        <v>2131</v>
      </c>
      <c r="D1047" t="s">
        <v>260</v>
      </c>
      <c r="E1047" t="s">
        <v>405</v>
      </c>
      <c r="F1047">
        <v>1</v>
      </c>
      <c r="G1047">
        <v>1045</v>
      </c>
      <c r="H1047">
        <f>IF(Table1[[#This Row],[my_ent_1]]=Table1[[#This Row],[their_ent_1]], 1, 0)</f>
        <v>1</v>
      </c>
      <c r="I1047">
        <f>IF(Table1[[#This Row],[my_ent_2]]=Table1[[#This Row],[their_ent_2]], 1, 0)</f>
        <v>0</v>
      </c>
      <c r="J1047">
        <f>IF(Table1[[#This Row],[same_1]]=1 &amp; Table1[[#This Row],[same_2]]=1, 1, 0)</f>
        <v>0</v>
      </c>
      <c r="K1047">
        <f>IF(ISNUMBER(SEARCH(Table1[[#This Row],[their_ent_1]],Table1[[#This Row],[my_ent_1]])), 1, 0)</f>
        <v>1</v>
      </c>
      <c r="L1047">
        <f>IF(ISNUMBER(SEARCH(Table1[[#This Row],[their_ent_2]],Table1[[#This Row],[my_ent_2]])), 1, 0)</f>
        <v>1</v>
      </c>
    </row>
    <row r="1048" spans="1:12" x14ac:dyDescent="0.3">
      <c r="A1048" t="s">
        <v>3197</v>
      </c>
      <c r="B1048" t="s">
        <v>3198</v>
      </c>
      <c r="C1048" t="s">
        <v>3198</v>
      </c>
      <c r="D1048" t="s">
        <v>104</v>
      </c>
      <c r="E1048" t="s">
        <v>103</v>
      </c>
      <c r="F1048">
        <v>3</v>
      </c>
      <c r="G1048">
        <v>1046</v>
      </c>
      <c r="H1048">
        <f>IF(Table1[[#This Row],[my_ent_1]]=Table1[[#This Row],[their_ent_1]], 1, 0)</f>
        <v>1</v>
      </c>
      <c r="I1048">
        <f>IF(Table1[[#This Row],[my_ent_2]]=Table1[[#This Row],[their_ent_2]], 1, 0)</f>
        <v>0</v>
      </c>
      <c r="J1048">
        <f>IF(Table1[[#This Row],[same_1]]=1 &amp; Table1[[#This Row],[same_2]]=1, 1, 0)</f>
        <v>0</v>
      </c>
      <c r="K1048">
        <f>IF(ISNUMBER(SEARCH(Table1[[#This Row],[their_ent_1]],Table1[[#This Row],[my_ent_1]])), 1, 0)</f>
        <v>1</v>
      </c>
      <c r="L1048">
        <f>IF(ISNUMBER(SEARCH(Table1[[#This Row],[their_ent_2]],Table1[[#This Row],[my_ent_2]])), 1, 0)</f>
        <v>0</v>
      </c>
    </row>
    <row r="1049" spans="1:12" x14ac:dyDescent="0.3">
      <c r="A1049" t="s">
        <v>3199</v>
      </c>
      <c r="B1049" t="s">
        <v>3200</v>
      </c>
      <c r="C1049" t="s">
        <v>3200</v>
      </c>
      <c r="D1049" t="s">
        <v>20</v>
      </c>
      <c r="E1049" t="s">
        <v>407</v>
      </c>
      <c r="F1049">
        <v>1</v>
      </c>
      <c r="G1049">
        <v>1047</v>
      </c>
      <c r="H1049">
        <f>IF(Table1[[#This Row],[my_ent_1]]=Table1[[#This Row],[their_ent_1]], 1, 0)</f>
        <v>1</v>
      </c>
      <c r="I1049">
        <f>IF(Table1[[#This Row],[my_ent_2]]=Table1[[#This Row],[their_ent_2]], 1, 0)</f>
        <v>0</v>
      </c>
      <c r="J1049">
        <f>IF(Table1[[#This Row],[same_1]]=1 &amp; Table1[[#This Row],[same_2]]=1, 1, 0)</f>
        <v>0</v>
      </c>
      <c r="K1049">
        <f>IF(ISNUMBER(SEARCH(Table1[[#This Row],[their_ent_1]],Table1[[#This Row],[my_ent_1]])), 1, 0)</f>
        <v>1</v>
      </c>
      <c r="L1049">
        <f>IF(ISNUMBER(SEARCH(Table1[[#This Row],[their_ent_2]],Table1[[#This Row],[my_ent_2]])), 1, 0)</f>
        <v>0</v>
      </c>
    </row>
    <row r="1050" spans="1:12" x14ac:dyDescent="0.3">
      <c r="A1050" t="s">
        <v>3201</v>
      </c>
      <c r="B1050" t="s">
        <v>1630</v>
      </c>
      <c r="C1050" t="s">
        <v>1630</v>
      </c>
      <c r="D1050" t="s">
        <v>1044</v>
      </c>
      <c r="E1050" t="s">
        <v>1209</v>
      </c>
      <c r="F1050">
        <v>3</v>
      </c>
      <c r="G1050">
        <v>1048</v>
      </c>
      <c r="H1050">
        <f>IF(Table1[[#This Row],[my_ent_1]]=Table1[[#This Row],[their_ent_1]], 1, 0)</f>
        <v>1</v>
      </c>
      <c r="I1050">
        <f>IF(Table1[[#This Row],[my_ent_2]]=Table1[[#This Row],[their_ent_2]], 1, 0)</f>
        <v>0</v>
      </c>
      <c r="J1050">
        <f>IF(Table1[[#This Row],[same_1]]=1 &amp; Table1[[#This Row],[same_2]]=1, 1, 0)</f>
        <v>0</v>
      </c>
      <c r="K1050">
        <f>IF(ISNUMBER(SEARCH(Table1[[#This Row],[their_ent_1]],Table1[[#This Row],[my_ent_1]])), 1, 0)</f>
        <v>1</v>
      </c>
      <c r="L1050">
        <f>IF(ISNUMBER(SEARCH(Table1[[#This Row],[their_ent_2]],Table1[[#This Row],[my_ent_2]])), 1, 0)</f>
        <v>0</v>
      </c>
    </row>
    <row r="1051" spans="1:12" x14ac:dyDescent="0.3">
      <c r="A1051" t="s">
        <v>3202</v>
      </c>
      <c r="B1051" t="s">
        <v>20</v>
      </c>
      <c r="C1051" t="s">
        <v>407</v>
      </c>
      <c r="D1051" t="s">
        <v>1505</v>
      </c>
      <c r="E1051" t="s">
        <v>392</v>
      </c>
      <c r="F1051">
        <v>3</v>
      </c>
      <c r="G1051">
        <v>1049</v>
      </c>
      <c r="H1051">
        <f>IF(Table1[[#This Row],[my_ent_1]]=Table1[[#This Row],[their_ent_1]], 1, 0)</f>
        <v>0</v>
      </c>
      <c r="I1051">
        <f>IF(Table1[[#This Row],[my_ent_2]]=Table1[[#This Row],[their_ent_2]], 1, 0)</f>
        <v>0</v>
      </c>
      <c r="J1051">
        <f>IF(Table1[[#This Row],[same_1]]=1 &amp; Table1[[#This Row],[same_2]]=1, 1, 0)</f>
        <v>0</v>
      </c>
      <c r="K1051">
        <f>IF(ISNUMBER(SEARCH(Table1[[#This Row],[their_ent_1]],Table1[[#This Row],[my_ent_1]])), 1, 0)</f>
        <v>0</v>
      </c>
      <c r="L1051">
        <f>IF(ISNUMBER(SEARCH(Table1[[#This Row],[their_ent_2]],Table1[[#This Row],[my_ent_2]])), 1, 0)</f>
        <v>0</v>
      </c>
    </row>
    <row r="1052" spans="1:12" x14ac:dyDescent="0.3">
      <c r="A1052" t="s">
        <v>3203</v>
      </c>
      <c r="B1052" t="s">
        <v>3204</v>
      </c>
      <c r="C1052" t="s">
        <v>396</v>
      </c>
      <c r="D1052" t="s">
        <v>3205</v>
      </c>
      <c r="E1052" t="s">
        <v>3206</v>
      </c>
      <c r="F1052">
        <v>3</v>
      </c>
      <c r="G1052">
        <v>1050</v>
      </c>
      <c r="H1052">
        <f>IF(Table1[[#This Row],[my_ent_1]]=Table1[[#This Row],[their_ent_1]], 1, 0)</f>
        <v>0</v>
      </c>
      <c r="I1052">
        <f>IF(Table1[[#This Row],[my_ent_2]]=Table1[[#This Row],[their_ent_2]], 1, 0)</f>
        <v>0</v>
      </c>
      <c r="J1052">
        <f>IF(Table1[[#This Row],[same_1]]=1 &amp; Table1[[#This Row],[same_2]]=1, 1, 0)</f>
        <v>0</v>
      </c>
      <c r="K1052">
        <f>IF(ISNUMBER(SEARCH(Table1[[#This Row],[their_ent_1]],Table1[[#This Row],[my_ent_1]])), 1, 0)</f>
        <v>0</v>
      </c>
      <c r="L1052">
        <f>IF(ISNUMBER(SEARCH(Table1[[#This Row],[their_ent_2]],Table1[[#This Row],[my_ent_2]])), 1, 0)</f>
        <v>0</v>
      </c>
    </row>
    <row r="1053" spans="1:12" x14ac:dyDescent="0.3">
      <c r="A1053" t="s">
        <v>3207</v>
      </c>
      <c r="B1053" t="s">
        <v>2340</v>
      </c>
      <c r="C1053" t="s">
        <v>642</v>
      </c>
      <c r="D1053" t="s">
        <v>2548</v>
      </c>
      <c r="E1053" t="s">
        <v>2548</v>
      </c>
      <c r="F1053">
        <v>3</v>
      </c>
      <c r="G1053">
        <v>1051</v>
      </c>
      <c r="H1053">
        <f>IF(Table1[[#This Row],[my_ent_1]]=Table1[[#This Row],[their_ent_1]], 1, 0)</f>
        <v>0</v>
      </c>
      <c r="I1053">
        <f>IF(Table1[[#This Row],[my_ent_2]]=Table1[[#This Row],[their_ent_2]], 1, 0)</f>
        <v>1</v>
      </c>
      <c r="J1053">
        <f>IF(Table1[[#This Row],[same_1]]=1 &amp; Table1[[#This Row],[same_2]]=1, 1, 0)</f>
        <v>0</v>
      </c>
      <c r="K1053">
        <f>IF(ISNUMBER(SEARCH(Table1[[#This Row],[their_ent_1]],Table1[[#This Row],[my_ent_1]])), 1, 0)</f>
        <v>1</v>
      </c>
      <c r="L1053">
        <f>IF(ISNUMBER(SEARCH(Table1[[#This Row],[their_ent_2]],Table1[[#This Row],[my_ent_2]])), 1, 0)</f>
        <v>1</v>
      </c>
    </row>
    <row r="1054" spans="1:12" x14ac:dyDescent="0.3">
      <c r="A1054" t="s">
        <v>3208</v>
      </c>
      <c r="B1054" t="s">
        <v>1549</v>
      </c>
      <c r="C1054" t="s">
        <v>1549</v>
      </c>
      <c r="D1054" t="s">
        <v>3209</v>
      </c>
      <c r="E1054" t="s">
        <v>576</v>
      </c>
      <c r="F1054">
        <v>3</v>
      </c>
      <c r="G1054">
        <v>1052</v>
      </c>
      <c r="H1054">
        <f>IF(Table1[[#This Row],[my_ent_1]]=Table1[[#This Row],[their_ent_1]], 1, 0)</f>
        <v>1</v>
      </c>
      <c r="I1054">
        <f>IF(Table1[[#This Row],[my_ent_2]]=Table1[[#This Row],[their_ent_2]], 1, 0)</f>
        <v>0</v>
      </c>
      <c r="J1054">
        <f>IF(Table1[[#This Row],[same_1]]=1 &amp; Table1[[#This Row],[same_2]]=1, 1, 0)</f>
        <v>0</v>
      </c>
      <c r="K1054">
        <f>IF(ISNUMBER(SEARCH(Table1[[#This Row],[their_ent_1]],Table1[[#This Row],[my_ent_1]])), 1, 0)</f>
        <v>1</v>
      </c>
      <c r="L1054">
        <f>IF(ISNUMBER(SEARCH(Table1[[#This Row],[their_ent_2]],Table1[[#This Row],[my_ent_2]])), 1, 0)</f>
        <v>0</v>
      </c>
    </row>
    <row r="1055" spans="1:12" x14ac:dyDescent="0.3">
      <c r="A1055" t="s">
        <v>3210</v>
      </c>
      <c r="B1055" t="s">
        <v>3211</v>
      </c>
      <c r="C1055" t="s">
        <v>3212</v>
      </c>
      <c r="D1055" t="s">
        <v>104</v>
      </c>
      <c r="E1055" t="s">
        <v>104</v>
      </c>
      <c r="F1055">
        <v>3</v>
      </c>
      <c r="G1055">
        <v>1053</v>
      </c>
      <c r="H1055">
        <f>IF(Table1[[#This Row],[my_ent_1]]=Table1[[#This Row],[their_ent_1]], 1, 0)</f>
        <v>0</v>
      </c>
      <c r="I1055">
        <f>IF(Table1[[#This Row],[my_ent_2]]=Table1[[#This Row],[their_ent_2]], 1, 0)</f>
        <v>1</v>
      </c>
      <c r="J1055">
        <f>IF(Table1[[#This Row],[same_1]]=1 &amp; Table1[[#This Row],[same_2]]=1, 1, 0)</f>
        <v>0</v>
      </c>
      <c r="K1055">
        <f>IF(ISNUMBER(SEARCH(Table1[[#This Row],[their_ent_1]],Table1[[#This Row],[my_ent_1]])), 1, 0)</f>
        <v>1</v>
      </c>
      <c r="L1055">
        <f>IF(ISNUMBER(SEARCH(Table1[[#This Row],[their_ent_2]],Table1[[#This Row],[my_ent_2]])), 1, 0)</f>
        <v>1</v>
      </c>
    </row>
    <row r="1056" spans="1:12" x14ac:dyDescent="0.3">
      <c r="A1056" t="s">
        <v>3213</v>
      </c>
      <c r="B1056" t="s">
        <v>3214</v>
      </c>
      <c r="C1056" t="s">
        <v>3215</v>
      </c>
      <c r="D1056" t="s">
        <v>3215</v>
      </c>
      <c r="E1056" t="s">
        <v>3122</v>
      </c>
      <c r="F1056">
        <v>1</v>
      </c>
      <c r="G1056">
        <v>1054</v>
      </c>
      <c r="H1056">
        <f>IF(Table1[[#This Row],[my_ent_1]]=Table1[[#This Row],[their_ent_1]], 1, 0)</f>
        <v>0</v>
      </c>
      <c r="I1056">
        <f>IF(Table1[[#This Row],[my_ent_2]]=Table1[[#This Row],[their_ent_2]], 1, 0)</f>
        <v>0</v>
      </c>
      <c r="J1056">
        <f>IF(Table1[[#This Row],[same_1]]=1 &amp; Table1[[#This Row],[same_2]]=1, 1, 0)</f>
        <v>0</v>
      </c>
      <c r="K1056">
        <f>IF(ISNUMBER(SEARCH(Table1[[#This Row],[their_ent_1]],Table1[[#This Row],[my_ent_1]])), 1, 0)</f>
        <v>0</v>
      </c>
      <c r="L1056">
        <f>IF(ISNUMBER(SEARCH(Table1[[#This Row],[their_ent_2]],Table1[[#This Row],[my_ent_2]])), 1, 0)</f>
        <v>0</v>
      </c>
    </row>
    <row r="1057" spans="1:12" x14ac:dyDescent="0.3">
      <c r="A1057" t="s">
        <v>3216</v>
      </c>
      <c r="B1057" t="s">
        <v>1011</v>
      </c>
      <c r="C1057" t="s">
        <v>1011</v>
      </c>
      <c r="D1057" t="s">
        <v>3217</v>
      </c>
      <c r="E1057" t="s">
        <v>3218</v>
      </c>
      <c r="F1057">
        <v>1</v>
      </c>
      <c r="G1057">
        <v>1055</v>
      </c>
      <c r="H1057">
        <f>IF(Table1[[#This Row],[my_ent_1]]=Table1[[#This Row],[their_ent_1]], 1, 0)</f>
        <v>1</v>
      </c>
      <c r="I1057">
        <f>IF(Table1[[#This Row],[my_ent_2]]=Table1[[#This Row],[their_ent_2]], 1, 0)</f>
        <v>0</v>
      </c>
      <c r="J1057">
        <f>IF(Table1[[#This Row],[same_1]]=1 &amp; Table1[[#This Row],[same_2]]=1, 1, 0)</f>
        <v>0</v>
      </c>
      <c r="K1057">
        <f>IF(ISNUMBER(SEARCH(Table1[[#This Row],[their_ent_1]],Table1[[#This Row],[my_ent_1]])), 1, 0)</f>
        <v>1</v>
      </c>
      <c r="L1057">
        <f>IF(ISNUMBER(SEARCH(Table1[[#This Row],[their_ent_2]],Table1[[#This Row],[my_ent_2]])), 1, 0)</f>
        <v>0</v>
      </c>
    </row>
    <row r="1058" spans="1:12" x14ac:dyDescent="0.3">
      <c r="A1058" t="s">
        <v>3219</v>
      </c>
      <c r="B1058" t="s">
        <v>3220</v>
      </c>
      <c r="C1058" t="s">
        <v>3220</v>
      </c>
      <c r="D1058" t="s">
        <v>2672</v>
      </c>
      <c r="E1058" t="s">
        <v>1296</v>
      </c>
      <c r="F1058">
        <v>1</v>
      </c>
      <c r="G1058">
        <v>1056</v>
      </c>
      <c r="H1058">
        <f>IF(Table1[[#This Row],[my_ent_1]]=Table1[[#This Row],[their_ent_1]], 1, 0)</f>
        <v>1</v>
      </c>
      <c r="I1058">
        <f>IF(Table1[[#This Row],[my_ent_2]]=Table1[[#This Row],[their_ent_2]], 1, 0)</f>
        <v>0</v>
      </c>
      <c r="J1058">
        <f>IF(Table1[[#This Row],[same_1]]=1 &amp; Table1[[#This Row],[same_2]]=1, 1, 0)</f>
        <v>0</v>
      </c>
      <c r="K1058">
        <f>IF(ISNUMBER(SEARCH(Table1[[#This Row],[their_ent_1]],Table1[[#This Row],[my_ent_1]])), 1, 0)</f>
        <v>1</v>
      </c>
      <c r="L1058">
        <f>IF(ISNUMBER(SEARCH(Table1[[#This Row],[their_ent_2]],Table1[[#This Row],[my_ent_2]])), 1, 0)</f>
        <v>0</v>
      </c>
    </row>
    <row r="1059" spans="1:12" x14ac:dyDescent="0.3">
      <c r="A1059" t="s">
        <v>3221</v>
      </c>
      <c r="B1059" t="s">
        <v>3222</v>
      </c>
      <c r="C1059" t="s">
        <v>176</v>
      </c>
      <c r="D1059" t="s">
        <v>26</v>
      </c>
      <c r="E1059" t="s">
        <v>3223</v>
      </c>
      <c r="F1059">
        <v>1</v>
      </c>
      <c r="G1059">
        <v>1057</v>
      </c>
      <c r="H1059">
        <f>IF(Table1[[#This Row],[my_ent_1]]=Table1[[#This Row],[their_ent_1]], 1, 0)</f>
        <v>0</v>
      </c>
      <c r="I1059">
        <f>IF(Table1[[#This Row],[my_ent_2]]=Table1[[#This Row],[their_ent_2]], 1, 0)</f>
        <v>0</v>
      </c>
      <c r="J1059">
        <f>IF(Table1[[#This Row],[same_1]]=1 &amp; Table1[[#This Row],[same_2]]=1, 1, 0)</f>
        <v>0</v>
      </c>
      <c r="K1059">
        <f>IF(ISNUMBER(SEARCH(Table1[[#This Row],[their_ent_1]],Table1[[#This Row],[my_ent_1]])), 1, 0)</f>
        <v>0</v>
      </c>
      <c r="L1059">
        <f>IF(ISNUMBER(SEARCH(Table1[[#This Row],[their_ent_2]],Table1[[#This Row],[my_ent_2]])), 1, 0)</f>
        <v>0</v>
      </c>
    </row>
    <row r="1060" spans="1:12" x14ac:dyDescent="0.3">
      <c r="A1060" t="s">
        <v>3224</v>
      </c>
      <c r="B1060" t="s">
        <v>643</v>
      </c>
      <c r="C1060" t="s">
        <v>643</v>
      </c>
      <c r="D1060" t="s">
        <v>3225</v>
      </c>
      <c r="E1060" t="s">
        <v>704</v>
      </c>
      <c r="F1060">
        <v>3</v>
      </c>
      <c r="G1060">
        <v>1058</v>
      </c>
      <c r="H1060">
        <f>IF(Table1[[#This Row],[my_ent_1]]=Table1[[#This Row],[their_ent_1]], 1, 0)</f>
        <v>1</v>
      </c>
      <c r="I1060">
        <f>IF(Table1[[#This Row],[my_ent_2]]=Table1[[#This Row],[their_ent_2]], 1, 0)</f>
        <v>0</v>
      </c>
      <c r="J1060">
        <f>IF(Table1[[#This Row],[same_1]]=1 &amp; Table1[[#This Row],[same_2]]=1, 1, 0)</f>
        <v>0</v>
      </c>
      <c r="K1060">
        <f>IF(ISNUMBER(SEARCH(Table1[[#This Row],[their_ent_1]],Table1[[#This Row],[my_ent_1]])), 1, 0)</f>
        <v>1</v>
      </c>
      <c r="L1060">
        <f>IF(ISNUMBER(SEARCH(Table1[[#This Row],[their_ent_2]],Table1[[#This Row],[my_ent_2]])), 1, 0)</f>
        <v>0</v>
      </c>
    </row>
    <row r="1061" spans="1:12" x14ac:dyDescent="0.3">
      <c r="A1061" t="s">
        <v>3226</v>
      </c>
      <c r="B1061" t="s">
        <v>20</v>
      </c>
      <c r="C1061" t="s">
        <v>407</v>
      </c>
      <c r="D1061" t="s">
        <v>381</v>
      </c>
      <c r="E1061" t="s">
        <v>381</v>
      </c>
      <c r="F1061">
        <v>3</v>
      </c>
      <c r="G1061">
        <v>1059</v>
      </c>
      <c r="H1061">
        <f>IF(Table1[[#This Row],[my_ent_1]]=Table1[[#This Row],[their_ent_1]], 1, 0)</f>
        <v>0</v>
      </c>
      <c r="I1061">
        <f>IF(Table1[[#This Row],[my_ent_2]]=Table1[[#This Row],[their_ent_2]], 1, 0)</f>
        <v>1</v>
      </c>
      <c r="J1061">
        <f>IF(Table1[[#This Row],[same_1]]=1 &amp; Table1[[#This Row],[same_2]]=1, 1, 0)</f>
        <v>0</v>
      </c>
      <c r="K1061">
        <f>IF(ISNUMBER(SEARCH(Table1[[#This Row],[their_ent_1]],Table1[[#This Row],[my_ent_1]])), 1, 0)</f>
        <v>0</v>
      </c>
      <c r="L1061">
        <f>IF(ISNUMBER(SEARCH(Table1[[#This Row],[their_ent_2]],Table1[[#This Row],[my_ent_2]])), 1, 0)</f>
        <v>1</v>
      </c>
    </row>
    <row r="1062" spans="1:12" x14ac:dyDescent="0.3">
      <c r="A1062" t="s">
        <v>3227</v>
      </c>
      <c r="B1062" t="s">
        <v>450</v>
      </c>
      <c r="C1062" t="s">
        <v>20</v>
      </c>
      <c r="D1062" t="s">
        <v>20</v>
      </c>
      <c r="E1062" t="s">
        <v>112</v>
      </c>
      <c r="F1062">
        <v>3</v>
      </c>
      <c r="G1062">
        <v>1060</v>
      </c>
      <c r="H1062">
        <f>IF(Table1[[#This Row],[my_ent_1]]=Table1[[#This Row],[their_ent_1]], 1, 0)</f>
        <v>0</v>
      </c>
      <c r="I1062">
        <f>IF(Table1[[#This Row],[my_ent_2]]=Table1[[#This Row],[their_ent_2]], 1, 0)</f>
        <v>0</v>
      </c>
      <c r="J1062">
        <f>IF(Table1[[#This Row],[same_1]]=1 &amp; Table1[[#This Row],[same_2]]=1, 1, 0)</f>
        <v>0</v>
      </c>
      <c r="K1062">
        <f>IF(ISNUMBER(SEARCH(Table1[[#This Row],[their_ent_1]],Table1[[#This Row],[my_ent_1]])), 1, 0)</f>
        <v>0</v>
      </c>
      <c r="L1062">
        <f>IF(ISNUMBER(SEARCH(Table1[[#This Row],[their_ent_2]],Table1[[#This Row],[my_ent_2]])), 1, 0)</f>
        <v>0</v>
      </c>
    </row>
    <row r="1063" spans="1:12" x14ac:dyDescent="0.3">
      <c r="A1063" t="s">
        <v>3228</v>
      </c>
      <c r="B1063" t="s">
        <v>1007</v>
      </c>
      <c r="C1063" t="s">
        <v>353</v>
      </c>
      <c r="D1063" t="s">
        <v>20</v>
      </c>
      <c r="E1063" t="s">
        <v>20</v>
      </c>
      <c r="F1063">
        <v>3</v>
      </c>
      <c r="G1063">
        <v>1061</v>
      </c>
      <c r="H1063">
        <f>IF(Table1[[#This Row],[my_ent_1]]=Table1[[#This Row],[their_ent_1]], 1, 0)</f>
        <v>0</v>
      </c>
      <c r="I1063">
        <f>IF(Table1[[#This Row],[my_ent_2]]=Table1[[#This Row],[their_ent_2]], 1, 0)</f>
        <v>1</v>
      </c>
      <c r="J1063">
        <f>IF(Table1[[#This Row],[same_1]]=1 &amp; Table1[[#This Row],[same_2]]=1, 1, 0)</f>
        <v>0</v>
      </c>
      <c r="K1063">
        <f>IF(ISNUMBER(SEARCH(Table1[[#This Row],[their_ent_1]],Table1[[#This Row],[my_ent_1]])), 1, 0)</f>
        <v>0</v>
      </c>
      <c r="L1063">
        <f>IF(ISNUMBER(SEARCH(Table1[[#This Row],[their_ent_2]],Table1[[#This Row],[my_ent_2]])), 1, 0)</f>
        <v>1</v>
      </c>
    </row>
    <row r="1064" spans="1:12" x14ac:dyDescent="0.3">
      <c r="A1064" t="s">
        <v>3229</v>
      </c>
      <c r="B1064" t="s">
        <v>3230</v>
      </c>
      <c r="C1064" t="s">
        <v>3231</v>
      </c>
      <c r="D1064" t="s">
        <v>3232</v>
      </c>
      <c r="E1064" t="s">
        <v>407</v>
      </c>
      <c r="F1064">
        <v>3</v>
      </c>
      <c r="G1064">
        <v>1062</v>
      </c>
      <c r="H1064">
        <f>IF(Table1[[#This Row],[my_ent_1]]=Table1[[#This Row],[their_ent_1]], 1, 0)</f>
        <v>0</v>
      </c>
      <c r="I1064">
        <f>IF(Table1[[#This Row],[my_ent_2]]=Table1[[#This Row],[their_ent_2]], 1, 0)</f>
        <v>0</v>
      </c>
      <c r="J1064">
        <f>IF(Table1[[#This Row],[same_1]]=1 &amp; Table1[[#This Row],[same_2]]=1, 1, 0)</f>
        <v>0</v>
      </c>
      <c r="K1064">
        <f>IF(ISNUMBER(SEARCH(Table1[[#This Row],[their_ent_1]],Table1[[#This Row],[my_ent_1]])), 1, 0)</f>
        <v>0</v>
      </c>
      <c r="L1064">
        <f>IF(ISNUMBER(SEARCH(Table1[[#This Row],[their_ent_2]],Table1[[#This Row],[my_ent_2]])), 1, 0)</f>
        <v>0</v>
      </c>
    </row>
    <row r="1065" spans="1:12" x14ac:dyDescent="0.3">
      <c r="A1065" t="s">
        <v>2819</v>
      </c>
      <c r="B1065" t="s">
        <v>1761</v>
      </c>
      <c r="C1065" t="s">
        <v>2820</v>
      </c>
      <c r="D1065" t="s">
        <v>2821</v>
      </c>
      <c r="E1065" t="s">
        <v>273</v>
      </c>
      <c r="F1065">
        <v>3</v>
      </c>
      <c r="G1065">
        <v>1063</v>
      </c>
      <c r="H1065">
        <f>IF(Table1[[#This Row],[my_ent_1]]=Table1[[#This Row],[their_ent_1]], 1, 0)</f>
        <v>0</v>
      </c>
      <c r="I1065">
        <f>IF(Table1[[#This Row],[my_ent_2]]=Table1[[#This Row],[their_ent_2]], 1, 0)</f>
        <v>0</v>
      </c>
      <c r="J1065">
        <f>IF(Table1[[#This Row],[same_1]]=1 &amp; Table1[[#This Row],[same_2]]=1, 1, 0)</f>
        <v>0</v>
      </c>
      <c r="K1065">
        <f>IF(ISNUMBER(SEARCH(Table1[[#This Row],[their_ent_1]],Table1[[#This Row],[my_ent_1]])), 1, 0)</f>
        <v>0</v>
      </c>
      <c r="L1065">
        <f>IF(ISNUMBER(SEARCH(Table1[[#This Row],[their_ent_2]],Table1[[#This Row],[my_ent_2]])), 1, 0)</f>
        <v>0</v>
      </c>
    </row>
    <row r="1066" spans="1:12" x14ac:dyDescent="0.3">
      <c r="A1066" t="s">
        <v>3233</v>
      </c>
      <c r="B1066" t="s">
        <v>3234</v>
      </c>
      <c r="C1066" t="s">
        <v>3234</v>
      </c>
      <c r="D1066" t="s">
        <v>2441</v>
      </c>
      <c r="E1066" t="s">
        <v>176</v>
      </c>
      <c r="F1066">
        <v>3</v>
      </c>
      <c r="G1066">
        <v>1064</v>
      </c>
      <c r="H1066">
        <f>IF(Table1[[#This Row],[my_ent_1]]=Table1[[#This Row],[their_ent_1]], 1, 0)</f>
        <v>1</v>
      </c>
      <c r="I1066">
        <f>IF(Table1[[#This Row],[my_ent_2]]=Table1[[#This Row],[their_ent_2]], 1, 0)</f>
        <v>0</v>
      </c>
      <c r="J1066">
        <f>IF(Table1[[#This Row],[same_1]]=1 &amp; Table1[[#This Row],[same_2]]=1, 1, 0)</f>
        <v>0</v>
      </c>
      <c r="K1066">
        <f>IF(ISNUMBER(SEARCH(Table1[[#This Row],[their_ent_1]],Table1[[#This Row],[my_ent_1]])), 1, 0)</f>
        <v>1</v>
      </c>
      <c r="L1066">
        <f>IF(ISNUMBER(SEARCH(Table1[[#This Row],[their_ent_2]],Table1[[#This Row],[my_ent_2]])), 1, 0)</f>
        <v>0</v>
      </c>
    </row>
    <row r="1067" spans="1:12" x14ac:dyDescent="0.3">
      <c r="A1067" t="s">
        <v>3235</v>
      </c>
      <c r="B1067" t="s">
        <v>1559</v>
      </c>
      <c r="C1067" t="s">
        <v>1559</v>
      </c>
      <c r="D1067" t="s">
        <v>281</v>
      </c>
      <c r="E1067" t="s">
        <v>3236</v>
      </c>
      <c r="F1067">
        <v>4</v>
      </c>
      <c r="G1067">
        <v>1065</v>
      </c>
      <c r="H1067">
        <f>IF(Table1[[#This Row],[my_ent_1]]=Table1[[#This Row],[their_ent_1]], 1, 0)</f>
        <v>1</v>
      </c>
      <c r="I1067">
        <f>IF(Table1[[#This Row],[my_ent_2]]=Table1[[#This Row],[their_ent_2]], 1, 0)</f>
        <v>0</v>
      </c>
      <c r="J1067">
        <f>IF(Table1[[#This Row],[same_1]]=1 &amp; Table1[[#This Row],[same_2]]=1, 1, 0)</f>
        <v>0</v>
      </c>
      <c r="K1067">
        <f>IF(ISNUMBER(SEARCH(Table1[[#This Row],[their_ent_1]],Table1[[#This Row],[my_ent_1]])), 1, 0)</f>
        <v>1</v>
      </c>
      <c r="L1067">
        <f>IF(ISNUMBER(SEARCH(Table1[[#This Row],[their_ent_2]],Table1[[#This Row],[my_ent_2]])), 1, 0)</f>
        <v>0</v>
      </c>
    </row>
    <row r="1068" spans="1:12" x14ac:dyDescent="0.3">
      <c r="A1068" t="s">
        <v>3237</v>
      </c>
      <c r="B1068" t="s">
        <v>20</v>
      </c>
      <c r="C1068" t="s">
        <v>407</v>
      </c>
      <c r="D1068" t="s">
        <v>3238</v>
      </c>
      <c r="E1068" t="s">
        <v>3238</v>
      </c>
      <c r="F1068">
        <v>4</v>
      </c>
      <c r="G1068">
        <v>1066</v>
      </c>
      <c r="H1068">
        <f>IF(Table1[[#This Row],[my_ent_1]]=Table1[[#This Row],[their_ent_1]], 1, 0)</f>
        <v>0</v>
      </c>
      <c r="I1068">
        <f>IF(Table1[[#This Row],[my_ent_2]]=Table1[[#This Row],[their_ent_2]], 1, 0)</f>
        <v>1</v>
      </c>
      <c r="J1068">
        <f>IF(Table1[[#This Row],[same_1]]=1 &amp; Table1[[#This Row],[same_2]]=1, 1, 0)</f>
        <v>0</v>
      </c>
      <c r="K1068">
        <f>IF(ISNUMBER(SEARCH(Table1[[#This Row],[their_ent_1]],Table1[[#This Row],[my_ent_1]])), 1, 0)</f>
        <v>0</v>
      </c>
      <c r="L1068">
        <f>IF(ISNUMBER(SEARCH(Table1[[#This Row],[their_ent_2]],Table1[[#This Row],[my_ent_2]])), 1, 0)</f>
        <v>1</v>
      </c>
    </row>
    <row r="1069" spans="1:12" x14ac:dyDescent="0.3">
      <c r="A1069" t="s">
        <v>3239</v>
      </c>
      <c r="B1069" t="s">
        <v>3240</v>
      </c>
      <c r="C1069" t="s">
        <v>353</v>
      </c>
      <c r="D1069" t="s">
        <v>3241</v>
      </c>
      <c r="E1069" t="s">
        <v>3241</v>
      </c>
      <c r="F1069">
        <v>3</v>
      </c>
      <c r="G1069">
        <v>1067</v>
      </c>
      <c r="H1069">
        <f>IF(Table1[[#This Row],[my_ent_1]]=Table1[[#This Row],[their_ent_1]], 1, 0)</f>
        <v>0</v>
      </c>
      <c r="I1069">
        <f>IF(Table1[[#This Row],[my_ent_2]]=Table1[[#This Row],[their_ent_2]], 1, 0)</f>
        <v>1</v>
      </c>
      <c r="J1069">
        <f>IF(Table1[[#This Row],[same_1]]=1 &amp; Table1[[#This Row],[same_2]]=1, 1, 0)</f>
        <v>0</v>
      </c>
      <c r="K1069">
        <f>IF(ISNUMBER(SEARCH(Table1[[#This Row],[their_ent_1]],Table1[[#This Row],[my_ent_1]])), 1, 0)</f>
        <v>0</v>
      </c>
      <c r="L1069">
        <f>IF(ISNUMBER(SEARCH(Table1[[#This Row],[their_ent_2]],Table1[[#This Row],[my_ent_2]])), 1, 0)</f>
        <v>1</v>
      </c>
    </row>
    <row r="1070" spans="1:12" x14ac:dyDescent="0.3">
      <c r="A1070" t="s">
        <v>3242</v>
      </c>
      <c r="B1070" t="s">
        <v>3243</v>
      </c>
      <c r="C1070" t="s">
        <v>3244</v>
      </c>
      <c r="D1070" t="s">
        <v>3244</v>
      </c>
      <c r="E1070" t="s">
        <v>3245</v>
      </c>
      <c r="F1070">
        <v>3</v>
      </c>
      <c r="G1070">
        <v>1068</v>
      </c>
      <c r="H1070">
        <f>IF(Table1[[#This Row],[my_ent_1]]=Table1[[#This Row],[their_ent_1]], 1, 0)</f>
        <v>0</v>
      </c>
      <c r="I1070">
        <f>IF(Table1[[#This Row],[my_ent_2]]=Table1[[#This Row],[their_ent_2]], 1, 0)</f>
        <v>0</v>
      </c>
      <c r="J1070">
        <f>IF(Table1[[#This Row],[same_1]]=1 &amp; Table1[[#This Row],[same_2]]=1, 1, 0)</f>
        <v>0</v>
      </c>
      <c r="K1070">
        <f>IF(ISNUMBER(SEARCH(Table1[[#This Row],[their_ent_1]],Table1[[#This Row],[my_ent_1]])), 1, 0)</f>
        <v>0</v>
      </c>
      <c r="L1070">
        <f>IF(ISNUMBER(SEARCH(Table1[[#This Row],[their_ent_2]],Table1[[#This Row],[my_ent_2]])), 1, 0)</f>
        <v>0</v>
      </c>
    </row>
    <row r="1071" spans="1:12" x14ac:dyDescent="0.3">
      <c r="A1071" t="s">
        <v>3246</v>
      </c>
      <c r="B1071" t="s">
        <v>20</v>
      </c>
      <c r="C1071" t="s">
        <v>407</v>
      </c>
      <c r="D1071" t="s">
        <v>381</v>
      </c>
      <c r="E1071" t="s">
        <v>381</v>
      </c>
      <c r="F1071">
        <v>3</v>
      </c>
      <c r="G1071">
        <v>1069</v>
      </c>
      <c r="H1071">
        <f>IF(Table1[[#This Row],[my_ent_1]]=Table1[[#This Row],[their_ent_1]], 1, 0)</f>
        <v>0</v>
      </c>
      <c r="I1071">
        <f>IF(Table1[[#This Row],[my_ent_2]]=Table1[[#This Row],[their_ent_2]], 1, 0)</f>
        <v>1</v>
      </c>
      <c r="J1071">
        <f>IF(Table1[[#This Row],[same_1]]=1 &amp; Table1[[#This Row],[same_2]]=1, 1, 0)</f>
        <v>0</v>
      </c>
      <c r="K1071">
        <f>IF(ISNUMBER(SEARCH(Table1[[#This Row],[their_ent_1]],Table1[[#This Row],[my_ent_1]])), 1, 0)</f>
        <v>0</v>
      </c>
      <c r="L1071">
        <f>IF(ISNUMBER(SEARCH(Table1[[#This Row],[their_ent_2]],Table1[[#This Row],[my_ent_2]])), 1, 0)</f>
        <v>1</v>
      </c>
    </row>
    <row r="1072" spans="1:12" x14ac:dyDescent="0.3">
      <c r="A1072" t="s">
        <v>3247</v>
      </c>
      <c r="B1072" t="s">
        <v>3248</v>
      </c>
      <c r="C1072" t="s">
        <v>704</v>
      </c>
      <c r="D1072" t="s">
        <v>3249</v>
      </c>
      <c r="E1072" t="s">
        <v>44</v>
      </c>
      <c r="F1072">
        <v>3</v>
      </c>
      <c r="G1072">
        <v>1070</v>
      </c>
      <c r="H1072">
        <f>IF(Table1[[#This Row],[my_ent_1]]=Table1[[#This Row],[their_ent_1]], 1, 0)</f>
        <v>0</v>
      </c>
      <c r="I1072">
        <f>IF(Table1[[#This Row],[my_ent_2]]=Table1[[#This Row],[their_ent_2]], 1, 0)</f>
        <v>0</v>
      </c>
      <c r="J1072">
        <f>IF(Table1[[#This Row],[same_1]]=1 &amp; Table1[[#This Row],[same_2]]=1, 1, 0)</f>
        <v>0</v>
      </c>
      <c r="K1072">
        <f>IF(ISNUMBER(SEARCH(Table1[[#This Row],[their_ent_1]],Table1[[#This Row],[my_ent_1]])), 1, 0)</f>
        <v>0</v>
      </c>
      <c r="L1072">
        <f>IF(ISNUMBER(SEARCH(Table1[[#This Row],[their_ent_2]],Table1[[#This Row],[my_ent_2]])), 1, 0)</f>
        <v>0</v>
      </c>
    </row>
    <row r="1073" spans="1:12" x14ac:dyDescent="0.3">
      <c r="A1073" t="s">
        <v>3250</v>
      </c>
      <c r="B1073" t="s">
        <v>709</v>
      </c>
      <c r="C1073" t="s">
        <v>78</v>
      </c>
      <c r="D1073" t="s">
        <v>78</v>
      </c>
      <c r="E1073" t="s">
        <v>642</v>
      </c>
      <c r="F1073">
        <v>1</v>
      </c>
      <c r="G1073">
        <v>1071</v>
      </c>
      <c r="H1073">
        <f>IF(Table1[[#This Row],[my_ent_1]]=Table1[[#This Row],[their_ent_1]], 1, 0)</f>
        <v>0</v>
      </c>
      <c r="I1073">
        <f>IF(Table1[[#This Row],[my_ent_2]]=Table1[[#This Row],[their_ent_2]], 1, 0)</f>
        <v>0</v>
      </c>
      <c r="J1073">
        <f>IF(Table1[[#This Row],[same_1]]=1 &amp; Table1[[#This Row],[same_2]]=1, 1, 0)</f>
        <v>0</v>
      </c>
      <c r="K1073">
        <f>IF(ISNUMBER(SEARCH(Table1[[#This Row],[their_ent_1]],Table1[[#This Row],[my_ent_1]])), 1, 0)</f>
        <v>0</v>
      </c>
      <c r="L1073">
        <f>IF(ISNUMBER(SEARCH(Table1[[#This Row],[their_ent_2]],Table1[[#This Row],[my_ent_2]])), 1, 0)</f>
        <v>0</v>
      </c>
    </row>
    <row r="1074" spans="1:12" x14ac:dyDescent="0.3">
      <c r="A1074" t="s">
        <v>3251</v>
      </c>
      <c r="B1074" t="s">
        <v>3252</v>
      </c>
      <c r="C1074" t="s">
        <v>3253</v>
      </c>
      <c r="D1074" t="s">
        <v>3254</v>
      </c>
      <c r="E1074" t="s">
        <v>3255</v>
      </c>
      <c r="F1074">
        <v>3</v>
      </c>
      <c r="G1074">
        <v>1072</v>
      </c>
      <c r="H1074">
        <f>IF(Table1[[#This Row],[my_ent_1]]=Table1[[#This Row],[their_ent_1]], 1, 0)</f>
        <v>0</v>
      </c>
      <c r="I1074">
        <f>IF(Table1[[#This Row],[my_ent_2]]=Table1[[#This Row],[their_ent_2]], 1, 0)</f>
        <v>0</v>
      </c>
      <c r="J1074">
        <f>IF(Table1[[#This Row],[same_1]]=1 &amp; Table1[[#This Row],[same_2]]=1, 1, 0)</f>
        <v>0</v>
      </c>
      <c r="K1074">
        <f>IF(ISNUMBER(SEARCH(Table1[[#This Row],[their_ent_1]],Table1[[#This Row],[my_ent_1]])), 1, 0)</f>
        <v>0</v>
      </c>
      <c r="L1074">
        <f>IF(ISNUMBER(SEARCH(Table1[[#This Row],[their_ent_2]],Table1[[#This Row],[my_ent_2]])), 1, 0)</f>
        <v>0</v>
      </c>
    </row>
    <row r="1075" spans="1:12" x14ac:dyDescent="0.3">
      <c r="A1075" t="s">
        <v>3256</v>
      </c>
      <c r="B1075" t="s">
        <v>353</v>
      </c>
      <c r="C1075" t="s">
        <v>353</v>
      </c>
      <c r="D1075" t="s">
        <v>175</v>
      </c>
      <c r="E1075" t="s">
        <v>176</v>
      </c>
      <c r="F1075">
        <v>3</v>
      </c>
      <c r="G1075">
        <v>1073</v>
      </c>
      <c r="H1075">
        <f>IF(Table1[[#This Row],[my_ent_1]]=Table1[[#This Row],[their_ent_1]], 1, 0)</f>
        <v>1</v>
      </c>
      <c r="I1075">
        <f>IF(Table1[[#This Row],[my_ent_2]]=Table1[[#This Row],[their_ent_2]], 1, 0)</f>
        <v>0</v>
      </c>
      <c r="J1075">
        <f>IF(Table1[[#This Row],[same_1]]=1 &amp; Table1[[#This Row],[same_2]]=1, 1, 0)</f>
        <v>0</v>
      </c>
      <c r="K1075">
        <f>IF(ISNUMBER(SEARCH(Table1[[#This Row],[their_ent_1]],Table1[[#This Row],[my_ent_1]])), 1, 0)</f>
        <v>1</v>
      </c>
      <c r="L1075">
        <f>IF(ISNUMBER(SEARCH(Table1[[#This Row],[their_ent_2]],Table1[[#This Row],[my_ent_2]])), 1, 0)</f>
        <v>1</v>
      </c>
    </row>
    <row r="1076" spans="1:12" x14ac:dyDescent="0.3">
      <c r="A1076" t="s">
        <v>3257</v>
      </c>
      <c r="B1076" t="s">
        <v>3258</v>
      </c>
      <c r="C1076" t="s">
        <v>3258</v>
      </c>
      <c r="D1076" t="s">
        <v>59</v>
      </c>
      <c r="E1076" t="s">
        <v>3259</v>
      </c>
      <c r="F1076">
        <v>3</v>
      </c>
      <c r="G1076">
        <v>1074</v>
      </c>
      <c r="H1076">
        <f>IF(Table1[[#This Row],[my_ent_1]]=Table1[[#This Row],[their_ent_1]], 1, 0)</f>
        <v>1</v>
      </c>
      <c r="I1076">
        <f>IF(Table1[[#This Row],[my_ent_2]]=Table1[[#This Row],[their_ent_2]], 1, 0)</f>
        <v>0</v>
      </c>
      <c r="J1076">
        <f>IF(Table1[[#This Row],[same_1]]=1 &amp; Table1[[#This Row],[same_2]]=1, 1, 0)</f>
        <v>0</v>
      </c>
      <c r="K1076">
        <f>IF(ISNUMBER(SEARCH(Table1[[#This Row],[their_ent_1]],Table1[[#This Row],[my_ent_1]])), 1, 0)</f>
        <v>1</v>
      </c>
      <c r="L1076">
        <f>IF(ISNUMBER(SEARCH(Table1[[#This Row],[their_ent_2]],Table1[[#This Row],[my_ent_2]])), 1, 0)</f>
        <v>0</v>
      </c>
    </row>
    <row r="1077" spans="1:12" x14ac:dyDescent="0.3">
      <c r="A1077" t="s">
        <v>3260</v>
      </c>
      <c r="B1077" t="s">
        <v>20</v>
      </c>
      <c r="C1077" t="s">
        <v>407</v>
      </c>
      <c r="D1077" t="s">
        <v>30</v>
      </c>
      <c r="E1077" t="s">
        <v>30</v>
      </c>
      <c r="F1077">
        <v>3</v>
      </c>
      <c r="G1077">
        <v>1075</v>
      </c>
      <c r="H1077">
        <f>IF(Table1[[#This Row],[my_ent_1]]=Table1[[#This Row],[their_ent_1]], 1, 0)</f>
        <v>0</v>
      </c>
      <c r="I1077">
        <f>IF(Table1[[#This Row],[my_ent_2]]=Table1[[#This Row],[their_ent_2]], 1, 0)</f>
        <v>1</v>
      </c>
      <c r="J1077">
        <f>IF(Table1[[#This Row],[same_1]]=1 &amp; Table1[[#This Row],[same_2]]=1, 1, 0)</f>
        <v>0</v>
      </c>
      <c r="K1077">
        <f>IF(ISNUMBER(SEARCH(Table1[[#This Row],[their_ent_1]],Table1[[#This Row],[my_ent_1]])), 1, 0)</f>
        <v>0</v>
      </c>
      <c r="L1077">
        <f>IF(ISNUMBER(SEARCH(Table1[[#This Row],[their_ent_2]],Table1[[#This Row],[my_ent_2]])), 1, 0)</f>
        <v>1</v>
      </c>
    </row>
    <row r="1078" spans="1:12" x14ac:dyDescent="0.3">
      <c r="A1078" t="s">
        <v>3261</v>
      </c>
      <c r="B1078" t="s">
        <v>3262</v>
      </c>
      <c r="C1078" t="s">
        <v>215</v>
      </c>
      <c r="D1078" t="s">
        <v>3263</v>
      </c>
      <c r="E1078" t="s">
        <v>3263</v>
      </c>
      <c r="F1078">
        <v>3</v>
      </c>
      <c r="G1078">
        <v>1076</v>
      </c>
      <c r="H1078">
        <f>IF(Table1[[#This Row],[my_ent_1]]=Table1[[#This Row],[their_ent_1]], 1, 0)</f>
        <v>0</v>
      </c>
      <c r="I1078">
        <f>IF(Table1[[#This Row],[my_ent_2]]=Table1[[#This Row],[their_ent_2]], 1, 0)</f>
        <v>1</v>
      </c>
      <c r="J1078">
        <f>IF(Table1[[#This Row],[same_1]]=1 &amp; Table1[[#This Row],[same_2]]=1, 1, 0)</f>
        <v>0</v>
      </c>
      <c r="K1078">
        <f>IF(ISNUMBER(SEARCH(Table1[[#This Row],[their_ent_1]],Table1[[#This Row],[my_ent_1]])), 1, 0)</f>
        <v>1</v>
      </c>
      <c r="L1078">
        <f>IF(ISNUMBER(SEARCH(Table1[[#This Row],[their_ent_2]],Table1[[#This Row],[my_ent_2]])), 1, 0)</f>
        <v>1</v>
      </c>
    </row>
    <row r="1079" spans="1:12" x14ac:dyDescent="0.3">
      <c r="A1079" t="s">
        <v>3264</v>
      </c>
      <c r="B1079" t="s">
        <v>3265</v>
      </c>
      <c r="C1079" t="s">
        <v>3266</v>
      </c>
      <c r="D1079" t="s">
        <v>3267</v>
      </c>
      <c r="E1079" t="s">
        <v>3267</v>
      </c>
      <c r="F1079">
        <v>4</v>
      </c>
      <c r="G1079">
        <v>1077</v>
      </c>
      <c r="H1079">
        <f>IF(Table1[[#This Row],[my_ent_1]]=Table1[[#This Row],[their_ent_1]], 1, 0)</f>
        <v>0</v>
      </c>
      <c r="I1079">
        <f>IF(Table1[[#This Row],[my_ent_2]]=Table1[[#This Row],[their_ent_2]], 1, 0)</f>
        <v>1</v>
      </c>
      <c r="J1079">
        <f>IF(Table1[[#This Row],[same_1]]=1 &amp; Table1[[#This Row],[same_2]]=1, 1, 0)</f>
        <v>0</v>
      </c>
      <c r="K1079">
        <f>IF(ISNUMBER(SEARCH(Table1[[#This Row],[their_ent_1]],Table1[[#This Row],[my_ent_1]])), 1, 0)</f>
        <v>1</v>
      </c>
      <c r="L1079">
        <f>IF(ISNUMBER(SEARCH(Table1[[#This Row],[their_ent_2]],Table1[[#This Row],[my_ent_2]])), 1, 0)</f>
        <v>1</v>
      </c>
    </row>
    <row r="1080" spans="1:12" x14ac:dyDescent="0.3">
      <c r="A1080" t="s">
        <v>3268</v>
      </c>
      <c r="B1080" t="s">
        <v>3269</v>
      </c>
      <c r="C1080" t="s">
        <v>3270</v>
      </c>
      <c r="D1080" t="s">
        <v>3271</v>
      </c>
      <c r="E1080" t="s">
        <v>3272</v>
      </c>
      <c r="F1080">
        <v>4</v>
      </c>
      <c r="G1080">
        <v>1078</v>
      </c>
      <c r="H1080">
        <f>IF(Table1[[#This Row],[my_ent_1]]=Table1[[#This Row],[their_ent_1]], 1, 0)</f>
        <v>0</v>
      </c>
      <c r="I1080">
        <f>IF(Table1[[#This Row],[my_ent_2]]=Table1[[#This Row],[their_ent_2]], 1, 0)</f>
        <v>0</v>
      </c>
      <c r="J1080">
        <f>IF(Table1[[#This Row],[same_1]]=1 &amp; Table1[[#This Row],[same_2]]=1, 1, 0)</f>
        <v>0</v>
      </c>
      <c r="K1080">
        <f>IF(ISNUMBER(SEARCH(Table1[[#This Row],[their_ent_1]],Table1[[#This Row],[my_ent_1]])), 1, 0)</f>
        <v>0</v>
      </c>
      <c r="L1080">
        <f>IF(ISNUMBER(SEARCH(Table1[[#This Row],[their_ent_2]],Table1[[#This Row],[my_ent_2]])), 1, 0)</f>
        <v>0</v>
      </c>
    </row>
    <row r="1081" spans="1:12" x14ac:dyDescent="0.3">
      <c r="A1081" t="s">
        <v>3273</v>
      </c>
      <c r="B1081" t="s">
        <v>141</v>
      </c>
      <c r="C1081" t="s">
        <v>3274</v>
      </c>
      <c r="D1081" t="s">
        <v>381</v>
      </c>
      <c r="E1081" t="s">
        <v>381</v>
      </c>
      <c r="F1081">
        <v>3</v>
      </c>
      <c r="G1081">
        <v>1079</v>
      </c>
      <c r="H1081">
        <f>IF(Table1[[#This Row],[my_ent_1]]=Table1[[#This Row],[their_ent_1]], 1, 0)</f>
        <v>0</v>
      </c>
      <c r="I1081">
        <f>IF(Table1[[#This Row],[my_ent_2]]=Table1[[#This Row],[their_ent_2]], 1, 0)</f>
        <v>1</v>
      </c>
      <c r="J1081">
        <f>IF(Table1[[#This Row],[same_1]]=1 &amp; Table1[[#This Row],[same_2]]=1, 1, 0)</f>
        <v>0</v>
      </c>
      <c r="K1081">
        <f>IF(ISNUMBER(SEARCH(Table1[[#This Row],[their_ent_1]],Table1[[#This Row],[my_ent_1]])), 1, 0)</f>
        <v>0</v>
      </c>
      <c r="L1081">
        <f>IF(ISNUMBER(SEARCH(Table1[[#This Row],[their_ent_2]],Table1[[#This Row],[my_ent_2]])), 1, 0)</f>
        <v>1</v>
      </c>
    </row>
    <row r="1082" spans="1:12" x14ac:dyDescent="0.3">
      <c r="A1082" t="s">
        <v>3275</v>
      </c>
      <c r="B1082" t="s">
        <v>20</v>
      </c>
      <c r="C1082" t="s">
        <v>20</v>
      </c>
      <c r="D1082" t="s">
        <v>3276</v>
      </c>
      <c r="E1082" t="s">
        <v>3277</v>
      </c>
      <c r="F1082">
        <v>3</v>
      </c>
      <c r="G1082">
        <v>1080</v>
      </c>
      <c r="H1082">
        <f>IF(Table1[[#This Row],[my_ent_1]]=Table1[[#This Row],[their_ent_1]], 1, 0)</f>
        <v>1</v>
      </c>
      <c r="I1082">
        <f>IF(Table1[[#This Row],[my_ent_2]]=Table1[[#This Row],[their_ent_2]], 1, 0)</f>
        <v>0</v>
      </c>
      <c r="J1082">
        <f>IF(Table1[[#This Row],[same_1]]=1 &amp; Table1[[#This Row],[same_2]]=1, 1, 0)</f>
        <v>0</v>
      </c>
      <c r="K1082">
        <f>IF(ISNUMBER(SEARCH(Table1[[#This Row],[their_ent_1]],Table1[[#This Row],[my_ent_1]])), 1, 0)</f>
        <v>1</v>
      </c>
      <c r="L1082">
        <f>IF(ISNUMBER(SEARCH(Table1[[#This Row],[their_ent_2]],Table1[[#This Row],[my_ent_2]])), 1, 0)</f>
        <v>1</v>
      </c>
    </row>
    <row r="1083" spans="1:12" x14ac:dyDescent="0.3">
      <c r="A1083" t="s">
        <v>3278</v>
      </c>
      <c r="B1083" t="s">
        <v>3279</v>
      </c>
      <c r="C1083" t="s">
        <v>3280</v>
      </c>
      <c r="D1083" t="s">
        <v>3281</v>
      </c>
      <c r="E1083" t="s">
        <v>1587</v>
      </c>
      <c r="F1083">
        <v>1</v>
      </c>
      <c r="G1083">
        <v>1081</v>
      </c>
      <c r="H1083">
        <f>IF(Table1[[#This Row],[my_ent_1]]=Table1[[#This Row],[their_ent_1]], 1, 0)</f>
        <v>0</v>
      </c>
      <c r="I1083">
        <f>IF(Table1[[#This Row],[my_ent_2]]=Table1[[#This Row],[their_ent_2]], 1, 0)</f>
        <v>0</v>
      </c>
      <c r="J1083">
        <f>IF(Table1[[#This Row],[same_1]]=1 &amp; Table1[[#This Row],[same_2]]=1, 1, 0)</f>
        <v>0</v>
      </c>
      <c r="K1083">
        <f>IF(ISNUMBER(SEARCH(Table1[[#This Row],[their_ent_1]],Table1[[#This Row],[my_ent_1]])), 1, 0)</f>
        <v>0</v>
      </c>
      <c r="L1083">
        <f>IF(ISNUMBER(SEARCH(Table1[[#This Row],[their_ent_2]],Table1[[#This Row],[my_ent_2]])), 1, 0)</f>
        <v>0</v>
      </c>
    </row>
    <row r="1084" spans="1:12" x14ac:dyDescent="0.3">
      <c r="A1084" t="s">
        <v>3282</v>
      </c>
      <c r="B1084" t="s">
        <v>3283</v>
      </c>
      <c r="C1084" t="s">
        <v>3284</v>
      </c>
      <c r="D1084" t="s">
        <v>2580</v>
      </c>
      <c r="E1084" t="s">
        <v>2580</v>
      </c>
      <c r="F1084">
        <v>3</v>
      </c>
      <c r="G1084">
        <v>1082</v>
      </c>
      <c r="H1084">
        <f>IF(Table1[[#This Row],[my_ent_1]]=Table1[[#This Row],[their_ent_1]], 1, 0)</f>
        <v>0</v>
      </c>
      <c r="I1084">
        <f>IF(Table1[[#This Row],[my_ent_2]]=Table1[[#This Row],[their_ent_2]], 1, 0)</f>
        <v>1</v>
      </c>
      <c r="J1084">
        <f>IF(Table1[[#This Row],[same_1]]=1 &amp; Table1[[#This Row],[same_2]]=1, 1, 0)</f>
        <v>0</v>
      </c>
      <c r="K1084">
        <f>IF(ISNUMBER(SEARCH(Table1[[#This Row],[their_ent_1]],Table1[[#This Row],[my_ent_1]])), 1, 0)</f>
        <v>1</v>
      </c>
      <c r="L1084">
        <f>IF(ISNUMBER(SEARCH(Table1[[#This Row],[their_ent_2]],Table1[[#This Row],[my_ent_2]])), 1, 0)</f>
        <v>1</v>
      </c>
    </row>
    <row r="1085" spans="1:12" x14ac:dyDescent="0.3">
      <c r="A1085" t="s">
        <v>3285</v>
      </c>
      <c r="B1085" t="s">
        <v>3286</v>
      </c>
      <c r="C1085" t="s">
        <v>704</v>
      </c>
      <c r="D1085" t="s">
        <v>3287</v>
      </c>
      <c r="E1085" t="s">
        <v>256</v>
      </c>
      <c r="F1085">
        <v>4</v>
      </c>
      <c r="G1085">
        <v>1083</v>
      </c>
      <c r="H1085">
        <f>IF(Table1[[#This Row],[my_ent_1]]=Table1[[#This Row],[their_ent_1]], 1, 0)</f>
        <v>0</v>
      </c>
      <c r="I1085">
        <f>IF(Table1[[#This Row],[my_ent_2]]=Table1[[#This Row],[their_ent_2]], 1, 0)</f>
        <v>0</v>
      </c>
      <c r="J1085">
        <f>IF(Table1[[#This Row],[same_1]]=1 &amp; Table1[[#This Row],[same_2]]=1, 1, 0)</f>
        <v>0</v>
      </c>
      <c r="K1085">
        <f>IF(ISNUMBER(SEARCH(Table1[[#This Row],[their_ent_1]],Table1[[#This Row],[my_ent_1]])), 1, 0)</f>
        <v>0</v>
      </c>
      <c r="L1085">
        <f>IF(ISNUMBER(SEARCH(Table1[[#This Row],[their_ent_2]],Table1[[#This Row],[my_ent_2]])), 1, 0)</f>
        <v>0</v>
      </c>
    </row>
    <row r="1086" spans="1:12" x14ac:dyDescent="0.3">
      <c r="A1086" t="s">
        <v>3288</v>
      </c>
      <c r="B1086" t="s">
        <v>3289</v>
      </c>
      <c r="C1086" t="s">
        <v>3290</v>
      </c>
      <c r="D1086" t="s">
        <v>3291</v>
      </c>
      <c r="E1086" t="s">
        <v>3291</v>
      </c>
      <c r="F1086">
        <v>3</v>
      </c>
      <c r="G1086">
        <v>1084</v>
      </c>
      <c r="H1086">
        <f>IF(Table1[[#This Row],[my_ent_1]]=Table1[[#This Row],[their_ent_1]], 1, 0)</f>
        <v>0</v>
      </c>
      <c r="I1086">
        <f>IF(Table1[[#This Row],[my_ent_2]]=Table1[[#This Row],[their_ent_2]], 1, 0)</f>
        <v>1</v>
      </c>
      <c r="J1086">
        <f>IF(Table1[[#This Row],[same_1]]=1 &amp; Table1[[#This Row],[same_2]]=1, 1, 0)</f>
        <v>0</v>
      </c>
      <c r="K1086">
        <f>IF(ISNUMBER(SEARCH(Table1[[#This Row],[their_ent_1]],Table1[[#This Row],[my_ent_1]])), 1, 0)</f>
        <v>0</v>
      </c>
      <c r="L1086">
        <f>IF(ISNUMBER(SEARCH(Table1[[#This Row],[their_ent_2]],Table1[[#This Row],[my_ent_2]])), 1, 0)</f>
        <v>1</v>
      </c>
    </row>
    <row r="1087" spans="1:12" x14ac:dyDescent="0.3">
      <c r="A1087" t="s">
        <v>3292</v>
      </c>
      <c r="B1087" t="s">
        <v>3293</v>
      </c>
      <c r="C1087" t="s">
        <v>3293</v>
      </c>
      <c r="D1087" t="s">
        <v>20</v>
      </c>
      <c r="E1087" t="s">
        <v>407</v>
      </c>
      <c r="F1087">
        <v>3</v>
      </c>
      <c r="G1087">
        <v>1085</v>
      </c>
      <c r="H1087">
        <f>IF(Table1[[#This Row],[my_ent_1]]=Table1[[#This Row],[their_ent_1]], 1, 0)</f>
        <v>1</v>
      </c>
      <c r="I1087">
        <f>IF(Table1[[#This Row],[my_ent_2]]=Table1[[#This Row],[their_ent_2]], 1, 0)</f>
        <v>0</v>
      </c>
      <c r="J1087">
        <f>IF(Table1[[#This Row],[same_1]]=1 &amp; Table1[[#This Row],[same_2]]=1, 1, 0)</f>
        <v>0</v>
      </c>
      <c r="K1087">
        <f>IF(ISNUMBER(SEARCH(Table1[[#This Row],[their_ent_1]],Table1[[#This Row],[my_ent_1]])), 1, 0)</f>
        <v>1</v>
      </c>
      <c r="L1087">
        <f>IF(ISNUMBER(SEARCH(Table1[[#This Row],[their_ent_2]],Table1[[#This Row],[my_ent_2]])), 1, 0)</f>
        <v>0</v>
      </c>
    </row>
    <row r="1088" spans="1:12" x14ac:dyDescent="0.3">
      <c r="A1088" t="s">
        <v>3294</v>
      </c>
      <c r="B1088" t="s">
        <v>3295</v>
      </c>
      <c r="C1088" t="s">
        <v>3296</v>
      </c>
      <c r="D1088" t="s">
        <v>2019</v>
      </c>
      <c r="E1088" t="s">
        <v>3297</v>
      </c>
      <c r="F1088">
        <v>3</v>
      </c>
      <c r="G1088">
        <v>1086</v>
      </c>
      <c r="H1088">
        <f>IF(Table1[[#This Row],[my_ent_1]]=Table1[[#This Row],[their_ent_1]], 1, 0)</f>
        <v>0</v>
      </c>
      <c r="I1088">
        <f>IF(Table1[[#This Row],[my_ent_2]]=Table1[[#This Row],[their_ent_2]], 1, 0)</f>
        <v>0</v>
      </c>
      <c r="J1088">
        <f>IF(Table1[[#This Row],[same_1]]=1 &amp; Table1[[#This Row],[same_2]]=1, 1, 0)</f>
        <v>0</v>
      </c>
      <c r="K1088">
        <f>IF(ISNUMBER(SEARCH(Table1[[#This Row],[their_ent_1]],Table1[[#This Row],[my_ent_1]])), 1, 0)</f>
        <v>0</v>
      </c>
      <c r="L1088">
        <f>IF(ISNUMBER(SEARCH(Table1[[#This Row],[their_ent_2]],Table1[[#This Row],[my_ent_2]])), 1, 0)</f>
        <v>0</v>
      </c>
    </row>
    <row r="1089" spans="1:12" x14ac:dyDescent="0.3">
      <c r="A1089" t="s">
        <v>3298</v>
      </c>
      <c r="B1089" t="s">
        <v>3299</v>
      </c>
      <c r="C1089" t="s">
        <v>3300</v>
      </c>
      <c r="D1089" t="s">
        <v>1587</v>
      </c>
      <c r="E1089" t="s">
        <v>1587</v>
      </c>
      <c r="F1089">
        <v>2</v>
      </c>
      <c r="G1089">
        <v>1087</v>
      </c>
      <c r="H1089">
        <f>IF(Table1[[#This Row],[my_ent_1]]=Table1[[#This Row],[their_ent_1]], 1, 0)</f>
        <v>0</v>
      </c>
      <c r="I1089">
        <f>IF(Table1[[#This Row],[my_ent_2]]=Table1[[#This Row],[their_ent_2]], 1, 0)</f>
        <v>1</v>
      </c>
      <c r="J1089">
        <f>IF(Table1[[#This Row],[same_1]]=1 &amp; Table1[[#This Row],[same_2]]=1, 1, 0)</f>
        <v>0</v>
      </c>
      <c r="K1089">
        <f>IF(ISNUMBER(SEARCH(Table1[[#This Row],[their_ent_1]],Table1[[#This Row],[my_ent_1]])), 1, 0)</f>
        <v>1</v>
      </c>
      <c r="L1089">
        <f>IF(ISNUMBER(SEARCH(Table1[[#This Row],[their_ent_2]],Table1[[#This Row],[my_ent_2]])), 1, 0)</f>
        <v>1</v>
      </c>
    </row>
    <row r="1090" spans="1:12" x14ac:dyDescent="0.3">
      <c r="A1090" t="s">
        <v>3301</v>
      </c>
      <c r="B1090" t="s">
        <v>3302</v>
      </c>
      <c r="C1090" t="s">
        <v>3303</v>
      </c>
      <c r="D1090" t="s">
        <v>340</v>
      </c>
      <c r="E1090" t="s">
        <v>3304</v>
      </c>
      <c r="F1090">
        <v>4</v>
      </c>
      <c r="G1090">
        <v>1088</v>
      </c>
      <c r="H1090">
        <f>IF(Table1[[#This Row],[my_ent_1]]=Table1[[#This Row],[their_ent_1]], 1, 0)</f>
        <v>0</v>
      </c>
      <c r="I1090">
        <f>IF(Table1[[#This Row],[my_ent_2]]=Table1[[#This Row],[their_ent_2]], 1, 0)</f>
        <v>0</v>
      </c>
      <c r="J1090">
        <f>IF(Table1[[#This Row],[same_1]]=1 &amp; Table1[[#This Row],[same_2]]=1, 1, 0)</f>
        <v>0</v>
      </c>
      <c r="K1090">
        <f>IF(ISNUMBER(SEARCH(Table1[[#This Row],[their_ent_1]],Table1[[#This Row],[my_ent_1]])), 1, 0)</f>
        <v>1</v>
      </c>
      <c r="L1090">
        <f>IF(ISNUMBER(SEARCH(Table1[[#This Row],[their_ent_2]],Table1[[#This Row],[my_ent_2]])), 1, 0)</f>
        <v>0</v>
      </c>
    </row>
    <row r="1091" spans="1:12" x14ac:dyDescent="0.3">
      <c r="A1091" t="s">
        <v>3305</v>
      </c>
      <c r="B1091" t="s">
        <v>3306</v>
      </c>
      <c r="C1091" t="s">
        <v>3306</v>
      </c>
      <c r="D1091" t="s">
        <v>3307</v>
      </c>
      <c r="E1091" t="s">
        <v>3308</v>
      </c>
      <c r="F1091">
        <v>3</v>
      </c>
      <c r="G1091">
        <v>1089</v>
      </c>
      <c r="H1091">
        <f>IF(Table1[[#This Row],[my_ent_1]]=Table1[[#This Row],[their_ent_1]], 1, 0)</f>
        <v>1</v>
      </c>
      <c r="I1091">
        <f>IF(Table1[[#This Row],[my_ent_2]]=Table1[[#This Row],[their_ent_2]], 1, 0)</f>
        <v>0</v>
      </c>
      <c r="J1091">
        <f>IF(Table1[[#This Row],[same_1]]=1 &amp; Table1[[#This Row],[same_2]]=1, 1, 0)</f>
        <v>0</v>
      </c>
      <c r="K1091">
        <f>IF(ISNUMBER(SEARCH(Table1[[#This Row],[their_ent_1]],Table1[[#This Row],[my_ent_1]])), 1, 0)</f>
        <v>1</v>
      </c>
      <c r="L1091">
        <f>IF(ISNUMBER(SEARCH(Table1[[#This Row],[their_ent_2]],Table1[[#This Row],[my_ent_2]])), 1, 0)</f>
        <v>1</v>
      </c>
    </row>
    <row r="1092" spans="1:12" x14ac:dyDescent="0.3">
      <c r="A1092" t="s">
        <v>3309</v>
      </c>
      <c r="B1092" t="s">
        <v>202</v>
      </c>
      <c r="C1092" t="s">
        <v>353</v>
      </c>
      <c r="D1092" t="s">
        <v>59</v>
      </c>
      <c r="E1092" t="s">
        <v>465</v>
      </c>
      <c r="F1092">
        <v>3</v>
      </c>
      <c r="G1092">
        <v>1090</v>
      </c>
      <c r="H1092">
        <f>IF(Table1[[#This Row],[my_ent_1]]=Table1[[#This Row],[their_ent_1]], 1, 0)</f>
        <v>0</v>
      </c>
      <c r="I1092">
        <f>IF(Table1[[#This Row],[my_ent_2]]=Table1[[#This Row],[their_ent_2]], 1, 0)</f>
        <v>0</v>
      </c>
      <c r="J1092">
        <f>IF(Table1[[#This Row],[same_1]]=1 &amp; Table1[[#This Row],[same_2]]=1, 1, 0)</f>
        <v>0</v>
      </c>
      <c r="K1092">
        <f>IF(ISNUMBER(SEARCH(Table1[[#This Row],[their_ent_1]],Table1[[#This Row],[my_ent_1]])), 1, 0)</f>
        <v>1</v>
      </c>
      <c r="L1092">
        <f>IF(ISNUMBER(SEARCH(Table1[[#This Row],[their_ent_2]],Table1[[#This Row],[my_ent_2]])), 1, 0)</f>
        <v>0</v>
      </c>
    </row>
    <row r="1093" spans="1:12" x14ac:dyDescent="0.3">
      <c r="A1093" t="s">
        <v>3310</v>
      </c>
      <c r="B1093" t="s">
        <v>202</v>
      </c>
      <c r="C1093" t="s">
        <v>353</v>
      </c>
      <c r="D1093" t="s">
        <v>30</v>
      </c>
      <c r="E1093" t="s">
        <v>1450</v>
      </c>
      <c r="F1093">
        <v>3</v>
      </c>
      <c r="G1093">
        <v>1091</v>
      </c>
      <c r="H1093">
        <f>IF(Table1[[#This Row],[my_ent_1]]=Table1[[#This Row],[their_ent_1]], 1, 0)</f>
        <v>0</v>
      </c>
      <c r="I1093">
        <f>IF(Table1[[#This Row],[my_ent_2]]=Table1[[#This Row],[their_ent_2]], 1, 0)</f>
        <v>0</v>
      </c>
      <c r="J1093">
        <f>IF(Table1[[#This Row],[same_1]]=1 &amp; Table1[[#This Row],[same_2]]=1, 1, 0)</f>
        <v>0</v>
      </c>
      <c r="K1093">
        <f>IF(ISNUMBER(SEARCH(Table1[[#This Row],[their_ent_1]],Table1[[#This Row],[my_ent_1]])), 1, 0)</f>
        <v>1</v>
      </c>
      <c r="L1093">
        <f>IF(ISNUMBER(SEARCH(Table1[[#This Row],[their_ent_2]],Table1[[#This Row],[my_ent_2]])), 1, 0)</f>
        <v>0</v>
      </c>
    </row>
    <row r="1094" spans="1:12" x14ac:dyDescent="0.3">
      <c r="A1094" t="s">
        <v>3311</v>
      </c>
      <c r="B1094" t="s">
        <v>3312</v>
      </c>
      <c r="C1094" t="s">
        <v>3313</v>
      </c>
      <c r="D1094" t="s">
        <v>3314</v>
      </c>
      <c r="E1094" t="s">
        <v>3314</v>
      </c>
      <c r="F1094">
        <v>3</v>
      </c>
      <c r="G1094">
        <v>1092</v>
      </c>
      <c r="H1094">
        <f>IF(Table1[[#This Row],[my_ent_1]]=Table1[[#This Row],[their_ent_1]], 1, 0)</f>
        <v>0</v>
      </c>
      <c r="I1094">
        <f>IF(Table1[[#This Row],[my_ent_2]]=Table1[[#This Row],[their_ent_2]], 1, 0)</f>
        <v>1</v>
      </c>
      <c r="J1094">
        <f>IF(Table1[[#This Row],[same_1]]=1 &amp; Table1[[#This Row],[same_2]]=1, 1, 0)</f>
        <v>0</v>
      </c>
      <c r="K1094">
        <f>IF(ISNUMBER(SEARCH(Table1[[#This Row],[their_ent_1]],Table1[[#This Row],[my_ent_1]])), 1, 0)</f>
        <v>1</v>
      </c>
      <c r="L1094">
        <f>IF(ISNUMBER(SEARCH(Table1[[#This Row],[their_ent_2]],Table1[[#This Row],[my_ent_2]])), 1, 0)</f>
        <v>1</v>
      </c>
    </row>
    <row r="1095" spans="1:12" x14ac:dyDescent="0.3">
      <c r="A1095" t="s">
        <v>3315</v>
      </c>
      <c r="B1095" t="s">
        <v>505</v>
      </c>
      <c r="C1095" t="s">
        <v>505</v>
      </c>
      <c r="D1095" t="s">
        <v>78</v>
      </c>
      <c r="E1095" t="s">
        <v>353</v>
      </c>
      <c r="F1095">
        <v>1</v>
      </c>
      <c r="G1095">
        <v>1093</v>
      </c>
      <c r="H1095">
        <f>IF(Table1[[#This Row],[my_ent_1]]=Table1[[#This Row],[their_ent_1]], 1, 0)</f>
        <v>1</v>
      </c>
      <c r="I1095">
        <f>IF(Table1[[#This Row],[my_ent_2]]=Table1[[#This Row],[their_ent_2]], 1, 0)</f>
        <v>0</v>
      </c>
      <c r="J1095">
        <f>IF(Table1[[#This Row],[same_1]]=1 &amp; Table1[[#This Row],[same_2]]=1, 1, 0)</f>
        <v>0</v>
      </c>
      <c r="K1095">
        <f>IF(ISNUMBER(SEARCH(Table1[[#This Row],[their_ent_1]],Table1[[#This Row],[my_ent_1]])), 1, 0)</f>
        <v>1</v>
      </c>
      <c r="L1095">
        <f>IF(ISNUMBER(SEARCH(Table1[[#This Row],[their_ent_2]],Table1[[#This Row],[my_ent_2]])), 1, 0)</f>
        <v>0</v>
      </c>
    </row>
    <row r="1096" spans="1:12" x14ac:dyDescent="0.3">
      <c r="A1096" t="s">
        <v>3316</v>
      </c>
      <c r="B1096" t="s">
        <v>3317</v>
      </c>
      <c r="C1096" t="s">
        <v>3318</v>
      </c>
      <c r="D1096" t="s">
        <v>3319</v>
      </c>
      <c r="E1096" t="s">
        <v>3320</v>
      </c>
      <c r="F1096">
        <v>1</v>
      </c>
      <c r="G1096">
        <v>1094</v>
      </c>
      <c r="H1096">
        <f>IF(Table1[[#This Row],[my_ent_1]]=Table1[[#This Row],[their_ent_1]], 1, 0)</f>
        <v>0</v>
      </c>
      <c r="I1096">
        <f>IF(Table1[[#This Row],[my_ent_2]]=Table1[[#This Row],[their_ent_2]], 1, 0)</f>
        <v>0</v>
      </c>
      <c r="J1096">
        <f>IF(Table1[[#This Row],[same_1]]=1 &amp; Table1[[#This Row],[same_2]]=1, 1, 0)</f>
        <v>0</v>
      </c>
      <c r="K1096">
        <f>IF(ISNUMBER(SEARCH(Table1[[#This Row],[their_ent_1]],Table1[[#This Row],[my_ent_1]])), 1, 0)</f>
        <v>0</v>
      </c>
      <c r="L1096">
        <f>IF(ISNUMBER(SEARCH(Table1[[#This Row],[their_ent_2]],Table1[[#This Row],[my_ent_2]])), 1, 0)</f>
        <v>1</v>
      </c>
    </row>
    <row r="1097" spans="1:12" x14ac:dyDescent="0.3">
      <c r="A1097" t="s">
        <v>2467</v>
      </c>
      <c r="B1097" t="s">
        <v>2468</v>
      </c>
      <c r="C1097" t="s">
        <v>2469</v>
      </c>
      <c r="D1097" t="s">
        <v>2469</v>
      </c>
      <c r="E1097" t="s">
        <v>2470</v>
      </c>
      <c r="F1097">
        <v>3</v>
      </c>
      <c r="G1097">
        <v>1095</v>
      </c>
      <c r="H1097">
        <f>IF(Table1[[#This Row],[my_ent_1]]=Table1[[#This Row],[their_ent_1]], 1, 0)</f>
        <v>0</v>
      </c>
      <c r="I1097">
        <f>IF(Table1[[#This Row],[my_ent_2]]=Table1[[#This Row],[their_ent_2]], 1, 0)</f>
        <v>0</v>
      </c>
      <c r="J1097">
        <f>IF(Table1[[#This Row],[same_1]]=1 &amp; Table1[[#This Row],[same_2]]=1, 1, 0)</f>
        <v>0</v>
      </c>
      <c r="K1097">
        <f>IF(ISNUMBER(SEARCH(Table1[[#This Row],[their_ent_1]],Table1[[#This Row],[my_ent_1]])), 1, 0)</f>
        <v>0</v>
      </c>
      <c r="L1097">
        <f>IF(ISNUMBER(SEARCH(Table1[[#This Row],[their_ent_2]],Table1[[#This Row],[my_ent_2]])), 1, 0)</f>
        <v>0</v>
      </c>
    </row>
    <row r="1098" spans="1:12" x14ac:dyDescent="0.3">
      <c r="A1098" t="s">
        <v>3321</v>
      </c>
      <c r="B1098" t="s">
        <v>3322</v>
      </c>
      <c r="C1098" t="s">
        <v>198</v>
      </c>
      <c r="D1098" t="s">
        <v>3323</v>
      </c>
      <c r="E1098" t="s">
        <v>3323</v>
      </c>
      <c r="F1098">
        <v>4</v>
      </c>
      <c r="G1098">
        <v>1096</v>
      </c>
      <c r="H1098">
        <f>IF(Table1[[#This Row],[my_ent_1]]=Table1[[#This Row],[their_ent_1]], 1, 0)</f>
        <v>0</v>
      </c>
      <c r="I1098">
        <f>IF(Table1[[#This Row],[my_ent_2]]=Table1[[#This Row],[their_ent_2]], 1, 0)</f>
        <v>1</v>
      </c>
      <c r="J1098">
        <f>IF(Table1[[#This Row],[same_1]]=1 &amp; Table1[[#This Row],[same_2]]=1, 1, 0)</f>
        <v>0</v>
      </c>
      <c r="K1098">
        <f>IF(ISNUMBER(SEARCH(Table1[[#This Row],[their_ent_1]],Table1[[#This Row],[my_ent_1]])), 1, 0)</f>
        <v>1</v>
      </c>
      <c r="L1098">
        <f>IF(ISNUMBER(SEARCH(Table1[[#This Row],[their_ent_2]],Table1[[#This Row],[my_ent_2]])), 1, 0)</f>
        <v>1</v>
      </c>
    </row>
    <row r="1099" spans="1:12" x14ac:dyDescent="0.3">
      <c r="A1099" t="s">
        <v>3324</v>
      </c>
      <c r="B1099" t="s">
        <v>20</v>
      </c>
      <c r="C1099" t="s">
        <v>3325</v>
      </c>
      <c r="D1099" t="s">
        <v>3325</v>
      </c>
      <c r="E1099" t="s">
        <v>2441</v>
      </c>
      <c r="F1099">
        <v>1</v>
      </c>
      <c r="G1099">
        <v>1097</v>
      </c>
      <c r="H1099">
        <f>IF(Table1[[#This Row],[my_ent_1]]=Table1[[#This Row],[their_ent_1]], 1, 0)</f>
        <v>0</v>
      </c>
      <c r="I1099">
        <f>IF(Table1[[#This Row],[my_ent_2]]=Table1[[#This Row],[their_ent_2]], 1, 0)</f>
        <v>0</v>
      </c>
      <c r="J1099">
        <f>IF(Table1[[#This Row],[same_1]]=1 &amp; Table1[[#This Row],[same_2]]=1, 1, 0)</f>
        <v>0</v>
      </c>
      <c r="K1099">
        <f>IF(ISNUMBER(SEARCH(Table1[[#This Row],[their_ent_1]],Table1[[#This Row],[my_ent_1]])), 1, 0)</f>
        <v>0</v>
      </c>
      <c r="L1099">
        <f>IF(ISNUMBER(SEARCH(Table1[[#This Row],[their_ent_2]],Table1[[#This Row],[my_ent_2]])), 1, 0)</f>
        <v>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df_comparing_wrong_new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Anastasiia Belkina</dc:creator>
  <cp:lastModifiedBy>Anastasiia Belkina</cp:lastModifiedBy>
  <dcterms:created xsi:type="dcterms:W3CDTF">2024-06-29T09:23:15Z</dcterms:created>
  <dcterms:modified xsi:type="dcterms:W3CDTF">2024-06-29T10:55:42Z</dcterms:modified>
</cp:coreProperties>
</file>