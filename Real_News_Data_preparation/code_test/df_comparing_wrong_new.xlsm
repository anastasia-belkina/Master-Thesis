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workbookPr defaultThemeVersion="202300"/>
  <mc:AlternateContent xmlns:mc="http://schemas.openxmlformats.org/markup-compatibility/2006">
    <mc:Choice Requires="x15">
      <x15ac:absPath xmlns:x15ac="http://schemas.microsoft.com/office/spreadsheetml/2010/11/ac" url="C:\Users\Anastasiia Belkina\MANNHEIM\MASTER_THESIS_CODE\Real_News_Data_preparation\code_test\"/>
    </mc:Choice>
  </mc:AlternateContent>
  <xr:revisionPtr revIDLastSave="0" documentId="13_ncr:1_{22ED8DE7-4FDF-402F-A9E8-4079E9B94C05}" xr6:coauthVersionLast="47" xr6:coauthVersionMax="47" xr10:uidLastSave="{00000000-0000-0000-0000-000000000000}"/>
  <bookViews>
    <workbookView xWindow="28680" yWindow="-120" windowWidth="29040" windowHeight="15720" activeTab="1" xr2:uid="{0CDB8BD5-1410-4F14-8E3B-6E6F5B706C65}"/>
  </bookViews>
  <sheets>
    <sheet name="df_comparing_wrong_new" sheetId="1" r:id="rId1"/>
    <sheet name="Sheet1"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1" i="1" l="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I2" i="1"/>
  <c r="I3" i="1"/>
  <c r="I4" i="1"/>
  <c r="I5" i="1"/>
  <c r="I6" i="1"/>
  <c r="I7" i="1"/>
  <c r="I8" i="1"/>
  <c r="I9" i="1"/>
  <c r="I10" i="1"/>
  <c r="I11" i="1"/>
  <c r="I12" i="1"/>
  <c r="I13" i="1"/>
  <c r="I14" i="1"/>
  <c r="I15" i="1"/>
  <c r="I16" i="1"/>
  <c r="I17" i="1"/>
  <c r="I18" i="1"/>
  <c r="I19" i="1"/>
  <c r="I20"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H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A100" i="1"/>
  <c r="A199" i="1"/>
  <c r="A443" i="1"/>
  <c r="B1072" i="1"/>
  <c r="H1072" i="1" s="1"/>
  <c r="K1072" i="1" l="1"/>
  <c r="J1203" i="1"/>
  <c r="J1195" i="1"/>
  <c r="J1187" i="1"/>
  <c r="J1179" i="1"/>
  <c r="J1171" i="1"/>
  <c r="J1163" i="1"/>
  <c r="J1155" i="1"/>
  <c r="J1147" i="1"/>
  <c r="J1139" i="1"/>
  <c r="J1131" i="1"/>
  <c r="J1123" i="1"/>
  <c r="J1115" i="1"/>
  <c r="J1107" i="1"/>
  <c r="J1099" i="1"/>
  <c r="J1091" i="1"/>
  <c r="J1083" i="1"/>
  <c r="J1075" i="1"/>
  <c r="J1066" i="1"/>
  <c r="J1058" i="1"/>
  <c r="J1050" i="1"/>
  <c r="J1042" i="1"/>
  <c r="J1034" i="1"/>
  <c r="J1026" i="1"/>
  <c r="J1018" i="1"/>
  <c r="J1010" i="1"/>
  <c r="J1002" i="1"/>
  <c r="J994" i="1"/>
  <c r="J986" i="1"/>
  <c r="J978" i="1"/>
  <c r="J970" i="1"/>
  <c r="J962" i="1"/>
  <c r="J954" i="1"/>
  <c r="J946" i="1"/>
  <c r="J938" i="1"/>
  <c r="J930" i="1"/>
  <c r="J922" i="1"/>
  <c r="J914" i="1"/>
  <c r="J906" i="1"/>
  <c r="J898" i="1"/>
  <c r="J890" i="1"/>
  <c r="J882" i="1"/>
  <c r="J874" i="1"/>
  <c r="J866" i="1"/>
  <c r="J858" i="1"/>
  <c r="J850" i="1"/>
  <c r="J842" i="1"/>
  <c r="J834" i="1"/>
  <c r="J826" i="1"/>
  <c r="J818" i="1"/>
  <c r="J810" i="1"/>
  <c r="J802" i="1"/>
  <c r="J794" i="1"/>
  <c r="J786" i="1"/>
  <c r="J778" i="1"/>
  <c r="J770" i="1"/>
  <c r="J762" i="1"/>
  <c r="J754" i="1"/>
  <c r="J746" i="1"/>
  <c r="J738" i="1"/>
  <c r="J730" i="1"/>
  <c r="J722" i="1"/>
  <c r="J714" i="1"/>
  <c r="J706" i="1"/>
  <c r="J698" i="1"/>
  <c r="J690" i="1"/>
  <c r="J682" i="1"/>
  <c r="J674" i="1"/>
  <c r="J666" i="1"/>
  <c r="J658" i="1"/>
  <c r="J1132" i="1"/>
  <c r="J1116" i="1"/>
  <c r="J1059" i="1"/>
  <c r="J1043" i="1"/>
  <c r="J1027" i="1"/>
  <c r="J1011" i="1"/>
  <c r="J995" i="1"/>
  <c r="J979" i="1"/>
  <c r="J963" i="1"/>
  <c r="J947" i="1"/>
  <c r="J931" i="1"/>
  <c r="J915" i="1"/>
  <c r="J899" i="1"/>
  <c r="J883" i="1"/>
  <c r="J867" i="1"/>
  <c r="J851" i="1"/>
  <c r="J835" i="1"/>
  <c r="J819" i="1"/>
  <c r="J803" i="1"/>
  <c r="J779" i="1"/>
  <c r="J771" i="1"/>
  <c r="J747" i="1"/>
  <c r="J731" i="1"/>
  <c r="J715" i="1"/>
  <c r="J699" i="1"/>
  <c r="J675" i="1"/>
  <c r="J659" i="1"/>
  <c r="J643" i="1"/>
  <c r="J627" i="1"/>
  <c r="J611" i="1"/>
  <c r="J595" i="1"/>
  <c r="J579" i="1"/>
  <c r="J563" i="1"/>
  <c r="J547" i="1"/>
  <c r="J531" i="1"/>
  <c r="J515" i="1"/>
  <c r="J491" i="1"/>
  <c r="J475" i="1"/>
  <c r="J1202" i="1"/>
  <c r="J1178" i="1"/>
  <c r="J1162" i="1"/>
  <c r="J1146" i="1"/>
  <c r="J1130" i="1"/>
  <c r="J1114" i="1"/>
  <c r="J1090" i="1"/>
  <c r="J1074" i="1"/>
  <c r="J1204" i="1"/>
  <c r="J1196" i="1"/>
  <c r="J1188" i="1"/>
  <c r="J1180" i="1"/>
  <c r="J1172" i="1"/>
  <c r="J1164" i="1"/>
  <c r="J1156" i="1"/>
  <c r="J1148" i="1"/>
  <c r="J1140" i="1"/>
  <c r="J1124" i="1"/>
  <c r="J1067" i="1"/>
  <c r="J1051" i="1"/>
  <c r="J1035" i="1"/>
  <c r="J1019" i="1"/>
  <c r="J1003" i="1"/>
  <c r="J987" i="1"/>
  <c r="J971" i="1"/>
  <c r="J955" i="1"/>
  <c r="J939" i="1"/>
  <c r="J923" i="1"/>
  <c r="J907" i="1"/>
  <c r="J891" i="1"/>
  <c r="J875" i="1"/>
  <c r="J859" i="1"/>
  <c r="J843" i="1"/>
  <c r="J827" i="1"/>
  <c r="J811" i="1"/>
  <c r="J795" i="1"/>
  <c r="J787" i="1"/>
  <c r="J763" i="1"/>
  <c r="J755" i="1"/>
  <c r="J739" i="1"/>
  <c r="J723" i="1"/>
  <c r="J707" i="1"/>
  <c r="J691" i="1"/>
  <c r="J683" i="1"/>
  <c r="J667" i="1"/>
  <c r="J651" i="1"/>
  <c r="J635" i="1"/>
  <c r="J619" i="1"/>
  <c r="J603" i="1"/>
  <c r="J587" i="1"/>
  <c r="J571" i="1"/>
  <c r="J555" i="1"/>
  <c r="J539" i="1"/>
  <c r="J523" i="1"/>
  <c r="J507" i="1"/>
  <c r="J499" i="1"/>
  <c r="J483" i="1"/>
  <c r="J1194" i="1"/>
  <c r="J1186" i="1"/>
  <c r="J1170" i="1"/>
  <c r="J1154" i="1"/>
  <c r="J1138" i="1"/>
  <c r="J1122" i="1"/>
  <c r="J1106" i="1"/>
  <c r="J1098" i="1"/>
  <c r="J1082" i="1"/>
  <c r="J467" i="1"/>
  <c r="J1185" i="1"/>
  <c r="J1177" i="1"/>
  <c r="J1169" i="1"/>
  <c r="J1161" i="1"/>
  <c r="J1153" i="1"/>
  <c r="J1145" i="1"/>
  <c r="J1137" i="1"/>
  <c r="J1129" i="1"/>
  <c r="J1121" i="1"/>
  <c r="J1113" i="1"/>
  <c r="J1105" i="1"/>
  <c r="J1097" i="1"/>
  <c r="J1089" i="1"/>
  <c r="J1081" i="1"/>
  <c r="J1073" i="1"/>
  <c r="J1065" i="1"/>
  <c r="J1057" i="1"/>
  <c r="J1049" i="1"/>
  <c r="J1041" i="1"/>
  <c r="J1033" i="1"/>
  <c r="J1025" i="1"/>
  <c r="J1017" i="1"/>
  <c r="J1009" i="1"/>
  <c r="J1001" i="1"/>
  <c r="J993" i="1"/>
  <c r="J985" i="1"/>
  <c r="J977" i="1"/>
  <c r="J969" i="1"/>
  <c r="J961" i="1"/>
  <c r="J953" i="1"/>
  <c r="J945" i="1"/>
  <c r="J937" i="1"/>
  <c r="J929" i="1"/>
  <c r="J921" i="1"/>
  <c r="J913" i="1"/>
  <c r="J905" i="1"/>
  <c r="J897" i="1"/>
  <c r="J889" i="1"/>
  <c r="J881" i="1"/>
  <c r="J873" i="1"/>
  <c r="J865" i="1"/>
  <c r="J857" i="1"/>
  <c r="J849" i="1"/>
  <c r="J841" i="1"/>
  <c r="J833" i="1"/>
  <c r="J825" i="1"/>
  <c r="J817" i="1"/>
  <c r="J809" i="1"/>
  <c r="J801" i="1"/>
  <c r="J793" i="1"/>
  <c r="J785" i="1"/>
  <c r="J777" i="1"/>
  <c r="J769" i="1"/>
  <c r="J761" i="1"/>
  <c r="J753" i="1"/>
  <c r="J745" i="1"/>
  <c r="J737" i="1"/>
  <c r="J729" i="1"/>
  <c r="J721" i="1"/>
  <c r="J713" i="1"/>
  <c r="J705" i="1"/>
  <c r="J697" i="1"/>
  <c r="J689" i="1"/>
  <c r="J681" i="1"/>
  <c r="J673" i="1"/>
  <c r="J665" i="1"/>
  <c r="J657" i="1"/>
  <c r="J649" i="1"/>
  <c r="J641" i="1"/>
  <c r="J633" i="1"/>
  <c r="J625" i="1"/>
  <c r="J617" i="1"/>
  <c r="J609" i="1"/>
  <c r="J601" i="1"/>
  <c r="J593" i="1"/>
  <c r="J585" i="1"/>
  <c r="J577" i="1"/>
  <c r="J569" i="1"/>
  <c r="J561" i="1"/>
  <c r="J553" i="1"/>
  <c r="J545" i="1"/>
  <c r="J537" i="1"/>
  <c r="J529" i="1"/>
  <c r="J521" i="1"/>
  <c r="J513" i="1"/>
  <c r="J505" i="1"/>
  <c r="J497" i="1"/>
  <c r="J489" i="1"/>
  <c r="J481" i="1"/>
  <c r="J473" i="1"/>
  <c r="J465" i="1"/>
  <c r="J457" i="1"/>
  <c r="J449" i="1"/>
  <c r="J441" i="1"/>
  <c r="J433" i="1"/>
  <c r="J425" i="1"/>
  <c r="J417" i="1"/>
  <c r="J409" i="1"/>
  <c r="J401" i="1"/>
  <c r="J393" i="1"/>
  <c r="J385" i="1"/>
  <c r="J377" i="1"/>
  <c r="J369" i="1"/>
  <c r="J361" i="1"/>
  <c r="J1193" i="1"/>
  <c r="J1201" i="1"/>
  <c r="J1205" i="1"/>
  <c r="J1197" i="1"/>
  <c r="J1189" i="1"/>
  <c r="J1181" i="1"/>
  <c r="J1173" i="1"/>
  <c r="J1165" i="1"/>
  <c r="J1157" i="1"/>
  <c r="J1149" i="1"/>
  <c r="J1141" i="1"/>
  <c r="J1133" i="1"/>
  <c r="J1125" i="1"/>
  <c r="J1117" i="1"/>
  <c r="J1109" i="1"/>
  <c r="J1101" i="1"/>
  <c r="J1093" i="1"/>
  <c r="J1085" i="1"/>
  <c r="J1077" i="1"/>
  <c r="J1069" i="1"/>
  <c r="J1061" i="1"/>
  <c r="J1053" i="1"/>
  <c r="J1045" i="1"/>
  <c r="J1037" i="1"/>
  <c r="J1029" i="1"/>
  <c r="J1021" i="1"/>
  <c r="J1013" i="1"/>
  <c r="J1005" i="1"/>
  <c r="J997" i="1"/>
  <c r="J989" i="1"/>
  <c r="J981" i="1"/>
  <c r="J973" i="1"/>
  <c r="J965" i="1"/>
  <c r="J957" i="1"/>
  <c r="J949" i="1"/>
  <c r="J941" i="1"/>
  <c r="J933" i="1"/>
  <c r="J925" i="1"/>
  <c r="J917" i="1"/>
  <c r="J909" i="1"/>
  <c r="J901" i="1"/>
  <c r="J893" i="1"/>
  <c r="J885" i="1"/>
  <c r="J877" i="1"/>
  <c r="J869" i="1"/>
  <c r="J861" i="1"/>
  <c r="J853" i="1"/>
  <c r="J845" i="1"/>
  <c r="J837" i="1"/>
  <c r="J829" i="1"/>
  <c r="J821" i="1"/>
  <c r="J813" i="1"/>
  <c r="J805" i="1"/>
  <c r="J797" i="1"/>
  <c r="J789" i="1"/>
  <c r="J781" i="1"/>
  <c r="J773" i="1"/>
  <c r="J765" i="1"/>
  <c r="J757" i="1"/>
  <c r="J749" i="1"/>
  <c r="J741" i="1"/>
  <c r="J733" i="1"/>
  <c r="J725" i="1"/>
  <c r="J717" i="1"/>
  <c r="J353" i="1"/>
  <c r="J345" i="1"/>
  <c r="J337" i="1"/>
  <c r="J329" i="1"/>
  <c r="J321" i="1"/>
  <c r="J313" i="1"/>
  <c r="J305" i="1"/>
  <c r="J297" i="1"/>
  <c r="J289" i="1"/>
  <c r="J281" i="1"/>
  <c r="J273" i="1"/>
  <c r="J265" i="1"/>
  <c r="J257" i="1"/>
  <c r="J249" i="1"/>
  <c r="J241" i="1"/>
  <c r="J233" i="1"/>
  <c r="J225" i="1"/>
  <c r="J217" i="1"/>
  <c r="J209" i="1"/>
  <c r="J201" i="1"/>
  <c r="J193" i="1"/>
  <c r="J185" i="1"/>
  <c r="J177" i="1"/>
  <c r="J169" i="1"/>
  <c r="J161" i="1"/>
  <c r="J153" i="1"/>
  <c r="J145" i="1"/>
  <c r="J137" i="1"/>
  <c r="J129" i="1"/>
  <c r="J121" i="1"/>
  <c r="J113" i="1"/>
  <c r="J105" i="1"/>
  <c r="J97" i="1"/>
  <c r="J89" i="1"/>
  <c r="J81" i="1"/>
  <c r="J73" i="1"/>
  <c r="J65" i="1"/>
  <c r="J57" i="1"/>
  <c r="J49" i="1"/>
  <c r="J41" i="1"/>
  <c r="J33" i="1"/>
  <c r="J25" i="1"/>
  <c r="J17" i="1"/>
  <c r="J9" i="1"/>
  <c r="J670" i="1"/>
  <c r="J638" i="1"/>
  <c r="J622" i="1"/>
  <c r="J606" i="1"/>
  <c r="J590" i="1"/>
  <c r="J574" i="1"/>
  <c r="J558" i="1"/>
  <c r="J542" i="1"/>
  <c r="J526" i="1"/>
  <c r="J510" i="1"/>
  <c r="J494" i="1"/>
  <c r="J478" i="1"/>
  <c r="J462" i="1"/>
  <c r="J446" i="1"/>
  <c r="J430" i="1"/>
  <c r="J414" i="1"/>
  <c r="J398" i="1"/>
  <c r="J382" i="1"/>
  <c r="J366" i="1"/>
  <c r="J350" i="1"/>
  <c r="J334" i="1"/>
  <c r="J318" i="1"/>
  <c r="J302" i="1"/>
  <c r="J286" i="1"/>
  <c r="J270" i="1"/>
  <c r="J254" i="1"/>
  <c r="J238" i="1"/>
  <c r="J222" i="1"/>
  <c r="J206" i="1"/>
  <c r="J190" i="1"/>
  <c r="J174" i="1"/>
  <c r="J158" i="1"/>
  <c r="J142" i="1"/>
  <c r="J126" i="1"/>
  <c r="J110" i="1"/>
  <c r="J94" i="1"/>
  <c r="J78" i="1"/>
  <c r="J62" i="1"/>
  <c r="J46" i="1"/>
  <c r="J30" i="1"/>
  <c r="J14" i="1"/>
  <c r="J709" i="1"/>
  <c r="J701" i="1"/>
  <c r="J693" i="1"/>
  <c r="J685" i="1"/>
  <c r="J650" i="1"/>
  <c r="J642" i="1"/>
  <c r="J634" i="1"/>
  <c r="J626" i="1"/>
  <c r="J618" i="1"/>
  <c r="J610" i="1"/>
  <c r="J602" i="1"/>
  <c r="J594" i="1"/>
  <c r="J586" i="1"/>
  <c r="J578" i="1"/>
  <c r="J570" i="1"/>
  <c r="J562" i="1"/>
  <c r="J554" i="1"/>
  <c r="J546" i="1"/>
  <c r="J538" i="1"/>
  <c r="J530" i="1"/>
  <c r="J522" i="1"/>
  <c r="J514" i="1"/>
  <c r="J506" i="1"/>
  <c r="J498" i="1"/>
  <c r="J490" i="1"/>
  <c r="J482" i="1"/>
  <c r="J474" i="1"/>
  <c r="J466" i="1"/>
  <c r="J458" i="1"/>
  <c r="J450" i="1"/>
  <c r="J442" i="1"/>
  <c r="J434" i="1"/>
  <c r="J426" i="1"/>
  <c r="J418" i="1"/>
  <c r="J410" i="1"/>
  <c r="J402" i="1"/>
  <c r="J394" i="1"/>
  <c r="J386" i="1"/>
  <c r="J378" i="1"/>
  <c r="J370" i="1"/>
  <c r="J362" i="1"/>
  <c r="J354" i="1"/>
  <c r="J346" i="1"/>
  <c r="J338" i="1"/>
  <c r="J330" i="1"/>
  <c r="J322" i="1"/>
  <c r="J314" i="1"/>
  <c r="J306" i="1"/>
  <c r="J298" i="1"/>
  <c r="J290" i="1"/>
  <c r="J282" i="1"/>
  <c r="J274" i="1"/>
  <c r="J266" i="1"/>
  <c r="J258" i="1"/>
  <c r="J250" i="1"/>
  <c r="J242" i="1"/>
  <c r="J234" i="1"/>
  <c r="J226" i="1"/>
  <c r="J218" i="1"/>
  <c r="J210" i="1"/>
  <c r="J202" i="1"/>
  <c r="J194" i="1"/>
  <c r="J186" i="1"/>
  <c r="J178" i="1"/>
  <c r="J170" i="1"/>
  <c r="J162" i="1"/>
  <c r="J154" i="1"/>
  <c r="J146" i="1"/>
  <c r="J138" i="1"/>
  <c r="J130" i="1"/>
  <c r="J122" i="1"/>
  <c r="J114" i="1"/>
  <c r="J106" i="1"/>
  <c r="J98" i="1"/>
  <c r="J90" i="1"/>
  <c r="J82" i="1"/>
  <c r="J74" i="1"/>
  <c r="J66" i="1"/>
  <c r="J58" i="1"/>
  <c r="J50" i="1"/>
  <c r="J42" i="1"/>
  <c r="J34" i="1"/>
  <c r="J26" i="1"/>
  <c r="J18" i="1"/>
  <c r="J10" i="1"/>
  <c r="J2" i="1"/>
  <c r="J1108" i="1"/>
  <c r="J1100" i="1"/>
  <c r="J1092" i="1"/>
  <c r="J1084" i="1"/>
  <c r="J1076" i="1"/>
  <c r="J1068" i="1"/>
  <c r="J1060" i="1"/>
  <c r="J1052" i="1"/>
  <c r="J1044" i="1"/>
  <c r="J1036" i="1"/>
  <c r="J1028" i="1"/>
  <c r="J1020" i="1"/>
  <c r="J1012" i="1"/>
  <c r="J1004" i="1"/>
  <c r="J996" i="1"/>
  <c r="J988" i="1"/>
  <c r="J980" i="1"/>
  <c r="J972" i="1"/>
  <c r="J964" i="1"/>
  <c r="J956" i="1"/>
  <c r="J948" i="1"/>
  <c r="J940" i="1"/>
  <c r="J932" i="1"/>
  <c r="J924" i="1"/>
  <c r="J916" i="1"/>
  <c r="J908" i="1"/>
  <c r="J900" i="1"/>
  <c r="J892" i="1"/>
  <c r="J884" i="1"/>
  <c r="J876" i="1"/>
  <c r="J868" i="1"/>
  <c r="J860" i="1"/>
  <c r="J852" i="1"/>
  <c r="J844" i="1"/>
  <c r="J836" i="1"/>
  <c r="J828" i="1"/>
  <c r="J820" i="1"/>
  <c r="J812" i="1"/>
  <c r="J804" i="1"/>
  <c r="J796" i="1"/>
  <c r="J788" i="1"/>
  <c r="J780" i="1"/>
  <c r="J772" i="1"/>
  <c r="J764" i="1"/>
  <c r="J756" i="1"/>
  <c r="J748" i="1"/>
  <c r="J740" i="1"/>
  <c r="J732" i="1"/>
  <c r="J724" i="1"/>
  <c r="J716" i="1"/>
  <c r="J708" i="1"/>
  <c r="J700" i="1"/>
  <c r="J692" i="1"/>
  <c r="J684" i="1"/>
  <c r="J676" i="1"/>
  <c r="J668" i="1"/>
  <c r="J660" i="1"/>
  <c r="J652" i="1"/>
  <c r="J644" i="1"/>
  <c r="J636" i="1"/>
  <c r="J628" i="1"/>
  <c r="J620" i="1"/>
  <c r="J612" i="1"/>
  <c r="J604" i="1"/>
  <c r="J596" i="1"/>
  <c r="J588" i="1"/>
  <c r="J580" i="1"/>
  <c r="J572" i="1"/>
  <c r="J564" i="1"/>
  <c r="J556" i="1"/>
  <c r="J548" i="1"/>
  <c r="J540" i="1"/>
  <c r="J532" i="1"/>
  <c r="J524" i="1"/>
  <c r="J516" i="1"/>
  <c r="J508" i="1"/>
  <c r="J500" i="1"/>
  <c r="J492" i="1"/>
  <c r="J484" i="1"/>
  <c r="J476" i="1"/>
  <c r="J468" i="1"/>
  <c r="J460" i="1"/>
  <c r="J452" i="1"/>
  <c r="J444" i="1"/>
  <c r="J436" i="1"/>
  <c r="J428" i="1"/>
  <c r="J420" i="1"/>
  <c r="J412" i="1"/>
  <c r="J404" i="1"/>
  <c r="J396" i="1"/>
  <c r="J388" i="1"/>
  <c r="J380" i="1"/>
  <c r="J372" i="1"/>
  <c r="J364" i="1"/>
  <c r="J356" i="1"/>
  <c r="J348" i="1"/>
  <c r="J340" i="1"/>
  <c r="J332" i="1"/>
  <c r="J324" i="1"/>
  <c r="J316" i="1"/>
  <c r="J308" i="1"/>
  <c r="J300" i="1"/>
  <c r="J292" i="1"/>
  <c r="J284" i="1"/>
  <c r="J276" i="1"/>
  <c r="J268" i="1"/>
  <c r="J260" i="1"/>
  <c r="J252" i="1"/>
  <c r="J244" i="1"/>
  <c r="J236" i="1"/>
  <c r="J228" i="1"/>
  <c r="J220" i="1"/>
  <c r="J212" i="1"/>
  <c r="J204" i="1"/>
  <c r="J196" i="1"/>
  <c r="J188" i="1"/>
  <c r="J180" i="1"/>
  <c r="J172" i="1"/>
  <c r="J164" i="1"/>
  <c r="J156" i="1"/>
  <c r="J148" i="1"/>
  <c r="J140" i="1"/>
  <c r="J132" i="1"/>
  <c r="J124" i="1"/>
  <c r="J116" i="1"/>
  <c r="J108" i="1"/>
  <c r="J100" i="1"/>
  <c r="J92" i="1"/>
  <c r="J84" i="1"/>
  <c r="J76" i="1"/>
  <c r="J68" i="1"/>
  <c r="J60" i="1"/>
  <c r="J52" i="1"/>
  <c r="J44" i="1"/>
  <c r="J36" i="1"/>
  <c r="J28" i="1"/>
  <c r="J20" i="1"/>
  <c r="J12" i="1"/>
  <c r="J4" i="1"/>
  <c r="J459" i="1"/>
  <c r="J451" i="1"/>
  <c r="J443" i="1"/>
  <c r="J435" i="1"/>
  <c r="J427" i="1"/>
  <c r="J419" i="1"/>
  <c r="J411" i="1"/>
  <c r="J403" i="1"/>
  <c r="J395" i="1"/>
  <c r="J387" i="1"/>
  <c r="J379" i="1"/>
  <c r="J371" i="1"/>
  <c r="J363" i="1"/>
  <c r="J355" i="1"/>
  <c r="J347" i="1"/>
  <c r="J339" i="1"/>
  <c r="J331" i="1"/>
  <c r="J323" i="1"/>
  <c r="J315" i="1"/>
  <c r="J307" i="1"/>
  <c r="J299" i="1"/>
  <c r="J291" i="1"/>
  <c r="J283" i="1"/>
  <c r="J275" i="1"/>
  <c r="J267" i="1"/>
  <c r="J259" i="1"/>
  <c r="J251" i="1"/>
  <c r="J243" i="1"/>
  <c r="J235" i="1"/>
  <c r="J227" i="1"/>
  <c r="J219" i="1"/>
  <c r="J211" i="1"/>
  <c r="J203" i="1"/>
  <c r="J195" i="1"/>
  <c r="J187" i="1"/>
  <c r="J179" i="1"/>
  <c r="J171" i="1"/>
  <c r="J163" i="1"/>
  <c r="J155" i="1"/>
  <c r="J147" i="1"/>
  <c r="J139" i="1"/>
  <c r="J131" i="1"/>
  <c r="J123" i="1"/>
  <c r="J115" i="1"/>
  <c r="J107" i="1"/>
  <c r="J99" i="1"/>
  <c r="J91" i="1"/>
  <c r="J83" i="1"/>
  <c r="J75" i="1"/>
  <c r="J67" i="1"/>
  <c r="J59" i="1"/>
  <c r="J51" i="1"/>
  <c r="J43" i="1"/>
  <c r="J35" i="1"/>
  <c r="J27" i="1"/>
  <c r="J19" i="1"/>
  <c r="J11" i="1"/>
  <c r="J3" i="1"/>
  <c r="J672" i="1"/>
  <c r="J640" i="1"/>
  <c r="J608" i="1"/>
  <c r="J576" i="1"/>
  <c r="J544" i="1"/>
  <c r="J512" i="1"/>
  <c r="J480" i="1"/>
  <c r="J448" i="1"/>
  <c r="J416" i="1"/>
  <c r="J384" i="1"/>
  <c r="J352" i="1"/>
  <c r="J320" i="1"/>
  <c r="J288" i="1"/>
  <c r="J256" i="1"/>
  <c r="J224" i="1"/>
  <c r="J192" i="1"/>
  <c r="J160" i="1"/>
  <c r="J128" i="1"/>
  <c r="J96" i="1"/>
  <c r="J64" i="1"/>
  <c r="J32" i="1"/>
  <c r="J671" i="1"/>
  <c r="J655" i="1"/>
  <c r="J639" i="1"/>
  <c r="J623" i="1"/>
  <c r="J607" i="1"/>
  <c r="J591" i="1"/>
  <c r="J575" i="1"/>
  <c r="J559" i="1"/>
  <c r="J543" i="1"/>
  <c r="J527" i="1"/>
  <c r="J511" i="1"/>
  <c r="J495" i="1"/>
  <c r="J479" i="1"/>
  <c r="J463" i="1"/>
  <c r="J447" i="1"/>
  <c r="J431" i="1"/>
  <c r="J415" i="1"/>
  <c r="J399" i="1"/>
  <c r="J383" i="1"/>
  <c r="J367" i="1"/>
  <c r="J351" i="1"/>
  <c r="J335" i="1"/>
  <c r="J319" i="1"/>
  <c r="J303" i="1"/>
  <c r="J287" i="1"/>
  <c r="J271" i="1"/>
  <c r="J255" i="1"/>
  <c r="J239" i="1"/>
  <c r="J223" i="1"/>
  <c r="J207" i="1"/>
  <c r="J191" i="1"/>
  <c r="J175" i="1"/>
  <c r="J159" i="1"/>
  <c r="J143" i="1"/>
  <c r="J127" i="1"/>
  <c r="J111" i="1"/>
  <c r="J95" i="1"/>
  <c r="J79" i="1"/>
  <c r="J63" i="1"/>
  <c r="J47" i="1"/>
  <c r="J31" i="1"/>
  <c r="J15" i="1"/>
  <c r="J1184" i="1"/>
  <c r="J1144" i="1"/>
  <c r="J1120" i="1"/>
  <c r="J1096" i="1"/>
  <c r="J1080" i="1"/>
  <c r="J1056" i="1"/>
  <c r="J1032" i="1"/>
  <c r="J1008" i="1"/>
  <c r="J976" i="1"/>
  <c r="J960" i="1"/>
  <c r="J928" i="1"/>
  <c r="J624" i="1"/>
  <c r="J560" i="1"/>
  <c r="J496" i="1"/>
  <c r="J400" i="1"/>
  <c r="J336" i="1"/>
  <c r="J272" i="1"/>
  <c r="J208" i="1"/>
  <c r="J176" i="1"/>
  <c r="J144" i="1"/>
  <c r="J112" i="1"/>
  <c r="J80" i="1"/>
  <c r="J48" i="1"/>
  <c r="J16" i="1"/>
  <c r="J1168" i="1"/>
  <c r="J1128" i="1"/>
  <c r="J1088" i="1"/>
  <c r="J1064" i="1"/>
  <c r="J1040" i="1"/>
  <c r="J1016" i="1"/>
  <c r="J984" i="1"/>
  <c r="J952" i="1"/>
  <c r="J936" i="1"/>
  <c r="J1192" i="1"/>
  <c r="J1160" i="1"/>
  <c r="J1136" i="1"/>
  <c r="J1104" i="1"/>
  <c r="J1072" i="1"/>
  <c r="J1048" i="1"/>
  <c r="J1024" i="1"/>
  <c r="J1000" i="1"/>
  <c r="J992" i="1"/>
  <c r="J968" i="1"/>
  <c r="J944" i="1"/>
  <c r="J920" i="1"/>
  <c r="J656" i="1"/>
  <c r="J592" i="1"/>
  <c r="J528" i="1"/>
  <c r="J464" i="1"/>
  <c r="J432" i="1"/>
  <c r="J368" i="1"/>
  <c r="J304" i="1"/>
  <c r="J240" i="1"/>
  <c r="J654" i="1"/>
  <c r="J1200" i="1"/>
  <c r="J1176" i="1"/>
  <c r="J1152" i="1"/>
  <c r="J1112" i="1"/>
  <c r="J912" i="1"/>
  <c r="J872" i="1"/>
  <c r="J840" i="1"/>
  <c r="J808" i="1"/>
  <c r="J776" i="1"/>
  <c r="J736" i="1"/>
  <c r="J704" i="1"/>
  <c r="J680" i="1"/>
  <c r="J600" i="1"/>
  <c r="J440" i="1"/>
  <c r="J376" i="1"/>
  <c r="J328" i="1"/>
  <c r="J296" i="1"/>
  <c r="J280" i="1"/>
  <c r="J184" i="1"/>
  <c r="J152" i="1"/>
  <c r="J136" i="1"/>
  <c r="J104" i="1"/>
  <c r="J88" i="1"/>
  <c r="J72" i="1"/>
  <c r="J56" i="1"/>
  <c r="J40" i="1"/>
  <c r="J24" i="1"/>
  <c r="J8" i="1"/>
  <c r="J896" i="1"/>
  <c r="J848" i="1"/>
  <c r="J816" i="1"/>
  <c r="J784" i="1"/>
  <c r="J752" i="1"/>
  <c r="J712" i="1"/>
  <c r="J664" i="1"/>
  <c r="J568" i="1"/>
  <c r="J504" i="1"/>
  <c r="J360" i="1"/>
  <c r="J312" i="1"/>
  <c r="J1183" i="1"/>
  <c r="J1167" i="1"/>
  <c r="J1159" i="1"/>
  <c r="J1151" i="1"/>
  <c r="J1143" i="1"/>
  <c r="J1135" i="1"/>
  <c r="J1127" i="1"/>
  <c r="J1119" i="1"/>
  <c r="J1111" i="1"/>
  <c r="J1103" i="1"/>
  <c r="J1095" i="1"/>
  <c r="J1087" i="1"/>
  <c r="J1079" i="1"/>
  <c r="J1071" i="1"/>
  <c r="J1063" i="1"/>
  <c r="J1055" i="1"/>
  <c r="J1047" i="1"/>
  <c r="J1039" i="1"/>
  <c r="J1031" i="1"/>
  <c r="J1023" i="1"/>
  <c r="J1015" i="1"/>
  <c r="J1007" i="1"/>
  <c r="J999" i="1"/>
  <c r="J991" i="1"/>
  <c r="J983" i="1"/>
  <c r="J975" i="1"/>
  <c r="J967" i="1"/>
  <c r="J959" i="1"/>
  <c r="J951" i="1"/>
  <c r="J943" i="1"/>
  <c r="J935" i="1"/>
  <c r="J927" i="1"/>
  <c r="J919" i="1"/>
  <c r="J911" i="1"/>
  <c r="J903" i="1"/>
  <c r="J895" i="1"/>
  <c r="J887" i="1"/>
  <c r="J879" i="1"/>
  <c r="J871" i="1"/>
  <c r="J863" i="1"/>
  <c r="J855" i="1"/>
  <c r="J847" i="1"/>
  <c r="J839" i="1"/>
  <c r="J831" i="1"/>
  <c r="J823" i="1"/>
  <c r="J815" i="1"/>
  <c r="J807" i="1"/>
  <c r="J799" i="1"/>
  <c r="J791" i="1"/>
  <c r="J783" i="1"/>
  <c r="J775" i="1"/>
  <c r="J767" i="1"/>
  <c r="J759" i="1"/>
  <c r="J751" i="1"/>
  <c r="J743" i="1"/>
  <c r="J735" i="1"/>
  <c r="J727" i="1"/>
  <c r="J719" i="1"/>
  <c r="J711" i="1"/>
  <c r="J703" i="1"/>
  <c r="J695" i="1"/>
  <c r="J687" i="1"/>
  <c r="J679" i="1"/>
  <c r="J663" i="1"/>
  <c r="J647" i="1"/>
  <c r="J631" i="1"/>
  <c r="J615" i="1"/>
  <c r="J599" i="1"/>
  <c r="J583" i="1"/>
  <c r="J567" i="1"/>
  <c r="J551" i="1"/>
  <c r="J535" i="1"/>
  <c r="J519" i="1"/>
  <c r="J503" i="1"/>
  <c r="J487" i="1"/>
  <c r="J471" i="1"/>
  <c r="J455" i="1"/>
  <c r="J439" i="1"/>
  <c r="J423" i="1"/>
  <c r="J407" i="1"/>
  <c r="J391" i="1"/>
  <c r="J375" i="1"/>
  <c r="J359" i="1"/>
  <c r="J343" i="1"/>
  <c r="J327" i="1"/>
  <c r="J311" i="1"/>
  <c r="J295" i="1"/>
  <c r="J279" i="1"/>
  <c r="J263" i="1"/>
  <c r="J247" i="1"/>
  <c r="J231" i="1"/>
  <c r="J215" i="1"/>
  <c r="J199" i="1"/>
  <c r="J183" i="1"/>
  <c r="J167" i="1"/>
  <c r="J151" i="1"/>
  <c r="J135" i="1"/>
  <c r="J119" i="1"/>
  <c r="J103" i="1"/>
  <c r="J87" i="1"/>
  <c r="J71" i="1"/>
  <c r="J55" i="1"/>
  <c r="J39" i="1"/>
  <c r="J23" i="1"/>
  <c r="J7" i="1"/>
  <c r="J888" i="1"/>
  <c r="J856" i="1"/>
  <c r="J824" i="1"/>
  <c r="J800" i="1"/>
  <c r="J760" i="1"/>
  <c r="J728" i="1"/>
  <c r="J696" i="1"/>
  <c r="J632" i="1"/>
  <c r="J584" i="1"/>
  <c r="J536" i="1"/>
  <c r="J472" i="1"/>
  <c r="J408" i="1"/>
  <c r="J344" i="1"/>
  <c r="J248" i="1"/>
  <c r="J200" i="1"/>
  <c r="J168" i="1"/>
  <c r="J120" i="1"/>
  <c r="J1199" i="1"/>
  <c r="J1175" i="1"/>
  <c r="J1190" i="1"/>
  <c r="J1174" i="1"/>
  <c r="J1158" i="1"/>
  <c r="J1142" i="1"/>
  <c r="J1134" i="1"/>
  <c r="J1118" i="1"/>
  <c r="J1110" i="1"/>
  <c r="J1102" i="1"/>
  <c r="J1094" i="1"/>
  <c r="J1086" i="1"/>
  <c r="J1078" i="1"/>
  <c r="J1070" i="1"/>
  <c r="J1062" i="1"/>
  <c r="J1054" i="1"/>
  <c r="J1046" i="1"/>
  <c r="J1038" i="1"/>
  <c r="J1030" i="1"/>
  <c r="J1022" i="1"/>
  <c r="J1014" i="1"/>
  <c r="J1006" i="1"/>
  <c r="J998" i="1"/>
  <c r="J990" i="1"/>
  <c r="J982" i="1"/>
  <c r="J974" i="1"/>
  <c r="J966" i="1"/>
  <c r="J958" i="1"/>
  <c r="J950" i="1"/>
  <c r="J942" i="1"/>
  <c r="J934" i="1"/>
  <c r="J926" i="1"/>
  <c r="J918" i="1"/>
  <c r="J910" i="1"/>
  <c r="J902" i="1"/>
  <c r="J894" i="1"/>
  <c r="J886" i="1"/>
  <c r="J878" i="1"/>
  <c r="J870" i="1"/>
  <c r="J862" i="1"/>
  <c r="J854" i="1"/>
  <c r="J846" i="1"/>
  <c r="J838" i="1"/>
  <c r="J830" i="1"/>
  <c r="J822" i="1"/>
  <c r="J814" i="1"/>
  <c r="J806" i="1"/>
  <c r="J798" i="1"/>
  <c r="J790" i="1"/>
  <c r="J782" i="1"/>
  <c r="J774" i="1"/>
  <c r="J766" i="1"/>
  <c r="J758" i="1"/>
  <c r="J750" i="1"/>
  <c r="J742" i="1"/>
  <c r="J734" i="1"/>
  <c r="J726" i="1"/>
  <c r="J718" i="1"/>
  <c r="J710" i="1"/>
  <c r="J702" i="1"/>
  <c r="J694" i="1"/>
  <c r="J686" i="1"/>
  <c r="J678" i="1"/>
  <c r="J662" i="1"/>
  <c r="J646" i="1"/>
  <c r="J630" i="1"/>
  <c r="J614" i="1"/>
  <c r="J598" i="1"/>
  <c r="J582" i="1"/>
  <c r="J566" i="1"/>
  <c r="J550" i="1"/>
  <c r="J534" i="1"/>
  <c r="J518" i="1"/>
  <c r="J502" i="1"/>
  <c r="J486" i="1"/>
  <c r="J470" i="1"/>
  <c r="J454" i="1"/>
  <c r="J438" i="1"/>
  <c r="J422" i="1"/>
  <c r="J406" i="1"/>
  <c r="J390" i="1"/>
  <c r="J374" i="1"/>
  <c r="J358" i="1"/>
  <c r="J342" i="1"/>
  <c r="J326" i="1"/>
  <c r="J310" i="1"/>
  <c r="J294" i="1"/>
  <c r="J278" i="1"/>
  <c r="J262" i="1"/>
  <c r="J246" i="1"/>
  <c r="J230" i="1"/>
  <c r="J214" i="1"/>
  <c r="J198" i="1"/>
  <c r="J182" i="1"/>
  <c r="J166" i="1"/>
  <c r="J150" i="1"/>
  <c r="J134" i="1"/>
  <c r="J118" i="1"/>
  <c r="J102" i="1"/>
  <c r="J86" i="1"/>
  <c r="J70" i="1"/>
  <c r="J54" i="1"/>
  <c r="J38" i="1"/>
  <c r="J22" i="1"/>
  <c r="J6" i="1"/>
  <c r="J904" i="1"/>
  <c r="J880" i="1"/>
  <c r="J864" i="1"/>
  <c r="J832" i="1"/>
  <c r="J792" i="1"/>
  <c r="J768" i="1"/>
  <c r="J744" i="1"/>
  <c r="J720" i="1"/>
  <c r="J688" i="1"/>
  <c r="J648" i="1"/>
  <c r="J616" i="1"/>
  <c r="J552" i="1"/>
  <c r="J520" i="1"/>
  <c r="J488" i="1"/>
  <c r="J456" i="1"/>
  <c r="J424" i="1"/>
  <c r="J392" i="1"/>
  <c r="J264" i="1"/>
  <c r="J232" i="1"/>
  <c r="J216" i="1"/>
  <c r="J1191" i="1"/>
  <c r="J1206" i="1"/>
  <c r="J1198" i="1"/>
  <c r="J1182" i="1"/>
  <c r="J1166" i="1"/>
  <c r="J1150" i="1"/>
  <c r="J1126" i="1"/>
  <c r="J677" i="1"/>
  <c r="J669" i="1"/>
  <c r="J661" i="1"/>
  <c r="J653" i="1"/>
  <c r="J645" i="1"/>
  <c r="J637" i="1"/>
  <c r="J629" i="1"/>
  <c r="J621" i="1"/>
  <c r="J613" i="1"/>
  <c r="J605" i="1"/>
  <c r="J597" i="1"/>
  <c r="J589" i="1"/>
  <c r="J581" i="1"/>
  <c r="J573" i="1"/>
  <c r="J565" i="1"/>
  <c r="J557" i="1"/>
  <c r="J549" i="1"/>
  <c r="J541" i="1"/>
  <c r="J533" i="1"/>
  <c r="J525" i="1"/>
  <c r="J517" i="1"/>
  <c r="J509" i="1"/>
  <c r="J501" i="1"/>
  <c r="J493" i="1"/>
  <c r="J485" i="1"/>
  <c r="J477" i="1"/>
  <c r="J469" i="1"/>
  <c r="J461" i="1"/>
  <c r="J453" i="1"/>
  <c r="J445" i="1"/>
  <c r="J437" i="1"/>
  <c r="J429" i="1"/>
  <c r="J421" i="1"/>
  <c r="J413" i="1"/>
  <c r="J405" i="1"/>
  <c r="J397" i="1"/>
  <c r="J389" i="1"/>
  <c r="J381" i="1"/>
  <c r="J373" i="1"/>
  <c r="J365" i="1"/>
  <c r="J357" i="1"/>
  <c r="J349" i="1"/>
  <c r="J341" i="1"/>
  <c r="J333" i="1"/>
  <c r="J325" i="1"/>
  <c r="J317" i="1"/>
  <c r="J309" i="1"/>
  <c r="J301" i="1"/>
  <c r="J293" i="1"/>
  <c r="J285" i="1"/>
  <c r="J277" i="1"/>
  <c r="J269" i="1"/>
  <c r="J261" i="1"/>
  <c r="J253" i="1"/>
  <c r="J245" i="1"/>
  <c r="J237" i="1"/>
  <c r="J229" i="1"/>
  <c r="J221" i="1"/>
  <c r="J213" i="1"/>
  <c r="J205" i="1"/>
  <c r="J197" i="1"/>
  <c r="J189" i="1"/>
  <c r="J181" i="1"/>
  <c r="J173" i="1"/>
  <c r="J165" i="1"/>
  <c r="J157" i="1"/>
  <c r="J149" i="1"/>
  <c r="J141" i="1"/>
  <c r="J133" i="1"/>
  <c r="J125" i="1"/>
  <c r="J117" i="1"/>
  <c r="J109" i="1"/>
  <c r="J101" i="1"/>
  <c r="J93" i="1"/>
  <c r="J85" i="1"/>
  <c r="J77" i="1"/>
  <c r="J69" i="1"/>
  <c r="J61" i="1"/>
  <c r="J53" i="1"/>
  <c r="J45" i="1"/>
  <c r="J37" i="1"/>
  <c r="J29" i="1"/>
  <c r="J21" i="1"/>
  <c r="J13" i="1"/>
  <c r="J5" i="1"/>
</calcChain>
</file>

<file path=xl/sharedStrings.xml><?xml version="1.0" encoding="utf-8"?>
<sst xmlns="http://schemas.openxmlformats.org/spreadsheetml/2006/main" count="6029" uniqueCount="3528">
  <si>
    <t>sentense_clean</t>
  </si>
  <si>
    <t>my_ent_1</t>
  </si>
  <si>
    <t>their_ent_1</t>
  </si>
  <si>
    <t>my_ent_2</t>
  </si>
  <si>
    <t>their_ent_2</t>
  </si>
  <si>
    <t>label</t>
  </si>
  <si>
    <t>â€ Breitbart News has now reached out to the Trump campaign twice to ask if he would be comfortable with a Ivanka going into a bathroom at Target in which there was a man wearing a dress, but has yet to receive a response.</t>
  </si>
  <si>
    <t>Trump</t>
  </si>
  <si>
    <t>Breitbart New</t>
  </si>
  <si>
    <t>Ivanka</t>
  </si>
  <si>
    <t>Phoebe Nora Mary Prince, 15, committed suicide on Jan. 14The criminal charges filed against six students Monday in connection with the bullying of the 15-year-old high school student Phoebe Prince, who killed herself in January, took the town of South Hadley, Mass., by surprise.</t>
  </si>
  <si>
    <t>Phoebe Nora Mary Prince</t>
  </si>
  <si>
    <t>Phoebe Prince</t>
  </si>
  <si>
    <t>Mass.</t>
  </si>
  <si>
    <t>Notably, the department says about 30 emails that may be related to the 2012 attack on U. S. compounds in Benghazi, Libya, are among the thousands of emails recovered.</t>
  </si>
  <si>
    <t>U. S.</t>
  </si>
  <si>
    <t>Notably</t>
  </si>
  <si>
    <t>Benghazi</t>
  </si>
  <si>
    <t>But Portland's city code prohibits persons from soliciting or conducting any business in a park unless "expressly permitted under the terms of a lease, concession or permit.""We totally understand the rule," Root's father, Ashton, told OregonLive.com.</t>
  </si>
  <si>
    <t>Root</t>
  </si>
  <si>
    <t>Portland</t>
  </si>
  <si>
    <t>Ashton</t>
  </si>
  <si>
    <t>OregonLive.com</t>
  </si>
  <si>
    <t>FORMER Jacksonville tackle Tony Boselli thinks the Jaguars can challenge for the AFC South title this season if they can address their offensive problems.</t>
  </si>
  <si>
    <t>Jacksonville</t>
  </si>
  <si>
    <t>Tony Boselli</t>
  </si>
  <si>
    <t>AFC</t>
  </si>
  <si>
    <t>President Donald Trump detailed his America First agenda to Republican congressional leaders attending the annual Republican congressional retreat in Philadelphia.</t>
  </si>
  <si>
    <t>President Donald Trump</t>
  </si>
  <si>
    <t>America</t>
  </si>
  <si>
    <t>Republican</t>
  </si>
  <si>
    <t>Philadelphia</t>
  </si>
  <si>
    <t>But he said Boehner wont even let the bill get a yes-or-no vote because he doesnt want to anger the extremists in his party.At the heart of their opposition, he said, is the Republican obsession with dismantling the Affordable Care Act and thereby denying health-insurance coverage to millions of Americans.</t>
  </si>
  <si>
    <t>Boehner</t>
  </si>
  <si>
    <t>American</t>
  </si>
  <si>
    <t>- China will levy extra tariffs on out-of-quota sugar imports from all origins starting from Aug. 1, the Commerce Ministry said on Monday, just over a year after introducing hefty penalties on top growers including Brazil and Thailand.</t>
  </si>
  <si>
    <t>China</t>
  </si>
  <si>
    <t>the Commerce Ministry</t>
  </si>
  <si>
    <t>Thailand</t>
  </si>
  <si>
    <t>Ministers accused of eroding NHS funding, as one in four people at A&amp;E are there because they could not see a GP in timeSo</t>
  </si>
  <si>
    <t>NHS</t>
  </si>
  <si>
    <t>A&amp;E</t>
  </si>
  <si>
    <t>GP</t>
  </si>
  <si>
    <t>GETTY Martin McGuinness (left) with Gerry Adams, who made controversial remarks after Mountbatten's deathAt the time, the organisation released a statement saying: "The IRA claim responsibility for the execution of Lord Louis Mountbatten.</t>
  </si>
  <si>
    <t>Martin McGuinness</t>
  </si>
  <si>
    <t>Gerry Adam</t>
  </si>
  <si>
    <t>Gerry Adams</t>
  </si>
  <si>
    <t>Lord Louis Mountbatten</t>
  </si>
  <si>
    <t xml:space="preserve">One evening in February, a man entering the subway at Barclays Center in Brooklyn was detained by the police for using a discounted student MetroCard </t>
  </si>
  <si>
    <t>man</t>
  </si>
  <si>
    <t>Brooklyn</t>
  </si>
  <si>
    <t>police</t>
  </si>
  <si>
    <t>MetroCard</t>
  </si>
  <si>
    <t>Mars reaches its closest approach to Earth for 11 years this evening at 21:35 GMT.</t>
  </si>
  <si>
    <t>None</t>
  </si>
  <si>
    <t>Mar</t>
  </si>
  <si>
    <t>Earth</t>
  </si>
  <si>
    <t>This morning on Fox, Donald Trump professed himself â€œsurprisedâ€ that House Speaker Paul Ryan has now said he is not yet ready to endorse the Donald.</t>
  </si>
  <si>
    <t>Donald Trump</t>
  </si>
  <si>
    <t>Paul Ryan</t>
  </si>
  <si>
    <t>himself</t>
  </si>
  <si>
    <t>On the Thursday edition of Breitbart News Daily, broadcast live on SiriusXM Patriot Channel 125 from 6AM to 9AM Eastern, Breitbart London Raheem Kassam will continue our discussion the first 100 days of the Trump administration.</t>
  </si>
  <si>
    <t>Raheem Kassam</t>
  </si>
  <si>
    <t>Breitbart News Daily</t>
  </si>
  <si>
    <t xml:space="preserve">The Tony and Grammy award winner said in an open letter she would no longer be performing at an official Trump inauguration concert on Thursday and that her decision to accept an invitation had been â€œa lapse of judgementâ€. </t>
  </si>
  <si>
    <t>she</t>
  </si>
  <si>
    <t>Tony</t>
  </si>
  <si>
    <t>Sir John Sunderland, head of its pay committee, was even re-elected with a traditional Mugabe-style majority of 96%.The exception on the list is AstraZeneca, where 31% failed to back the pay policy on the binding vote.</t>
  </si>
  <si>
    <t>John Sunderland</t>
  </si>
  <si>
    <t>Mugabe</t>
  </si>
  <si>
    <t>AstraZeneca</t>
  </si>
  <si>
    <t>As noted above, his confirmation (he was unanimously confirmed by the Senate to his current position as a federal judge) might be necessary to get final approval of Trumpâ€™s travel ban, but the Democratic appointees on the Supreme Court are a great deal more substantial as jurists than the poltroon who gained his 15 minutes of world fame by starting this controversy.</t>
  </si>
  <si>
    <t>Senate</t>
  </si>
  <si>
    <t>Democratic</t>
  </si>
  <si>
    <t>Jallohâ€™s sister, Fatmatu Jalloh, said she hadnâ€™t seen the charge against her brother but denied he would be helping the Islamic State.</t>
  </si>
  <si>
    <t>Jalloh</t>
  </si>
  <si>
    <t>Fatmatu Jalloh</t>
  </si>
  <si>
    <t>the Islamic State</t>
  </si>
  <si>
    <t xml:space="preserve">Presidentâ€™s warning, Hadi slipped out of Yemen last week and has gone to the resort town of Sharm Egypt, to attend the Arab League summit, where he is rallying support with leaders of member nations for operation Determination Storm. </t>
  </si>
  <si>
    <t>President</t>
  </si>
  <si>
    <t>â€™</t>
  </si>
  <si>
    <t>Hadi</t>
  </si>
  <si>
    <t>Determination Storm</t>
  </si>
  <si>
    <t xml:space="preserve">When the floor exercise judges validated what Raisman and every other gymnast has known for years that Biles is the greatest of her generation and perhaps of all time the U. S. Olympic team captain let her good friend go. </t>
  </si>
  <si>
    <t>Raisman</t>
  </si>
  <si>
    <t>Biles</t>
  </si>
  <si>
    <t>Bile</t>
  </si>
  <si>
    <t>CSOSA, citing federal privacy laws, declined to answer questions about Pittâ€™s time in prison.</t>
  </si>
  <si>
    <t>CSOSA</t>
  </si>
  <si>
    <t>Pitt</t>
  </si>
  <si>
    <t>Pittâ€™</t>
  </si>
  <si>
    <t>Emboldened by a private primary poll commissioned by EMILY's List, Schwartz has hired Obama campaign veteran Reesa Kossoff as communications director for her political operation and plans to open a state-level campaign account early next month, a source close to the five-term congresswoman said...</t>
  </si>
  <si>
    <t>Schwartz</t>
  </si>
  <si>
    <t>EMILY</t>
  </si>
  <si>
    <t>Obama</t>
  </si>
  <si>
    <t>Reesa Kossoff</t>
  </si>
  <si>
    <t>Late Monday evening, health insurer Aetna confirmed a major pullback from Obamacareâ€™s exchanges for 2017.</t>
  </si>
  <si>
    <t>Aetna</t>
  </si>
  <si>
    <t>Obamacare</t>
  </si>
  <si>
    <t>Obamacareâ€™</t>
  </si>
  <si>
    <t>As if that weren't enough excitement for the new year, around a week after Ofcom gives its recommendations, Stephen Carter, the communications minister, will publish his initial report on Digital Britain.</t>
  </si>
  <si>
    <t>Stephen Carter</t>
  </si>
  <si>
    <t>Ofcom</t>
  </si>
  <si>
    <t>minister</t>
  </si>
  <si>
    <t>Digital</t>
  </si>
  <si>
    <t>America belongs to immigrants because immigrants make the nation more powerful, says a former Wall Street Journal writer who is now working for the New York Times.</t>
  </si>
  <si>
    <t>immigrants</t>
  </si>
  <si>
    <t>the New York Time</t>
  </si>
  <si>
    <t xml:space="preserve"> On Wednesday, Transparency International (TI) the worldâ€™s leading organization, is publishing its annual Corruption Perceptions Index (CPI).</t>
  </si>
  <si>
    <t>Transparency International</t>
  </si>
  <si>
    <t>TI</t>
  </si>
  <si>
    <t>A Chicago-based hedge fund manager James Litinsky of JHL Capital put this argument in a presentation called "Conglomerate Boom 2.0: A Stable Platform?" and everyone started freaking out about it</t>
  </si>
  <si>
    <t>James Litinsky</t>
  </si>
  <si>
    <t>Chicago</t>
  </si>
  <si>
    <t>JHL Capital</t>
  </si>
  <si>
    <t>Xu Shuaijun, a 35-year-old cook from northern China's Hebei province, departed from coastal Fujian province on Wednesday and flew for nearly seven- and-a-half hours before his balloon hit turbulence and suffered a mechanical breakdown.</t>
  </si>
  <si>
    <t>Xu Shuaijun</t>
  </si>
  <si>
    <t>Fujian province</t>
  </si>
  <si>
    <t>Sen. Lindsey Graham (R-S.C.) plans to block two of President Barack Obama's top national security nominees until he gets answers from the White House on the terrorist attack in Benghazi, Libya.</t>
  </si>
  <si>
    <t>Lindsey Graham</t>
  </si>
  <si>
    <t>S.C.</t>
  </si>
  <si>
    <t>Barack Obama</t>
  </si>
  <si>
    <t>Libya</t>
  </si>
  <si>
    <t>Although it has surpassed that high, its current price-to-book ratio is only 0.96.South Korean stocks' valuation also contrasts with the most expensive markets, India and Philippines, at 2.6 and 2 times book value, respectively.</t>
  </si>
  <si>
    <t>India</t>
  </si>
  <si>
    <t>Korean</t>
  </si>
  <si>
    <t>Philippines</t>
  </si>
  <si>
    <t>The ICC has been heavily criticized by the African Union (AU) and other political interests on the continent for their exclusive targeting of several government leaders such as President Omar Hassan al-Bashir of the Republic of Sudan.</t>
  </si>
  <si>
    <t>ICC</t>
  </si>
  <si>
    <t>the African Union</t>
  </si>
  <si>
    <t>the Republic of Sudan</t>
  </si>
  <si>
    <t>When six executives of Platinum Partners, including founder Mark Nordlicht, were arrested on Monday on federal charges of running a more than $1 billion hedge fund fraud, people who had long alleged they were harmed by the New firm felt some vindication.</t>
  </si>
  <si>
    <t>Platinum Partners</t>
  </si>
  <si>
    <t>charge</t>
  </si>
  <si>
    <t>Mark Nordlicht</t>
  </si>
  <si>
    <t>more than $1 billion</t>
  </si>
  <si>
    <t>Before Democrats burn James Comey in effigy, they should think about how the FBI director came to have an outsized influence in the election in the first place.</t>
  </si>
  <si>
    <t>Democrats</t>
  </si>
  <si>
    <t>Democrat</t>
  </si>
  <si>
    <t>James Comey</t>
  </si>
  <si>
    <t>FBI</t>
  </si>
  <si>
    <t xml:space="preserve">How Sanders supporters can revolutionize the Democratic Party </t>
  </si>
  <si>
    <t>Sanders</t>
  </si>
  <si>
    <t>Sander</t>
  </si>
  <si>
    <t>the Democratic Party</t>
  </si>
  <si>
    <t>Trump has argued that a wall along the U. S. border is needed to stem the flow of illegal immigrants and drugs into the United States.</t>
  </si>
  <si>
    <t xml:space="preserve">Donald Trumpâ€™s supporters in Congress are urging him not to bring up Bill Clintonâ€™s personal infidelities as he looks to rebound after the first presidential debate. </t>
  </si>
  <si>
    <t>Donald Trumpâ€™s</t>
  </si>
  <si>
    <t>Congre</t>
  </si>
  <si>
    <t>Bill Clintonâ€™s</t>
  </si>
  <si>
    <t>Bill Clintonâ€™</t>
  </si>
  <si>
    <t xml:space="preserve"> The commutes of hundreds of thousands of residents will be upended when Metro General Manager Paul J. Wiedefeld on Friday unveils his plan for a massive overhaul of the struggling rail system.</t>
  </si>
  <si>
    <t>Metro</t>
  </si>
  <si>
    <t>Metro General</t>
  </si>
  <si>
    <t>Paul J. Wiedefeld</t>
  </si>
  <si>
    <t>As the Kazakh character Borat Sagdiyev, who originated in segments on â€œAli G,â€ Baron Cohen performed a song in an Arizona dive bar the chorus of which was â€œThrow the Jew down the well,â€ which the audience eventually joined in singing along with him.</t>
  </si>
  <si>
    <t>Borat Sagdiyev</t>
  </si>
  <si>
    <t>Ali G</t>
  </si>
  <si>
    <t>Baron Cohen</t>
  </si>
  <si>
    <t>Arizona</t>
  </si>
  <si>
    <t>A recent story by the Washington Post covered the decline of users on Vine, and spoke to the top users who abandoned it.</t>
  </si>
  <si>
    <t>the Washington Post</t>
  </si>
  <si>
    <t>Vine</t>
  </si>
  <si>
    <t>White House adviser Kellyanne Conway said in an interview with MSNBCâ€™s Chris Matthews on Thursday that Trumpâ€™s executive order was justified in part by the â€Bowling Green massacreâ€ of 2011.</t>
  </si>
  <si>
    <t>Kellyanne Conway</t>
  </si>
  <si>
    <t>Trumpâ€™</t>
  </si>
  <si>
    <t>Chris Matthews</t>
  </si>
  <si>
    <t>the â€Bowling Green</t>
  </si>
  <si>
    <t xml:space="preserve">Wednesday on Fox News Channelâ€™s â€œHannity,â€ in contentious interview with host Sean Hannity, former Mexican President Vicente Fox declared Republican presidential candidate Donald Trump believed in â€œwhite supremacy. â€ </t>
  </si>
  <si>
    <t>Sean Hannity</t>
  </si>
  <si>
    <t>Fox News Channelâ€™</t>
  </si>
  <si>
    <t>Vicente Fox</t>
  </si>
  <si>
    <t>Mexican</t>
  </si>
  <si>
    <t>â€ Kevin Lewis, the chief executive at Maine Community Health Options, said that its 19. 6 percent increase in 2018 arises from healthy people exiting the Obamacare markets.</t>
  </si>
  <si>
    <t>Kevin Lewis</t>
  </si>
  <si>
    <t>Maine Community Health Option</t>
  </si>
  <si>
    <t>Maine Community Health Options</t>
  </si>
  <si>
    <t>FOX NEWS reports: A U. S. Navy destroyer had another close encounter with an Iranian Revolutionary Guard â€œfast attack craftâ€ in the Persian Gulf Monday.</t>
  </si>
  <si>
    <t>FOX NEWS</t>
  </si>
  <si>
    <t>U. S. Navy</t>
  </si>
  <si>
    <t>the Persian Gulf</t>
  </si>
  <si>
    <t>Of nine GOP candidates tested, Huckabee topped everyone among Republicans over age 65 with 67 percent support, although Rubio and Walker were hot on his heels in that demographic.</t>
  </si>
  <si>
    <t>Huckabee</t>
  </si>
  <si>
    <t>GOP</t>
  </si>
  <si>
    <t>Rubio</t>
  </si>
  <si>
    <t>is back again, this time in the form of radio ads attacking Republican presidential candidates Sen. John McCain and Mitt Romney for criticizing the flag.</t>
  </si>
  <si>
    <t>John McCain</t>
  </si>
  <si>
    <t>Mitt Romney</t>
  </si>
  <si>
    <t>Niu Dun, Chinas vice agriculture minister, said in December that Viptera corn could not be accepted because it had not been approved by the ministry for import.</t>
  </si>
  <si>
    <t>Niu Dun</t>
  </si>
  <si>
    <t>Viptera</t>
  </si>
  <si>
    <t xml:space="preserve"> Republican presidential nominee Donald Trump said Tuesday that he had accepted an invitation to visit Mexico from President Enrique Pena Nieto ahead of his immigration policy speech in Arizona.</t>
  </si>
  <si>
    <t>Enrique Pena Nieto</t>
  </si>
  <si>
    <t>Mexico</t>
  </si>
  <si>
    <t>Movie critic and "Fox and Friends" regular Kevin McCarthy has been a victim of mistaken identity ever since the GOP congressman who shares his name became the frontrunner for House Speaker.</t>
  </si>
  <si>
    <t>Kevin McCarthy</t>
  </si>
  <si>
    <t>House</t>
  </si>
  <si>
    <t>Gundlach had warned last month that federal programs take time to implement, rising mortgage rates and monthly payments are not positive for the â€psyche of the middle class and broadly,â€ and supporters of defeated White House candidate Hillary Clinton are not in a mood to spend money.</t>
  </si>
  <si>
    <t>Gundlach</t>
  </si>
  <si>
    <t>White House</t>
  </si>
  <si>
    <t>Hillary Clinton</t>
  </si>
  <si>
    <t>Christina Baker Klineâ€™s Orphan Train has collided with the circus caravan from Sara Gruenâ€™s Water for Elephants, and out of that wreck has come Pam Jenoffâ€™s The Orphanâ€™s Tale.</t>
  </si>
  <si>
    <t>Christina Baker Klineâ€™s</t>
  </si>
  <si>
    <t>Water for Elephant</t>
  </si>
  <si>
    <t>Sara Gruenâ€™s</t>
  </si>
  <si>
    <t>come</t>
  </si>
  <si>
    <t>STORIES NUMB SKULL Katy Perry makes a 'laughing stock' of herself with giant-skeleton dig at Theresa May and Donald Trump 'WE'LL ALWAYS BE 1D' One Direction's Liam Payne makes surprise appearance at the BRIT Awards 2017 BRITS STAGE FAIL Hilarious moment Katy Perry's backing dancer falls off stage during BRITs performance WISH</t>
  </si>
  <si>
    <t>Katy Perry</t>
  </si>
  <si>
    <t>Theresa May</t>
  </si>
  <si>
    <t>Direction</t>
  </si>
  <si>
    <t>and, considering the array of both subtle and obvious messages in Senator McCain's laughable Britney &amp; Paris commercial, vacuous, frivolous, loopy, superficial, "Hollywood" and, I don't know, he produces amateur porn videos using night vision.</t>
  </si>
  <si>
    <t>Senator McCain</t>
  </si>
  <si>
    <t>McCain</t>
  </si>
  <si>
    <t>Hollywood</t>
  </si>
  <si>
    <t>Britney &amp; Pari</t>
  </si>
  <si>
    <t>Seattle Seahawks cornerback Richard Sherman believes Colin Kaepernick is being blackballed by NFL teams for his political protest last season.</t>
  </si>
  <si>
    <t>Richard Sherman</t>
  </si>
  <si>
    <t>Seattle</t>
  </si>
  <si>
    <t>Colin Kaepernick</t>
  </si>
  <si>
    <t>Texas Land Commissioner and Jebâ€™s son, George P. Bush, has also been cagy about whether or not he will support Donald Trump.</t>
  </si>
  <si>
    <t>Jeb</t>
  </si>
  <si>
    <t>Jebâ€™</t>
  </si>
  <si>
    <t>George P. Bush</t>
  </si>
  <si>
    <t>On Fridayâ€™s broadcast of MSNBCâ€™s â€œMorning Joe,â€ filmmaker Michael Moore stated that â€œmillionsâ€ of people who voted for Obama changed their minds and voted for Trump, and â€œ</t>
  </si>
  <si>
    <t>Michael Moore</t>
  </si>
  <si>
    <t>MSNBC</t>
  </si>
  <si>
    <t>But Bill has been less visible than in 2008, when he marred the campaign (and his own reputation) by calling Obamaâ€™s message a â€œfairytaleâ€ and drew criticism for suggesting â€œwhite Americansâ€ were turning away from his campaign.</t>
  </si>
  <si>
    <t>Bill</t>
  </si>
  <si>
    <t>Manchinâ€™s decision to support Tillerson essentially guarantees full U. S. Senate approval of the energy executive to serve as Secretary of State whenever the vote occurs.</t>
  </si>
  <si>
    <t>Manchin</t>
  </si>
  <si>
    <t>Tillerson</t>
  </si>
  <si>
    <t>U. S. Senate</t>
  </si>
  <si>
    <t>At a sweltering refugee camp on the border, dozens of Somalis who had cleared all the final security and medical checks to enter the United States were told to prepare themselves for a flight to a new life.</t>
  </si>
  <si>
    <t>Somalis</t>
  </si>
  <si>
    <t>Somali</t>
  </si>
  <si>
    <t>the United States</t>
  </si>
  <si>
    <t>the United State</t>
  </si>
  <si>
    <t>So the Times has apparently made it the newspaper's mission to make the agency's work much more difficult and far more dangerous by publicly identifying the man in charge of its covert operations in the Persian country," the group said.</t>
  </si>
  <si>
    <t>Time</t>
  </si>
  <si>
    <t>Persian</t>
  </si>
  <si>
    <t>The GOP is paralyzed by discussions of â€œentitlement reformâ€ while anxious Americans worry more about the balance of their savings account than balancing the national budget.</t>
  </si>
  <si>
    <t>Americans</t>
  </si>
  <si>
    <t>And Democrats, who are situational ethicists regarding money in politics, provided Ossoff enough to enable him to provide free Lyft rides for some primary voters.</t>
  </si>
  <si>
    <t>Ossoff</t>
  </si>
  <si>
    <t>Now, Garcia de Rayosâ€™ deportation is routinely used by the open borders lobby to advocate in favor of illegal immigration, as Breitbart News reported.</t>
  </si>
  <si>
    <t>Garcia de Rayosâ€™</t>
  </si>
  <si>
    <t>Garcia de Rayo</t>
  </si>
  <si>
    <t>Breitbart News</t>
  </si>
  <si>
    <t>Attorney General Jeff Sessions and Secretary of Education Betsy DeVos clashed over a draft executive order regarding protections for transgender students in public schools, according to a report published Wednesday by the New York Times.</t>
  </si>
  <si>
    <t>Jeff Sessions</t>
  </si>
  <si>
    <t>Jeff Session</t>
  </si>
  <si>
    <t>Betsy DeVos</t>
  </si>
  <si>
    <t>Theresa Mayâ€™s new ally in government, Northern Irelandâ€™s Democratic Unionist party, is in favour of a soft Brexit, wishes to maintain a porous border with the Irish republic but also holds illiberal positions on abortion and gay rights.</t>
  </si>
  <si>
    <t>Theresa Mayâ€™s</t>
  </si>
  <si>
    <t>Theresa</t>
  </si>
  <si>
    <t>Irish</t>
  </si>
  <si>
    <t>Brexit</t>
  </si>
  <si>
    <t>We can only hope that Scott Morrison's criticism of Gillian Triggs is part of a move to undermine the AHRC, and not a genuine reflection of a belief that people can forfeit a right to a fair go, writes Michael Bradley.</t>
  </si>
  <si>
    <t>Scott Morrison's</t>
  </si>
  <si>
    <t>Scott Morrison</t>
  </si>
  <si>
    <t>Gillian Triggs</t>
  </si>
  <si>
    <t>AHRC</t>
  </si>
  <si>
    <t xml:space="preserve"> It has been many years since a witness appeared on Capitol Hill and put a president in such potential jeopardy as former FBI director James B. Comey did Thursday. </t>
  </si>
  <si>
    <t>president</t>
  </si>
  <si>
    <t>James B. Comey</t>
  </si>
  <si>
    <t xml:space="preserve"> LAST MONTH, on the very day the State Department cautioned Americans on the dangers of traveling to Haiti, the Trump administration warned more than 50, 000 Haitians living legally in the United States that they may be forced to return home en masse next January because conditions in their native country had improved so markedly.</t>
  </si>
  <si>
    <t>the State Department</t>
  </si>
  <si>
    <t>administration</t>
  </si>
  <si>
    <t>The Iraq Museum of Baghdad is to display 40 ancient artefacts at the Venice Biennale this year, including several that were recently returned after its looting in 2003.</t>
  </si>
  <si>
    <t>The Iraq Museum of Baghdad</t>
  </si>
  <si>
    <t>Venice</t>
  </si>
  <si>
    <t>A Cleves man is facing voyeurism charges after an alleged incident inside a west side Target store.</t>
  </si>
  <si>
    <t>Cleve</t>
  </si>
  <si>
    <t>Target</t>
  </si>
  <si>
    <t xml:space="preserve"> House Speaker Paul D. Ryan ( .) ended a holdout by formally backing his partyâ€™s presumptive presidential nominee: Donald Trump.</t>
  </si>
  <si>
    <t>Paul D. Ryan</t>
  </si>
  <si>
    <t>The Duchess has let slip that she would like a boy, while William wants a girl, and she may have inadvertently given the game away on a walkabout earlier this month when she accepted a teddy bear from a well-wisher with the words: "I will take that for my d..." before stopping herself.</t>
  </si>
  <si>
    <t>Duche</t>
  </si>
  <si>
    <t>William</t>
  </si>
  <si>
    <t>The United Kingdom was New Zealands fourth-largest tourism market, accounting for around 11 percent of visitor spending.</t>
  </si>
  <si>
    <t>The United Kingdom</t>
  </si>
  <si>
    <t>New Zealands</t>
  </si>
  <si>
    <t>New Zealand</t>
  </si>
  <si>
    <t>In a related criticism, the U. S. Free Trade Agreement with South Korea is said to have reduced American exports of dairy products to that country by 88 percent, while the increased trade deficit with Korea was large enough to account for the loss of 102, 500 U. S. jobs in just four years.</t>
  </si>
  <si>
    <t>South Korea</t>
  </si>
  <si>
    <t>the U. S. Free Trade Agreement</t>
  </si>
  <si>
    <t xml:space="preserve">Trump also led among the 51 percent of GOP voters who support tax increases for those with incomes over $200, 000; the 47 percent who favor a higher minimum wage; the 32 percent who favor â€œgovernment paying necessary medical costs for every American citizenâ€; and the 38 percent who like labor unions. </t>
  </si>
  <si>
    <t>Yet the US government has been violating this law for years, quietly supporting allies and partners of al-Qaeda, ISIL, Jabhat Fateh al Sham and other terrorist groups with money, weapons, and intelligence support, in their fight to overthrow the Syrian government.</t>
  </si>
  <si>
    <t>al-Qaeda</t>
  </si>
  <si>
    <t>ISIL</t>
  </si>
  <si>
    <t>Syrian</t>
  </si>
  <si>
    <t>German troops and armour are also due to reinforce Lithuania this month as part of NATO's plans, which are designed to reassure European countries after Russia's 2014 annexation of Ukraine's Crimea.</t>
  </si>
  <si>
    <t>German</t>
  </si>
  <si>
    <t>NATO</t>
  </si>
  <si>
    <t>European</t>
  </si>
  <si>
    <t>U.S. policymakers have already been questioning whether Europe will apply the global accord properly, while some EU lawmakers doubt the United States will apply Basel III at all after failing to introduce its predecessor accord on time.</t>
  </si>
  <si>
    <t>U.S.</t>
  </si>
  <si>
    <t>EU</t>
  </si>
  <si>
    <t>Iran has expressed support for Shiite-led protests in Bahrain against the ruling Sunni Al Khalifa family, allies of Saudi Arabia.</t>
  </si>
  <si>
    <t>Shiite</t>
  </si>
  <si>
    <t>Bahrain</t>
  </si>
  <si>
    <t>Sunni</t>
  </si>
  <si>
    <t>Disney CEO Bob Iger, one of the few entertainment industry executives asked to attend President Donald Trumpâ€™s policy forum at the White House this week, will not be attending the event.</t>
  </si>
  <si>
    <t>Bob Iger</t>
  </si>
  <si>
    <t>Disney</t>
  </si>
  <si>
    <t>U. S. goalkeeper Hope Solo said the Zika outbreak in Brazil could keep her out of the Summer Olympics in August.</t>
  </si>
  <si>
    <t>Hope Solo</t>
  </si>
  <si>
    <t>Zika</t>
  </si>
  <si>
    <t>The failure of American and global leaders to address climate change is akin to world rulers who appeased the Nazis before World War II, an environmental advocate charges.</t>
  </si>
  <si>
    <t>Nazis</t>
  </si>
  <si>
    <t>Nazi</t>
  </si>
  <si>
    <t>Jared Grusd, the CEO of The Huffington Post, spoke at the Dublin Tech summit this week discussing the future of digital content and technology.</t>
  </si>
  <si>
    <t>Jared Grusd</t>
  </si>
  <si>
    <t>The Huffington Post</t>
  </si>
  <si>
    <t>Dublin Tech</t>
  </si>
  <si>
    <t>White House senior adviser Jared Kushner landed in Iraq Monday, his first visit to the country since assuming a broad portfolio of foreign affairs in the Trump presidency.</t>
  </si>
  <si>
    <t>Jared Kushner</t>
  </si>
  <si>
    <t>Monday</t>
  </si>
  <si>
    <t>first</t>
  </si>
  <si>
    <t>David Marcus, vice president of messaging at Facebook, said that the company developed the Discover page within the app to help with recommending relevant bots to users, something both developers working with Messenger and users have repeatedly asked for.</t>
  </si>
  <si>
    <t>David Marcus</t>
  </si>
  <si>
    <t>Facebook</t>
  </si>
  <si>
    <t>Messenger</t>
  </si>
  <si>
    <t xml:space="preserve">As a result, Russia will accept having military power commensurate with its economy and, while it will retain a nuclear deterrent, will cease to be a global military power, and thus will cease to hold such sway over Eastern Europe, Central Asia, and (to a lesser extent) the Middle East. </t>
  </si>
  <si>
    <t>Russia</t>
  </si>
  <si>
    <t>Central Asia</t>
  </si>
  <si>
    <t>The first is the RNC-sanctioned February start date: Iowa goes Feb. 6, New Hampshire Feb. 14, Nevada, Feb. 18, South Carolina Feb. 28, and Super Tuesday is March 6.</t>
  </si>
  <si>
    <t>RNC</t>
  </si>
  <si>
    <t>New Hampshire</t>
  </si>
  <si>
    <t>Iowa</t>
  </si>
  <si>
    <t>Nevada</t>
  </si>
  <si>
    <t>Devin Nunes (R. Calif.) will not step down from the chairmanship of the House Intelligence Committee.</t>
  </si>
  <si>
    <t>Devin Nunes</t>
  </si>
  <si>
    <t>R.</t>
  </si>
  <si>
    <t>the House Intelligence Committee</t>
  </si>
  <si>
    <t>Huge GOP majority backs Trumps Putin performance, reports Axios, summarizing results from a new poll.</t>
  </si>
  <si>
    <t>Putin</t>
  </si>
  <si>
    <t>Trumps Putin</t>
  </si>
  <si>
    <t>Though the 63-year-old Scott was cited by Redwood City police on the misdemeanor charge, the district attorney said the case is under review to determine which charges should be filed.We expect the blood test results will be received and considered by my charging prosecutor this week, Wagstaffe said.</t>
  </si>
  <si>
    <t>Scott</t>
  </si>
  <si>
    <t>Redwood City</t>
  </si>
  <si>
    <t>Wagstaffe</t>
  </si>
  <si>
    <t>Residents in the Williamsburg neighborhood where a gay, black man was of an Jewish patrol group stonewalled police when they began investigating the attack, a detective testified Tuesday.</t>
  </si>
  <si>
    <t>Williamsburg</t>
  </si>
  <si>
    <t>Jewish</t>
  </si>
  <si>
    <t xml:space="preserve"> Update: An earlier version of this article referenced a study by two political scientists, Kyle Kopko and Christopher Devine, on whether Green Party presidential candidate Jill Stein</t>
  </si>
  <si>
    <t>Kyle Kopko</t>
  </si>
  <si>
    <t>Christopher Devine</t>
  </si>
  <si>
    <t>Jill Stein</t>
  </si>
  <si>
    <t>The former CIA director John Brennan has described Donald Trumpâ€™s travel ban on visitors from Muslim countries as â€œsimplistic and misguidedâ€ predicting it would be counterproductive if implemented.</t>
  </si>
  <si>
    <t>John Brennan</t>
  </si>
  <si>
    <t>CIA</t>
  </si>
  <si>
    <t>Muslim</t>
  </si>
  <si>
    <t>With respect to Muslim immigrant communities that are already here, we must have sensible surveillance policies that identify and focus police attention on mosques and community centers that endorse Islamic supremacism.</t>
  </si>
  <si>
    <t>Islamic</t>
  </si>
  <si>
    <t>The estate of Whitney Houston has nixed a performance by a hologram of the late singer that was scheduled for next weekâ€™s season finale of NBCâ€™s â€œ</t>
  </si>
  <si>
    <t>Whitney Houston</t>
  </si>
  <si>
    <t>NBC</t>
  </si>
  <si>
    <t>NBCâ€™</t>
  </si>
  <si>
    <t>â€™s office says Russiaâ€™s ambassador to the United Nations died last month from a heart attack and no foul play was suspected.</t>
  </si>
  <si>
    <t>ambassador</t>
  </si>
  <si>
    <t>heart</t>
  </si>
  <si>
    <t>the United Nations</t>
  </si>
  <si>
    <t>foul</t>
  </si>
  <si>
    <t>A Trump Organization senior vice president told The Post that it was â€an honest mistakeâ€ that the contribution wasnâ€™â€™t properly listed.</t>
  </si>
  <si>
    <t>Trump Organization</t>
  </si>
  <si>
    <t>The Post</t>
  </si>
  <si>
    <t xml:space="preserve">On the January 11 Breitbart News Daily show, broadcast on Sirius XM Patriot channel 125 from 6AM to 9AM EST, host and Breitbart News executive chairman Stephen K. Bannon will interview a number of guests, including former American Major League Baseball pitcher Curt Schilling will discuss a variety of topics, including his hall of fame prospects, Islam, Sarah Palin, and more. </t>
  </si>
  <si>
    <t>Stephen K. Bannon</t>
  </si>
  <si>
    <t>Sirius XM Patriot</t>
  </si>
  <si>
    <t>Curt Schilling</t>
  </si>
  <si>
    <t>American Major League Baseball</t>
  </si>
  <si>
    <t>The Yankees were losers of six of nine games entering Saturdayâ€™s game in St. Petersburg, Fla. and Joe Girardiâ€™s anger boiled over.</t>
  </si>
  <si>
    <t>Yankees</t>
  </si>
  <si>
    <t>Yankee</t>
  </si>
  <si>
    <t>Joe Girardiâ€™s</t>
  </si>
  <si>
    <t>St. Petersburg</t>
  </si>
  <si>
    <t>Frances</t>
  </si>
  <si>
    <t>France</t>
  </si>
  <si>
    <t>Lost to Iowa 77-69, beat Syracuse 80-65 and Green Bay 83-72Next up: vs. Texas Southern (Monday)Comment: Beat em, then root for em:</t>
  </si>
  <si>
    <t>Syracuse</t>
  </si>
  <si>
    <t>Texas Southern</t>
  </si>
  <si>
    <t>Texa</t>
  </si>
  <si>
    <t>The Camp David Accords between Israel and Egypt were negotiated in its cabins under President Jimmy Carter, and George W. Bush gathered his Cabinet there after the terror attacks.</t>
  </si>
  <si>
    <t>Jimmy Carter</t>
  </si>
  <si>
    <t>Egypt</t>
  </si>
  <si>
    <t>George W. Bush</t>
  </si>
  <si>
    <t>Cabinet</t>
  </si>
  <si>
    <t xml:space="preserve">Season 2 of â€œFargoâ€ pitted two families against each other for a bloody and outrageously funny revenge story that left at least a dozen characters dead </t>
  </si>
  <si>
    <t>Season 2</t>
  </si>
  <si>
    <t>Fargo</t>
  </si>
  <si>
    <t>Also in April, Kandahar's police chief was killed by an attacker in a police uniform, while in January Wesa's deputy was killed.</t>
  </si>
  <si>
    <t>Kandahar</t>
  </si>
  <si>
    <t>Wesa</t>
  </si>
  <si>
    <t>Warren, a hero to the liberal wing of the party, also faulted Trump for criticizing the 2010 Act that sought to overhaul the U. S. financial sector following the recession.</t>
  </si>
  <si>
    <t>Warren</t>
  </si>
  <si>
    <t>It was the Lions batting that was the biggest disappointment as the openers James Vince and Alex Hales both failed to capitalise on decent starts, and Ravi Bopara, James Taylor and Jason Roy all fell for single-figure scores.</t>
  </si>
  <si>
    <t>James Vince</t>
  </si>
  <si>
    <t>Alex Hales</t>
  </si>
  <si>
    <t>Alex Hale</t>
  </si>
  <si>
    <t>Republicans may be predisposed to support Carson, but how he addresses this issue at his confirmation hearings could be crucial to his chances of Senate approval.</t>
  </si>
  <si>
    <t>Republicans</t>
  </si>
  <si>
    <t>Carson</t>
  </si>
  <si>
    <t>As the US stands on the verge of an election whose results mean widely differing outcomes for immigration policy, it has also become a time to examine Barack Obamaâ€™s legacy.</t>
  </si>
  <si>
    <t>US</t>
  </si>
  <si>
    <t>Barack Obamaâ€™s</t>
  </si>
  <si>
    <t>Barack Obamaâ€™</t>
  </si>
  <si>
    <t>(PTI) Chairman Imran Khan welcomed Supreme Court's probe into KP governments advertisementsImran Khan in a tweet stated that there was an official policy that neither the CM nor ministers were allowed to put their pictures on government ads.</t>
  </si>
  <si>
    <t>Imran Khan</t>
  </si>
  <si>
    <t>PTI</t>
  </si>
  <si>
    <t>advertisementsImran Khan</t>
  </si>
  <si>
    <t>Khan</t>
  </si>
  <si>
    <t>Senator Tim Kaine skipped a vote on Water Safety and Infrastructure that would affect the Flint, Michigan water crisis, choosing instead to raise campaign funds in Illinois.</t>
  </si>
  <si>
    <t>Senator Tim Kaine</t>
  </si>
  <si>
    <t>Flint</t>
  </si>
  <si>
    <t>Water Safety and Infrastructure</t>
  </si>
  <si>
    <t>Illinoi</t>
  </si>
  <si>
    <t>In another blow to AIGâ€™s old former CEO, a federal appeals court on Tuesday threw out an earlier ruling that the US government had overstepped its bounds when it bailed out the insurance giant during the 2008 financial crisis.</t>
  </si>
  <si>
    <t>AIG</t>
  </si>
  <si>
    <t>federal</t>
  </si>
  <si>
    <t>bailed</t>
  </si>
  <si>
    <t>Warner Music also applauded the verdict, according to The Hollywood Reporter:</t>
  </si>
  <si>
    <t>Warner Music</t>
  </si>
  <si>
    <t>The Hollywood Reporter</t>
  </si>
  <si>
    <t xml:space="preserve"> When Tom Hanks won his first Oscar for Philadelphia in 1994 â€” playing the role of a lawyer with AIDS who fights back when his firm unlawfully fires him </t>
  </si>
  <si>
    <t>Tom Hanks</t>
  </si>
  <si>
    <t>Oscar</t>
  </si>
  <si>
    <t xml:space="preserve">While Rep. Keith Ellison ( ) touted on MSNBCâ€™s â€œAM Joyâ€ Saturday why he is a better candidate for chair of the Democratic National Committee, host Joy Reid tacked on that what he accomplished was done while being black and Muslim, â€œtwo things in the crosshairs of Trumpworld. â€ </t>
  </si>
  <si>
    <t>Keith Ellison</t>
  </si>
  <si>
    <t>the Democratic National Committee</t>
  </si>
  <si>
    <t>Joy Reid</t>
  </si>
  <si>
    <t>At the end of September no less than 50 Bush appointees came out with a forceful endorsement of GOP nominee Donald Trump.</t>
  </si>
  <si>
    <t>Bush</t>
  </si>
  <si>
    <t>Simon Pegg, who has the latest Star Trek movie, as well as starring as Scotty, has responded to criticism by the actor George Takei at the â€™ decision to make the character he used to play openly gay.</t>
  </si>
  <si>
    <t>Simon Pegg</t>
  </si>
  <si>
    <t>Star Trek</t>
  </si>
  <si>
    <t>Scotty</t>
  </si>
  <si>
    <t>George Takei</t>
  </si>
  <si>
    <t>New San Francisco 49ers linebacker Reuben Foster had an interesting beginning to his NFL career, as he explained during his introductory press conference on Friday.</t>
  </si>
  <si>
    <t>San Francisco 49ers</t>
  </si>
  <si>
    <t>beginning</t>
  </si>
  <si>
    <t>Reuben Foster</t>
  </si>
  <si>
    <t>explained</t>
  </si>
  <si>
    <t>Some of them I think secretly want there to be an attack on the United States so they can blame it on me," Paul said on the Senate floor Sunday night.</t>
  </si>
  <si>
    <t>Paul</t>
  </si>
  <si>
    <t>Liz Wile, a 26-year-old subscriber of AT&amp;Ts video and broadband service in Burbank, California, said she does not watch much video on her phone because of high data charges.</t>
  </si>
  <si>
    <t>Liz Wile</t>
  </si>
  <si>
    <t>AT&amp;Ts</t>
  </si>
  <si>
    <t>Burbank</t>
  </si>
  <si>
    <t>The White House also criticized the report Thursday, with spokesman Josh Earnest saying the administration had â€significant objectionsâ€ to it.</t>
  </si>
  <si>
    <t>Josh Earnest</t>
  </si>
  <si>
    <t>The White House</t>
  </si>
  <si>
    <t>Meanwhile, Ashaâ€™s (Brooklyn Sudano) trust in Elena (Layla Alizada) proves to be misplaced and leaves Bryan (Clive Standen) in a vulnerable position.</t>
  </si>
  <si>
    <t>Asha</t>
  </si>
  <si>
    <t>Ashaâ€™s (Brooklyn Sudano</t>
  </si>
  <si>
    <t>Brooklyn Sudano</t>
  </si>
  <si>
    <t>Bryan</t>
  </si>
  <si>
    <t>â€™ â€™ Gov. John Kasich of Ohio wants to bridge the divides in America.</t>
  </si>
  <si>
    <t>John Kasich</t>
  </si>
  <si>
    <t>bridge</t>
  </si>
  <si>
    <t>Ohio</t>
  </si>
  <si>
    <t>divide</t>
  </si>
  <si>
    <t>Heidi Cruz said on the Indiana campaign trail Saturday that her husband Ted Cruz â€œis an immigrant. â€</t>
  </si>
  <si>
    <t>Heidi Cruz</t>
  </si>
  <si>
    <t>Ted Cruz</t>
  </si>
  <si>
    <t>Indiana</t>
  </si>
  <si>
    <t>Today, when we see an attack, whether in Paris, whether in Brussels, whether in San Bernardino, inevitably President Obama goes on national television, refuses to say the words radical Islamic terrorism and instead lectures the American people on Islamophobia.</t>
  </si>
  <si>
    <t>President Obama</t>
  </si>
  <si>
    <t>Brussel</t>
  </si>
  <si>
    <t>It was hot at the National Zoo in Washington, D. C. this weekend.</t>
  </si>
  <si>
    <t>Washington</t>
  </si>
  <si>
    <t>the National Zoo</t>
  </si>
  <si>
    <t>D. C.</t>
  </si>
  <si>
    <t>For his bookshop and website One Grand Books, the editor Aaron Hicklin asked people to name the 10 books theyâ€™d take with them if they were marooned on a desert island.</t>
  </si>
  <si>
    <t>One Grand Books</t>
  </si>
  <si>
    <t>Grand Book</t>
  </si>
  <si>
    <t>Aaron Hicklin</t>
  </si>
  <si>
    <t>(And they call themselves strict interpreters of the Bible!)To those who cite Bill O'Reilly's self-professed opposition to the death penalty I say, Tell it to the 30,000 Iraqi dead (probably more) as a result of the war he supports.</t>
  </si>
  <si>
    <t>Bill O'Reilly's</t>
  </si>
  <si>
    <t>Bible!)To</t>
  </si>
  <si>
    <t>Iraqi</t>
  </si>
  <si>
    <t xml:space="preserve"> In her superb New Yorker profile of Ford Foundation president Darren Walker, writer Larissa MacFarquhar tells us about his great uncle Daddy C.</t>
  </si>
  <si>
    <t>Darren Walker</t>
  </si>
  <si>
    <t>Ford Foundation</t>
  </si>
  <si>
    <t>Larissa MacFarquhar</t>
  </si>
  <si>
    <t xml:space="preserve"> John D. Whiting ( ) worked as a tour guide, businessman, writer and photographer throughout the Middle East.</t>
  </si>
  <si>
    <t>John D. Whiting</t>
  </si>
  <si>
    <t>the Middle East</t>
  </si>
  <si>
    <t>During a joint news conference with Japanese Prime Minister Shinzo Abe, Trump said the U. S. relationship is the â€œcornerstone of peace and stability in the Pacific region.</t>
  </si>
  <si>
    <t>Shinzo Abe</t>
  </si>
  <si>
    <t>But regardless Chris, it is critical that we as candidates, we as Democratic Party leaders, everyone involved needs to make sure that we can take all the steps that we need to ensure that the process is not only run smoothly, but that the response from the supporters from both candidates is appropriate and civil.</t>
  </si>
  <si>
    <t>Chris</t>
  </si>
  <si>
    <t>Chri</t>
  </si>
  <si>
    <t>Democratic Party</t>
  </si>
  <si>
    <t>Despite what many Armenians and their supporters claim, there is no authentic document that proves that the Ottoman authorities intended to wipe out the Armenians.</t>
  </si>
  <si>
    <t>Armenians</t>
  </si>
  <si>
    <t>Armenian</t>
  </si>
  <si>
    <t>Ottoman</t>
  </si>
  <si>
    <t>A group of prominent Democrats who served in recent administrations, including John Kerry and Madeleine K. Albright, have called on the courts to extend a ruling blocking crucial parts of President Trumpâ€™s travel ban, saying the White House executive order would â€œendanger U. S. troopsâ€ and disrupt antiterrorism efforts.</t>
  </si>
  <si>
    <t>John Kerry</t>
  </si>
  <si>
    <t>Madeleine K. Albright</t>
  </si>
  <si>
    <t>On its first series of the game, Kentucky reached the Texas A&amp;M 48-yard line, but was penalized for a false start there, and the Wildcats didn't return to Aggies' territory until getting the football at the 25 to start overtime.</t>
  </si>
  <si>
    <t>Kentucky</t>
  </si>
  <si>
    <t>Texas A&amp;M</t>
  </si>
  <si>
    <t>Wildcat</t>
  </si>
  <si>
    <t>It must be enforced everywhere."As tensions simmered in the southwest Paris suburb, Valls announced that reinforced police deployments would remain in place as long as necessary until a lasting calm is restored in Trappes.</t>
  </si>
  <si>
    <t>Valls</t>
  </si>
  <si>
    <t>Pari</t>
  </si>
  <si>
    <t>Trappe</t>
  </si>
  <si>
    <t>Back in 2014, Laura Poitras brought out Citizenfour, her documentary about Edward Snowdenâ€™s revelations of the NSAâ€™s illegal surveillance program.</t>
  </si>
  <si>
    <t>Laura Poitras</t>
  </si>
  <si>
    <t>Edward Snowdenâ€™</t>
  </si>
  <si>
    <t>Edward Snowdenâ€™s</t>
  </si>
  <si>
    <t>NSA</t>
  </si>
  <si>
    <t>The worldâ€™s biggest hedge fund thinks stock markets around the world will tank if Donald Trump wins the US presidential election.</t>
  </si>
  <si>
    <t>presidential</t>
  </si>
  <si>
    <t>.</t>
  </si>
  <si>
    <t>Many opponents have taken to Twitter to remind Calexit backers that Texas already tried to secede in the past  and failed miserably.</t>
  </si>
  <si>
    <t>Texas</t>
  </si>
  <si>
    <t>Calexit</t>
  </si>
  <si>
    <t>ICE charges premium prices for premium services and that has led to a higher share price for the Atlanta-based exchange, Sprecher said.Ive never been one to try to get to the bottom and compete simply on price.</t>
  </si>
  <si>
    <t>ICE</t>
  </si>
  <si>
    <t>Sprecher</t>
  </si>
  <si>
    <t>Atlanta</t>
  </si>
  <si>
    <t xml:space="preserve">Clinton currently has strong support from voters, who will be crucial in the Democratic primary in South Carolina on Feb. 27. </t>
  </si>
  <si>
    <t>Clinton</t>
  </si>
  <si>
    <t>South Carolina</t>
  </si>
  <si>
    <t>It attacks the alveoli and crosses the pulmonary barrier into the bloodstream, from where it affects every other organ," says Roopa Baddi, a GP who treats patients in the shanty area surrounding the now-defunct plant.</t>
  </si>
  <si>
    <t>Roopa Baddi</t>
  </si>
  <si>
    <t>Addressing his usual crowd in Chicago on Monday, President Obama briefly effected some humility.</t>
  </si>
  <si>
    <t>A New York-born convert to Islam, he is one of only two U.S. citizens who are enemy combatants, a designation by President Bush that allows indefinite detention without charges for Al Qaeda suspects and their associates.</t>
  </si>
  <si>
    <t>Islam</t>
  </si>
  <si>
    <t>President Bush</t>
  </si>
  <si>
    <t>Canada's largest circulation daily, the Toronto Star, has endorsed the Liberals, while the second largest daily, the Globe and Mail, gave its support to the Conservatives in an editorial this week that typifies the tone of the campaign."Are (the Conservatives) the ideal alternative?</t>
  </si>
  <si>
    <t>Liberals</t>
  </si>
  <si>
    <t>the Toronto Star</t>
  </si>
  <si>
    <t>Conservatives</t>
  </si>
  <si>
    <t>Conservative</t>
  </si>
  <si>
    <t>In his first public comments since waving the white flag on Deflategate, Tom Brady called it a â€œpersonal decisionâ€ to drop his fight against the NFL to overturn his suspension.</t>
  </si>
  <si>
    <t>Tom Brady</t>
  </si>
  <si>
    <t>Deflategate</t>
  </si>
  <si>
    <t>NFL</t>
  </si>
  <si>
    <t>Airports in New York City, Philadelphia and Baltimore were resuming very limited service Sunday, a day after a punishing blizzard dumped two feet or more of snow and brought transportation to a standstill along the East Coast.</t>
  </si>
  <si>
    <t>New York City</t>
  </si>
  <si>
    <t>the East Coast</t>
  </si>
  <si>
    <t xml:space="preserve"> A majority of Americans, including a growing number of Republicans, want to see an â€independent investigationâ€ sort out any connections between Russia and President Donald Trump during the 2016 election campaign, according to a opinion poll released on Monday.</t>
  </si>
  <si>
    <t>Barbro Holmberg, mother of Woods' wife Elin, was admitted in the early hours of the morning after an emergency call from Woods' home near Orlando, Florida.</t>
  </si>
  <si>
    <t>Barbro Holmberg</t>
  </si>
  <si>
    <t>Woods</t>
  </si>
  <si>
    <t>Wood</t>
  </si>
  <si>
    <t>Weinerâ€™s latest sexting partner was described by the Post as a â€œbusty brunetteâ€ and a Donald Trump supporter.</t>
  </si>
  <si>
    <t>Weiner</t>
  </si>
  <si>
    <t>Weinerâ€™</t>
  </si>
  <si>
    <t>Post</t>
  </si>
  <si>
    <t>Fleetwood Mac legend Stevie Nicks will appear on Lana Del Reyâ€™s forthcoming fifth album, Lust for Life.</t>
  </si>
  <si>
    <t>Stevie Nicks</t>
  </si>
  <si>
    <t>Lana Del Reyâ€™</t>
  </si>
  <si>
    <t>Lana Del Reyâ€™s</t>
  </si>
  <si>
    <t>Lust for Life</t>
  </si>
  <si>
    <t>Murgio and were accused of processing millions of dollars from 2013 to 2015 into the virtual currency bitcoin through the unlicensed exchange Coin.</t>
  </si>
  <si>
    <t>Murgio</t>
  </si>
  <si>
    <t>Coin</t>
  </si>
  <si>
    <t>Concert goers will have the chance to thank and applaud military members who are veterans of service in Iraq/Afghanistan stationed at Joint Base McGuire Dix Lakehurst as well as Veterans from Camden County.</t>
  </si>
  <si>
    <t>Iraq</t>
  </si>
  <si>
    <t>Concert</t>
  </si>
  <si>
    <t>Camden County</t>
  </si>
  <si>
    <t>The International Energy Agency last week singled out the Bakken as one of the main drivers of its forecast for the United States to overtake Saudi Arabia and Russia as the worlds top oil producer by 2017.Refineries are looking to accept this oil.</t>
  </si>
  <si>
    <t>The International Energy Agency</t>
  </si>
  <si>
    <t>But although Los Angeles Superior Court Judge David Cowan ruled that the public has a right to view the proceedings in a trial that will revolve around the mental competency of the billionaire, Cowan said some testimony could be shielded from the public.</t>
  </si>
  <si>
    <t>David Cowan</t>
  </si>
  <si>
    <t>ome</t>
  </si>
  <si>
    <t>Cowan</t>
  </si>
  <si>
    <t>testimony</t>
  </si>
  <si>
    <t xml:space="preserve"> The Hillary Clinton email controversy has given Republicans something they badly need in the final days of the election: an opportunity to go on offense and talk about something other than Donald Trump.</t>
  </si>
  <si>
    <t>President Obamaâ€™s view is that attacks like the one on the Pulse nightclub arenâ€™t an existential threat.</t>
  </si>
  <si>
    <t>Pulse</t>
  </si>
  <si>
    <t>This morning, after initial reports that he might ignore a congressionally mandated deadline, Secretary of State John Kerry did the right thing and acknowledged what has become a global consensus: that ISIS is perpetrating a genocide against Christians and other religious minorities in Iraq and Syria and other countries in the region.</t>
  </si>
  <si>
    <t>Secretary</t>
  </si>
  <si>
    <t>ISIS</t>
  </si>
  <si>
    <t>In its quest to build a global empire, Uber has turned to the Middle East for its biggest infusion of cash from a single investor.</t>
  </si>
  <si>
    <t>Uber</t>
  </si>
  <si>
    <t>infusion</t>
  </si>
  <si>
    <t xml:space="preserve">Meanwhile, Doudna and Charpentierâ€™s original CRISPR patent application from May 2012 â€” the application that has triggered the now ongoing dispute yet to be resolved by the U. S. Patent and Trademark Office </t>
  </si>
  <si>
    <t>Doudna</t>
  </si>
  <si>
    <t>Charpentier</t>
  </si>
  <si>
    <t>the U. S. Patent</t>
  </si>
  <si>
    <t>Teigenâ€™s husband, singer John Legend, has done his fair share of criticism of the Republican White House hopeful.</t>
  </si>
  <si>
    <t>Teigen</t>
  </si>
  <si>
    <t>John Legend</t>
  </si>
  <si>
    <t>Popular homosexual YouTuber Calum McSwiggan reportedly faked an alleged hate crime attack on himself in West Hollywood on Monday, according to the Los Angeles County Sheriffâ€™s Department.</t>
  </si>
  <si>
    <t>Calum McSwiggan</t>
  </si>
  <si>
    <t>West Hollywood</t>
  </si>
  <si>
    <t>the Los Angeles County Sheriffâ€™s Department</t>
  </si>
  <si>
    <t>He emphasized that the NSA's bulk collection of Americans' phone records has not prevented a terror attack.</t>
  </si>
  <si>
    <t>American companies in China are being hurt by tariffs in the growing trade war between Washington and Beijing, according to a survey of hundreds of firms, prompting the U.S. business lobbies behind the poll to urge the Trump administration to reconsider its approach.</t>
  </si>
  <si>
    <t>According to the New York Times, President Obama will seek a $2. 9 billion spending increase for U. S. military operations in Europe.</t>
  </si>
  <si>
    <t>the New York Times</t>
  </si>
  <si>
    <t>Europe</t>
  </si>
  <si>
    <t xml:space="preserve"> French centrist presidential candidate Emmanuel Macronâ€™s election campaign took a step forward on Sunday as the Socialist party chose a champion with a agenda and</t>
  </si>
  <si>
    <t>French</t>
  </si>
  <si>
    <t>Emmanuel Macron</t>
  </si>
  <si>
    <t>Socialist</t>
  </si>
  <si>
    <t>An active Ku Klux Klan chapter started in Denver around the same time, which was eventually infiltrated by Dr. Joseph H. P. Westbrook, a Denver resident and early Dearfield booster.</t>
  </si>
  <si>
    <t>Ku Klux Klan</t>
  </si>
  <si>
    <t>Joseph H. P. Westbrook</t>
  </si>
  <si>
    <t>Dearfield</t>
  </si>
  <si>
    <t>The documentary film, directed by M. A. Taylor and written and produced by Danny Fleuette and Breitbart News Executive Chairman Stephen K. Bannon, is based on research that first appeared in The New York Times bestselling book, authored by Breitbart News Senior Peter Schweizer.</t>
  </si>
  <si>
    <t>M. A. Taylor</t>
  </si>
  <si>
    <t>Danny Fleuette</t>
  </si>
  <si>
    <t>Peter Schweizer</t>
  </si>
  <si>
    <t xml:space="preserve"> Donald Trumpâ€™s pick to run the Department of Health and Human Services is taking heat for his controversial stock holdings in companies affected by laws he has worked on and voted for.</t>
  </si>
  <si>
    <t>Donald Trumpâ€™</t>
  </si>
  <si>
    <t>the Department of Health and Human Services</t>
  </si>
  <si>
    <t>the Department of Health and Human Service</t>
  </si>
  <si>
    <t>He added that JERA has made progress in talks with existing long-term LNG sellers to revise clauses that would require splitting the profits from reselling LNG cargoes between JERA and the original seller.</t>
  </si>
  <si>
    <t>JERA</t>
  </si>
  <si>
    <t>LNG</t>
  </si>
  <si>
    <t xml:space="preserve">Pennâ€™s internal note was titled, â€Lack of American Roots,â€ and painted media reports about Obamaâ€™s time as a child in Hawaii and Indonesia as having exposed â€a very strong weakness for him his roots to basic American values and culture are at best limited.â€ </t>
  </si>
  <si>
    <t>Penn</t>
  </si>
  <si>
    <t>Hawaii</t>
  </si>
  <si>
    <t>A previous version of this piece incorrectly said Reshma Saujani ran for Congress three times.</t>
  </si>
  <si>
    <t>Reshma Saujani</t>
  </si>
  <si>
    <t>Congress</t>
  </si>
  <si>
    <t>Democrats running for Georgiaâ€™s sixth congressional district can typically hope to raise $10, 000 for their campaign.</t>
  </si>
  <si>
    <t>Georgia</t>
  </si>
  <si>
    <t>Owen Coyle's side picked up right where they left off when the whistle blew to start the second half and it was 3-1 just seconds into the period when Barnes finished an excellent offensive move with a low laser beam into the bottom right corner, leaving Marin with no chance for a save.</t>
  </si>
  <si>
    <t>Owen Coyle's</t>
  </si>
  <si>
    <t>Barne</t>
  </si>
  <si>
    <t>Barnes</t>
  </si>
  <si>
    <t>Marin</t>
  </si>
  <si>
    <t xml:space="preserve">The continuing acceleration of the number of Syrian refugees brought in to the country by the Obama administration, in an almost recklessly â€œ </t>
  </si>
  <si>
    <t>Obama administration</t>
  </si>
  <si>
    <t>The new estimate of the cost of Sandersâ€™s plan is even more pessimistic than a previous estimate produced by Kenneth Thorpe, a former health official in the Clinton administration.</t>
  </si>
  <si>
    <t>Sandersâ€™</t>
  </si>
  <si>
    <t>Kenneth Thorpe</t>
  </si>
  <si>
    <t>Jacinto Torres emigrated from Mexico nearly four decades ago in search of the American dream.</t>
  </si>
  <si>
    <t>Jacinto Torres</t>
  </si>
  <si>
    <t>Joseph Rannazzisi, head of the DEA office responsible for preventing prescription medicine abuse until last year, said drug companies and their lobbyists have a â€œstrangleholdâ€ on Congress to protect a $9bn a year trade in opioid painkillers claiming the lives of nearly 19, 000 people a year.</t>
  </si>
  <si>
    <t>Joseph Rannazzisi</t>
  </si>
  <si>
    <t>DEA</t>
  </si>
  <si>
    <t>Even with their best defensive player Draymond Green suspended, the Golden State Warriors were in a close fight with the Cleveland Cavaliers on Monday night in Oakland.</t>
  </si>
  <si>
    <t>Draymond Green</t>
  </si>
  <si>
    <t>the Cleveland Cavalier</t>
  </si>
  <si>
    <t>the Golden State Warriors</t>
  </si>
  <si>
    <t>Oakland</t>
  </si>
  <si>
    <t>The Census results identify whites as at least 54 percent of 2012 voters in all five Rustbelt states â€” and no more than 44 percent in any of the Sunbelt states.</t>
  </si>
  <si>
    <t>Census</t>
  </si>
  <si>
    <t>Censu</t>
  </si>
  <si>
    <t>Rustbelt</t>
  </si>
  <si>
    <t>Andy Abboud, a top aide to Mr. Adelson, told Mr. Cruz he was not welcome there, according to two people in the suite who witnessed the exchange.</t>
  </si>
  <si>
    <t>Andy Abboud</t>
  </si>
  <si>
    <t>Adelson</t>
  </si>
  <si>
    <t>Cruz</t>
  </si>
  <si>
    <t>Americans in the market for luxury homes are searching in the French Riviera because of President Trump, according to a real estate expert.</t>
  </si>
  <si>
    <t>President Trump</t>
  </si>
  <si>
    <t>the French Riviera</t>
  </si>
  <si>
    <t>EleVen, a company, is undergoing a serious reboot since Ms. Williams hired two seasoned retail executives last year to help her centralize and take charge of operations.</t>
  </si>
  <si>
    <t>EleVen</t>
  </si>
  <si>
    <t>Williams</t>
  </si>
  <si>
    <t>I think it's very clear he's lost support in the last week."As for the lack of public support, Rogers added: "You have a reluctant commander in chief, first of all, who's trying to come to the American people and say, 'I'm going to do something, but I'm not going to do a lot.'</t>
  </si>
  <si>
    <t>Rogers</t>
  </si>
  <si>
    <t>Roger</t>
  </si>
  <si>
    <t>A graduate of George Washington University, Baroni got his start in politics before entering law school at the University of Virginia as a driver for Assembly Speaker Chuck Haytaian during Haytaians unsuccessful 1994 campaign to unseat Democrat Frank Lautenberg in the U.S. Senate.</t>
  </si>
  <si>
    <t>Baroni</t>
  </si>
  <si>
    <t>George Washington University</t>
  </si>
  <si>
    <t>Chuck Haytaian</t>
  </si>
  <si>
    <t>the U.S. Senate</t>
  </si>
  <si>
    <t>Since Donald Trumpâ€™s election to office, attacks in the US have eclipsed those that followed .</t>
  </si>
  <si>
    <t>Carla did not continue with her Rehab programme and is working through her problems with the support of her partner David by her side.</t>
  </si>
  <si>
    <t>Carla</t>
  </si>
  <si>
    <t>David</t>
  </si>
  <si>
    <t>Rehab</t>
  </si>
  <si>
    <t>His stance on â€œextreme vettingâ€ and stopping the mass importation of Muslim refugees should be welcomed and enthusiastically embraced by every American Jew.</t>
  </si>
  <si>
    <t>American Jew</t>
  </si>
  <si>
    <t>During last years uprising, Salehs government also pulled much of Yemens elite military - including key counterterrorism units - out of remote provincial areas to reinforce the capital.</t>
  </si>
  <si>
    <t>Salehs</t>
  </si>
  <si>
    <t>Saleh</t>
  </si>
  <si>
    <t>Yemens</t>
  </si>
  <si>
    <t>Yemen</t>
  </si>
  <si>
    <t>The tally of ISIS terrorists killed by the MOAB bomb dropped Thursday by the U. S. military in Afghanistan is up to 94, Afghan officials say.</t>
  </si>
  <si>
    <t>Afghan</t>
  </si>
  <si>
    <t>Afghanistan</t>
  </si>
  <si>
    <t>The New York tabloid endorsed Sandersâ€™ rival, Hillary Clinton, in a Wednesday editorial.</t>
  </si>
  <si>
    <t>New York</t>
  </si>
  <si>
    <t>Egypt says it will release the remains of EgyptAir 804 plane crash victims nearly seven months after the plane plunged into the Mediterranean sea, killing 66 people.</t>
  </si>
  <si>
    <t>victim</t>
  </si>
  <si>
    <t>EgyptAir</t>
  </si>
  <si>
    <t>Calexitâ€ supporters brag that they will have enough signatures to qualify for a ballot measure calling for Californiaâ€™s secession from the United States.</t>
  </si>
  <si>
    <t>California</t>
  </si>
  <si>
    <t xml:space="preserve"> On Thursday, Elon Musk unveiled a prototype of Teslaâ€™s new Model 3, the vehicle that, he hopes, will finally help electric cars go mainstream when it hits the market in December 2017. </t>
  </si>
  <si>
    <t>Elon Musk</t>
  </si>
  <si>
    <t>Tesla</t>
  </si>
  <si>
    <t>Teslaâ€™</t>
  </si>
  <si>
    <t>U. S. military veteran Melvin Rector died quietly at 94 years old after completing his â€œfinal missionâ€ of once again setting foot in London, where he served 71 years earlier during World War II.</t>
  </si>
  <si>
    <t>Melvin Rector</t>
  </si>
  <si>
    <t>London</t>
  </si>
  <si>
    <t>an American agent.There was even a report that a group of Ahmad Khomeini loyalists within the Islamic Revolutionary Guards Corps (IRGC) seized control of a missile battery in southern Iran seeking to target US military forces in Saudi Arabia to start a war that could help Khomeinis son seize power in Tehran.</t>
  </si>
  <si>
    <t>Ahmad Khomeini</t>
  </si>
  <si>
    <t>Khomeinis</t>
  </si>
  <si>
    <t>IRGC</t>
  </si>
  <si>
    <t xml:space="preserve">Monday morning, as we were all absorbing the horrors of the Pulse attack in Orlando </t>
  </si>
  <si>
    <t>Orlando</t>
  </si>
  <si>
    <t>Andrew Sullivan has argued that Obama â€œwas elected as a pragmatic, unifying reformist,â€ called the president a â€œdecent, pragmatic man,â€ and praised his early â€œambition to transcend the old politics in favor of pragmatic reformâ€ and his â€œpragmatic responseâ€ to the Islamic State.</t>
  </si>
  <si>
    <t>Andrew Sullivan</t>
  </si>
  <si>
    <t>And the citys place on the fashion map is likely to become more prominent this summer thanks to a great halo effect that the Olympic Games will bring, British Fashion Council chairman Harold Tillman told Reuters.</t>
  </si>
  <si>
    <t>Council</t>
  </si>
  <si>
    <t>British Fashion Council</t>
  </si>
  <si>
    <t>Harold Tillman</t>
  </si>
  <si>
    <t>Chinese</t>
  </si>
  <si>
    <t>Ireland</t>
  </si>
  <si>
    <t>Spain</t>
  </si>
  <si>
    <t>Now China has warned its citizens to be careful of anti-Beijing protests, saying some Chinese tourists have recently been "attacked and disturbed".The notice, posted on the Ministry of Foreign Affairs website on Sunday, said there had been "multiple" demonstrations in Turkey targeting the Chinese government.</t>
  </si>
  <si>
    <t>Ministry of Foreign Affairs</t>
  </si>
  <si>
    <t>the Ministry of Foreign Affair</t>
  </si>
  <si>
    <t>Former New York City Michael Bloomberg issued a directive that Bloomberg journalists not attack Republican frontrunner Donald Trump after he complained about coverage, according to a report from New York Magazine.</t>
  </si>
  <si>
    <t>Michael Bloomberg</t>
  </si>
  <si>
    <t xml:space="preserve"> There were freakouts over Red Lobster and hot sauce, Blue Ivy and #BlackLivesMatter</t>
  </si>
  <si>
    <t>Red Lobster</t>
  </si>
  <si>
    <t>Blue Ivy</t>
  </si>
  <si>
    <t xml:space="preserve">The price rout, due to an oversupply thanks in part to the U. S. shale oil revolution, was accentuated later that year when Saudi Arabia rejected any deal by the Organization of the Petroleum Exporting Countries (OPEC) to cut output and instead fought for market share. </t>
  </si>
  <si>
    <t>the Organization of the Petroleum Exporting Countries</t>
  </si>
  <si>
    <t>OPEC</t>
  </si>
  <si>
    <t>Saudi Arabia</t>
  </si>
  <si>
    <t>German army trucks and trailers were set on fire to protest the â€œmilitarisationâ€ of the migrant crisis outside of Leipzig, and responsibility for the attack has been claimed by a leftist website, reports NTV.</t>
  </si>
  <si>
    <t>Leipzig</t>
  </si>
  <si>
    <t>NTV</t>
  </si>
  <si>
    <t>Trump on Thursday launched a trade probe against China and other exporters of cheap steel into the U. S. market, raising the possibility of new tariffs and triggering a chance of retaliatory action.</t>
  </si>
  <si>
    <t>Here's what Jagger said in an interview with Chicago Tribune rock critic Greg Kot in April:Everyone had a really good time in the five shows before Christmas (in London, New Jersey and New York).</t>
  </si>
  <si>
    <t>Jagger</t>
  </si>
  <si>
    <t>Greg Kot</t>
  </si>
  <si>
    <t>World soccerâ€™s governing body, FIFA, has barred Russiaâ€™s deputy prime minister, Vitaly Mutko, from seeking to his position as a top executive of the organization.</t>
  </si>
  <si>
    <t>Vitaly Mutko</t>
  </si>
  <si>
    <t>So as the Republicans form their circular firing squad in the final days before the Iowa caucus and the start of the primaries, letâ€™s see where the ricochets, based on national polling, might go.</t>
  </si>
  <si>
    <t xml:space="preserve"> In 1986, President Ronald Reagan and Congress came together to pass a landmark tax reform bill that streamlined tax brackets, cut rates, closed loopholes and eliminated tax breaks.</t>
  </si>
  <si>
    <t>President Ronald Reagan</t>
  </si>
  <si>
    <t>Ronald Reagan</t>
  </si>
  <si>
    <t>The top Democrat on the committee, Rep. Elijah E. Cummings, accused Gowdy last week of overstepping the bounds of his committee.</t>
  </si>
  <si>
    <t>Elijah E. Cummings</t>
  </si>
  <si>
    <t>Gowdy</t>
  </si>
  <si>
    <t>The Court recommended that a seventh, catch-all category be created - Believers of the Faith - for ID cards.This is a new chapter for religious freedom in Indonesia for both government and followers of indigenous religions, Naipospos said.</t>
  </si>
  <si>
    <t>Indonesia</t>
  </si>
  <si>
    <t>Court</t>
  </si>
  <si>
    <t>Naipospos</t>
  </si>
  <si>
    <t>Snow also sought criminal charges against Arpaios second-in-command, Gerard Sheridan, along with Maricopa County Sheriffs Captain Steve Bailey and an Arpaio attorney, Michele Iafrate.</t>
  </si>
  <si>
    <t>Snow</t>
  </si>
  <si>
    <t>Arpaio</t>
  </si>
  <si>
    <t>Arpaios</t>
  </si>
  <si>
    <t>Steve Bailey</t>
  </si>
  <si>
    <t xml:space="preserve"> House Speaker Paul Ryan began the hard work Tuesday of convincing nervous Republicans to back the party and its presumptive </t>
  </si>
  <si>
    <t xml:space="preserve"> Franceâ€™s PSA Group ( ) has agreed to buy Opel from General Motors ( ) in a deal valuing the business at 2. 2 billion euros ($2. 3 billion) creating a new European car giant to challenge market leader Volkswagen ( ).</t>
  </si>
  <si>
    <t>PSA Group</t>
  </si>
  <si>
    <t>Opel</t>
  </si>
  <si>
    <t>General Motor</t>
  </si>
  <si>
    <t xml:space="preserve">The clearest refutation of the claim of or the claim that Mr. Trump is someone who encourages, condones or panders to behavior, is his lifelong embrace of the Jewish people and his record of staunch support for Jewish causes and Israel. </t>
  </si>
  <si>
    <t>Israel</t>
  </si>
  <si>
    <t>Corinthian Colleges, one of the largest chains, closed its doors last year following a U. S. Education Department investigation and a Consumer Financial Protection Bureau lawsuit that charged the company with falsifying its rates.</t>
  </si>
  <si>
    <t>Corinthian Colleges</t>
  </si>
  <si>
    <t>Corinthian College</t>
  </si>
  <si>
    <t>U. S. Education Department</t>
  </si>
  <si>
    <t>a U. S. Education Department</t>
  </si>
  <si>
    <t>Clinton never pursued Pennâ€™s notion as a line of attack.</t>
  </si>
  <si>
    <t>Pennâ€™</t>
  </si>
  <si>
    <t>GOP chairman Reince Priebus doubled down on his newfound love for Donald Trump on Wednesday, saying the tycoonâ€™s unconventional campaign was actually a good thing for the party.</t>
  </si>
  <si>
    <t>Reince Priebus</t>
  </si>
  <si>
    <t>Reince Priebu</t>
  </si>
  <si>
    <t>If the Jets were playing this week, McCown would start because of his experience in a West Coast offense.</t>
  </si>
  <si>
    <t>Jets</t>
  </si>
  <si>
    <t>Jet</t>
  </si>
  <si>
    <t>McCown</t>
  </si>
  <si>
    <t>West Coast</t>
  </si>
  <si>
    <t>A Royal source revealed to Daily Star Online that when the Queen turns 95, she will trigger the Regency Act.</t>
  </si>
  <si>
    <t>Daily Star Online</t>
  </si>
  <si>
    <t>Royal</t>
  </si>
  <si>
    <t>Queen</t>
  </si>
  <si>
    <t>And Guterres has previously urged Zeid to tone down his critiques of Trump, fearing it could risk losing U.S. support for the United Nations, according to diplomatic sources.</t>
  </si>
  <si>
    <t>Guterres</t>
  </si>
  <si>
    <t>Guterre</t>
  </si>
  <si>
    <t>Zeid</t>
  </si>
  <si>
    <t>the United Nation</t>
  </si>
  <si>
    <t xml:space="preserve">Americaâ€™s Newsroom,â€ Sen. Ron Johnson ( ) reacted to President Barack Obamaâ€™s pledge on NPR to take action on the alleged Russian hacking. </t>
  </si>
  <si>
    <t>Ron Johnson</t>
  </si>
  <si>
    <t>take</t>
  </si>
  <si>
    <t>the</t>
  </si>
  <si>
    <t xml:space="preserve"> When Brent Thompson saw you in church, said Sandra Hughes, heâ€™d wrap you in a hug.</t>
  </si>
  <si>
    <t>Brent Thompson</t>
  </si>
  <si>
    <t>Sandra Hughes</t>
  </si>
  <si>
    <t>Sandra Hughe</t>
  </si>
  <si>
    <t>A powerful drug thatâ€™s normally used to tranquilize elephants is being blamed for a record spike in drug overdoses in the Midwest.</t>
  </si>
  <si>
    <t>Midwest</t>
  </si>
  <si>
    <t>Partial cloud cover and possible fatigue on Kussâ€™s part were listed as contributing factors, with investigating officers noting that he did not sign a required â€œ â€ to formally accept his aircraft that day, turn on his transponder in the plane or turn off the afterburner despite saying he would do so over the radio, according to Navy documents.</t>
  </si>
  <si>
    <t>Kuss</t>
  </si>
  <si>
    <t>Ku</t>
  </si>
  <si>
    <t>Navy</t>
  </si>
  <si>
    <t>â€™s recent appearance on Breitbart News Daily opened up a robust conversation and debate with Sirius XM Patriot listeners and sparked headlines nationwide,â€ said Dave Gorab, Vice President and General Manager, Talk Programming for Sirius XM.</t>
  </si>
  <si>
    <t>Dave Gorab</t>
  </si>
  <si>
    <t>Talk Programming for Sirius XM</t>
  </si>
  <si>
    <t xml:space="preserve">On Thursday, the driver of a Tesla Model S car, operating in Autopilot mode, was killed in a collision with a truck in the United States, prompting an investigation by federal highway safety regulators. </t>
  </si>
  <si>
    <t>Autopilot</t>
  </si>
  <si>
    <t xml:space="preserve">As Turx later explained on Fox News, he believed Trump is unfairly accused of antisemitism by a hostile press </t>
  </si>
  <si>
    <t>Turx</t>
  </si>
  <si>
    <t>Fox New</t>
  </si>
  <si>
    <t>Sen. Jim Rischâ€™s chief of staff, John Sandy, said the decision to ask constituents to schedule meetings came amid the senator receiving â€1, 000s of calls a dayâ€ and receiving visitors daily at his Boise office for the past two weeks, â€œdemanding meetings right now,â€ according to the Idaho Statesman.</t>
  </si>
  <si>
    <t>Jim Risch</t>
  </si>
  <si>
    <t>visitor</t>
  </si>
  <si>
    <t>John Sandy</t>
  </si>
  <si>
    <t>office</t>
  </si>
  <si>
    <t>The persistence of the non-conversation is the main burden of Matt Bai's The Argument; it also explains why no one takes seriously books like Robert Reich's new one critiquing turbocharged capitalism.</t>
  </si>
  <si>
    <t>Matt Bai's</t>
  </si>
  <si>
    <t>Matt Bai</t>
  </si>
  <si>
    <t>Robert Reich's</t>
  </si>
  <si>
    <t>Robert Reich</t>
  </si>
  <si>
    <t xml:space="preserve">A deal to prop up British Prime Minister Theresa Mayâ€™s government could come at the cost of peace in Northern Ireland, politicians have warned. </t>
  </si>
  <si>
    <t>British</t>
  </si>
  <si>
    <t>May</t>
  </si>
  <si>
    <t>Minister Theresa May</t>
  </si>
  <si>
    <t>warned</t>
  </si>
  <si>
    <t>Meth is blamed for 40 percent of crime on native land, and most tribal police say domestic violence and assault has increased as a result of addiction, according to the NCAI.Just thirteen tribal police patrol Fort Pecks 3,200 square miles, according to the local Journal newspaper.</t>
  </si>
  <si>
    <t>Meth</t>
  </si>
  <si>
    <t>NCAI.Just</t>
  </si>
  <si>
    <t>Journal</t>
  </si>
  <si>
    <t>: Malaysian officials announced today that the poison used last week to kill the exiled of North Korean dictator Kim Jong Un was VX nerve agent, a chemical so lethal that itâ€™s classified as a weapon of mass destruction.</t>
  </si>
  <si>
    <t>Malaysian</t>
  </si>
  <si>
    <t>dictator</t>
  </si>
  <si>
    <t>North Korean</t>
  </si>
  <si>
    <t>nerve</t>
  </si>
  <si>
    <t>Levys purpose is to unbalance household budgets (increase debt over income) in order to increase the state budget surplus and ensure full and prompt debt payments to creditors like his own Bradesco conglomerate.</t>
  </si>
  <si>
    <t>Levys</t>
  </si>
  <si>
    <t>Levy</t>
  </si>
  <si>
    <t>Bradesco</t>
  </si>
  <si>
    <t>At one extreme sit those conservatives who championed Trump during the campaign, and still do: Breitbart, Sean Hannity, Laura Ingraham, Ann Coulter, among others.</t>
  </si>
  <si>
    <t>Laura Ingraham</t>
  </si>
  <si>
    <t xml:space="preserve"> Sam van der Staak is the Head for Europe at the International Institute for Democracy and Electoral Assistance (IDEA). </t>
  </si>
  <si>
    <t>Sam van der Staak</t>
  </si>
  <si>
    <t>Sam van der</t>
  </si>
  <si>
    <t>the International Institute for Democracy and Electoral Assistance</t>
  </si>
  <si>
    <t>During the Clinton administration, Tripp first served as support staff to the Immediate Office of the President, where she sat just outside Bill Clintonâ€™s Oval Office.</t>
  </si>
  <si>
    <t>Tripp</t>
  </si>
  <si>
    <t>the Immediate Office of the President</t>
  </si>
  <si>
    <t>Hurt, a native of Derbyshire in England, garnered his first Academy Award nomination for his supporting role as Max, an inmate and heroin addict who befriends the imprisoned drug smuggler Billy inside a Turkish jail in the gripping 1978 drama â€Midnight Expressâ€.</t>
  </si>
  <si>
    <t>Hurt</t>
  </si>
  <si>
    <t>Derbyshire</t>
  </si>
  <si>
    <t>Max</t>
  </si>
  <si>
    <t>Academy Award</t>
  </si>
  <si>
    <t>Donald Trump took to Twitter just before the start of Tuesdayâ€™s vice presidential debate to take a jab at Bill Clinton over recent comments the former president has made about the Affordable Care Act. â€ â€™ â€</t>
  </si>
  <si>
    <t>before</t>
  </si>
  <si>
    <t>Bill Clinton</t>
  </si>
  <si>
    <t>of</t>
  </si>
  <si>
    <t>A series of house raids in Belgium have put six people in custody who are suspected of being involved with a plot to carry out a terrorist attack during New Yearâ€™s Eve celebrations in Brussels.</t>
  </si>
  <si>
    <t>Belgium</t>
  </si>
  <si>
    <t>Brussels</t>
  </si>
  <si>
    <t>Many Trump supporters were once Obama voters, and Democrats say they can win enough of those voters back if they focus their message on issues.</t>
  </si>
  <si>
    <t>He did write former Secretary Clinton an email memo describing his use of his personal AOL email account for unclassified messages and how it vastly improved communications within the State Department,â€ his office told NBC on Friday.</t>
  </si>
  <si>
    <t>Secretary Clinton</t>
  </si>
  <si>
    <t>AOL</t>
  </si>
  <si>
    <t>New Orders singer and guitarist Bernard Sumner, in particular, is a twat on one page, keenly appreciated on the next:</t>
  </si>
  <si>
    <t>New Orders</t>
  </si>
  <si>
    <t>New Order</t>
  </si>
  <si>
    <t>Bernard Sumner</t>
  </si>
  <si>
    <t>Democratic presidential candidates Sen. Bernie Sanders ( ) and Hillary Clinton have stopped calling each other to offer their congratulations on caucus and primary victories, according to a Sunday Politico report.</t>
  </si>
  <si>
    <t>Bernie Sanders</t>
  </si>
  <si>
    <t>Bernie Sander</t>
  </si>
  <si>
    <t>hire vetters to vet the vetters.The fact that his staff made similar tactical attacks on Clinton, on very similar issues (actually, nobody on in Clintons orbit was ever accused of getting a special deal from Countrywide) makes it harder for Obama to take cover on the high road here.</t>
  </si>
  <si>
    <t>Clintons</t>
  </si>
  <si>
    <t>Countrywide</t>
  </si>
  <si>
    <t>Last month, House Appropriations committee member Chris Stewart of Utah unveiled a bill calling for federal health agencies to spend roughly $1. 2 billion in remaining funds set aside to respond to 2014â€™s Ebola outbreak on Zika instead, a position supported by the spending committeeâ€™s leadership.</t>
  </si>
  <si>
    <t>House Appropriations committee</t>
  </si>
  <si>
    <t>House Appropriation</t>
  </si>
  <si>
    <t>Chris Stewart</t>
  </si>
  <si>
    <t>In a colorful scene described in a Washington Post story Wednesday, reporters said Spicer â€œspent several minutes hidden in the bushesâ€ to avoid taking questions about why President Trump fired FBI Director James Comey.</t>
  </si>
  <si>
    <t>Spicer</t>
  </si>
  <si>
    <t>tory</t>
  </si>
  <si>
    <t>Donald Trumpâ€™s close financial ties to Energy Transfer Partners, operators of the controversial Dakota Access oil pipeline, have been laid bare, with the presidential candidate invested in the company and receiving more than $100, 000 in campaign contributions from its chief executive.</t>
  </si>
  <si>
    <t>Energy Transfer Partners</t>
  </si>
  <si>
    <t>Energy Transfer Partner</t>
  </si>
  <si>
    <t>Schwarzmanâ€™s firm is a major Clinton Foundation donor, but he personally donates heavily to GOP candidates and causes.</t>
  </si>
  <si>
    <t>Schwarzman</t>
  </si>
  <si>
    <t>Schwarzmanâ€™</t>
  </si>
  <si>
    <t>Clinton Foundation</t>
  </si>
  <si>
    <t>The Harvard Business School student had voted for Hillary Clinton, and she couldnâ€™t fathom how Donald Trump had managed to win the presidency.</t>
  </si>
  <si>
    <t>how</t>
  </si>
  <si>
    <t>And when referring to a comment that Putin made about you, I think he called you a brilliant leader, you said itâ€™s always a great honor to be so nicely complimented by a man so highly respected within his country and beyond.</t>
  </si>
  <si>
    <t>Want to know why the Philippines president, Rodrigo Duterte, seems to hate the U. S. so much?</t>
  </si>
  <si>
    <t>Philippine</t>
  </si>
  <si>
    <t>Rodrigo Duterte</t>
  </si>
  <si>
    <t>the U. S.</t>
  </si>
  <si>
    <t>For the first time since the start of Britainâ€™s referendum fight over Europe, the polls predict â€œBrexit.</t>
  </si>
  <si>
    <t>Britain</t>
  </si>
  <si>
    <t>News of the move sparked rumours Duchesses Catherine and Meghan are in a rift.And the speculation over Meghans royal ways has continued to hit the headlines, with one recent report claiming Prince Harry would not be joining his relatives for the annual Christmas Day hunt due to his wife</t>
  </si>
  <si>
    <t>Catherine</t>
  </si>
  <si>
    <t>Duchesses Catherine</t>
  </si>
  <si>
    <t>Meghan</t>
  </si>
  <si>
    <t xml:space="preserve"> In another sign of the fight left in Bernie Sandersâ€™s campaign, the Democratic presidential hopeful appears to have picked up at least a couple of delegates in Nevada, a state where Hillary Clinton was declared the winner on Feb. 20.</t>
  </si>
  <si>
    <t>Bernie Sandersâ€™s</t>
  </si>
  <si>
    <t>Fears of a shutdown also compounded worries in stock markets, which extended a week-long sell-off, prompting some safe-haven inflows into bullion.Its still a very keen risk-off mentality in the world marketplace heading into the weekend and into the Christmas holiday next week, Kitco Metals senior analyst Jim Wyckoff wrote in a note.</t>
  </si>
  <si>
    <t>Kitco Metals</t>
  </si>
  <si>
    <t>Kitco Metal</t>
  </si>
  <si>
    <t>Jim Wyckoff</t>
  </si>
  <si>
    <t>They have also given us the marvellous Lord Fink, the Tory donor and former Treasurer who first threatened to sue Ed Miliband when the Labour leader attacked him in the Commons, then retreated by saying that he couldnt really complain about being called a tax-avoider because he was one.</t>
  </si>
  <si>
    <t>Fink</t>
  </si>
  <si>
    <t>Tory</t>
  </si>
  <si>
    <t>Ed Miliband</t>
  </si>
  <si>
    <t>Common</t>
  </si>
  <si>
    <t>Saudi and U.S. authorities claimed the missiles Iranian attributes proved that Tehran was behind the attack.</t>
  </si>
  <si>
    <t>Saudi</t>
  </si>
  <si>
    <t>Iranian</t>
  </si>
  <si>
    <t>Tehran</t>
  </si>
  <si>
    <t>This week, the biggest dispute in decades is getting a hearing at the U. S. Patent and Trademark Office headquarters.</t>
  </si>
  <si>
    <t>U. S. Patent and Trademark Office</t>
  </si>
  <si>
    <t>Trademark Office</t>
  </si>
  <si>
    <t>After CBS Late Show host Stephen Colbert told viewers that lawyers representing his old Comedy Central show said he couldnâ€™t be â€œ</t>
  </si>
  <si>
    <t>CBS</t>
  </si>
  <si>
    <t>Stephen Colbert</t>
  </si>
  <si>
    <t>Comedy Central</t>
  </si>
  <si>
    <t xml:space="preserve">AQAP also claimed credit for the January 2015 attack on the Paris offices of the satirical magazine Charlie Hebdo, in which 11 people died. </t>
  </si>
  <si>
    <t>AQAP</t>
  </si>
  <si>
    <t>Charlie Hebdo</t>
  </si>
  <si>
    <t>Former Deputy Attorney General Sally Yates declined to say any Presidential candidates had their communications intercepted by American intelligence during the 2016 campaign Monday.</t>
  </si>
  <si>
    <t>Sally Yates</t>
  </si>
  <si>
    <t>Sally Yate</t>
  </si>
  <si>
    <t>Todayâ€™s disclosure that 30 additional emails about Benghazi were discovered on Hillary Clintonâ€™s private server raises additional questions about the more than 30, 000 emails she deleted,â€ stated Trumpâ€™s senior communications advisor Jason Miller.</t>
  </si>
  <si>
    <t>Hillary Clintonâ€™s</t>
  </si>
  <si>
    <t>Jason Miller</t>
  </si>
  <si>
    <t xml:space="preserve"> Global equity markets fell sharply on Monday, while gold and bonds rose, after a 7 percent slide in Chinese shares sparked by weak economic data rekindled worries over global growth on the first day of trading in 2016.</t>
  </si>
  <si>
    <t>Global</t>
  </si>
  <si>
    <t>Americans are 270 times more likely to die in a workplace accident than from a terrorist attack, yet the Department of Homeland Securitys budget in 2012 was $47 billion, while OSHAs budget was only $588 million.</t>
  </si>
  <si>
    <t>the Department of Homeland Security</t>
  </si>
  <si>
    <t>the Department of Homeland Securitys</t>
  </si>
  <si>
    <t>OSHA</t>
  </si>
  <si>
    <t>Donald Trump told the New York Times on Wednesday that Ben Carson will sit on his committee to help select a running mate now that the real estate mogul is the presumptive Republican nominee.</t>
  </si>
  <si>
    <t>Ben Carson</t>
  </si>
  <si>
    <t>Defendant Justin S. arrives at a courtroom in Dresden, Germany, March 7, 2017, at the start of a trial against the far-right group "Gruppe Freital".</t>
  </si>
  <si>
    <t>Justin S.</t>
  </si>
  <si>
    <t>Gruppe Freital</t>
  </si>
  <si>
    <t>Germany</t>
  </si>
  <si>
    <t>Even with Cliven Bundy and many of his militia supporters in jail, anger toward the federal government is still running high in some parts of the West.</t>
  </si>
  <si>
    <t>Cliven Bundy</t>
  </si>
  <si>
    <t>West</t>
  </si>
  <si>
    <t>People who once were over the moon for the Washington outsider began to question his credentials after the Paris and San Bernardino attacks this fall, and now is back where news coverage comes mostly for statements.</t>
  </si>
  <si>
    <t>Paris</t>
  </si>
  <si>
    <t>This year is no different, as the 2012-2013 calendar ushers in the debut performances of five emerging artists -- Liudmyla Monastyrska, Kristine Opolais, Elza van den Heever, Alek Shrader, and Janai Brugger.</t>
  </si>
  <si>
    <t>Liudmyla Monastyrska</t>
  </si>
  <si>
    <t>Kristine Opolai</t>
  </si>
  <si>
    <t>Kristine Opolais</t>
  </si>
  <si>
    <t>Janai Brugger</t>
  </si>
  <si>
    <t>Cruz, taking a shot at Trump and echoing George Willâ€™s criticism, opens his speech by saying that Palestine has not existed since 1948.</t>
  </si>
  <si>
    <t>George Willâ€™</t>
  </si>
  <si>
    <t>Palestine</t>
  </si>
  <si>
    <t>President of MTV Networks International and Chair of the Global Business Council (GBC) on HIV &amp; AIDS Bill Roedy accepts an Award of Courage during the amfAR, The Foundation for AIDS Research, gala benefit in New York January 31, 2007.</t>
  </si>
  <si>
    <t>Bill Roedy</t>
  </si>
  <si>
    <t>Chris Wondolowski and Julian Green scored goals, lifting the United States to a victory Friday over Cuba in its first exhibition game in 69 years at the Caribbean island nation.</t>
  </si>
  <si>
    <t>Chris Wondolowski</t>
  </si>
  <si>
    <t>Julian Green</t>
  </si>
  <si>
    <t>North Carolinaâ€™s GOP governor has closed a polling gap with his Democratic rival in the last two weeks, as voters push back against the Democratsâ€™ use of the transgender bathroom controversy to tarnish the governorâ€™s successful economic record.</t>
  </si>
  <si>
    <t>governor</t>
  </si>
  <si>
    <t>North Carolinaâ€™</t>
  </si>
  <si>
    <t>Several Republicans from large states that accepted the ACAâ€™s Medicaid expansion previously opposed the House legislation for cutting that portion of the law, a move that would leave millions without health insurance.</t>
  </si>
  <si>
    <t>ACAâ€™s Medicaid</t>
  </si>
  <si>
    <t>Medicaid</t>
  </si>
  <si>
    <t>The Centers for Disease Control and Prevention recently declared that thereâ€™s indisputable evidence that Zika can cause a devastating birth defect called microcephaly, which is characterized by a shrunken head and incomplete brain development.</t>
  </si>
  <si>
    <t>The Centers for Disease Control and Prevention</t>
  </si>
  <si>
    <t>Barack is supported by Allison Winfield, who I met at the Obama rally in Sunnyside, Florida.</t>
  </si>
  <si>
    <t>Barack</t>
  </si>
  <si>
    <t>Allison Winfield</t>
  </si>
  <si>
    <t>Florida</t>
  </si>
  <si>
    <t>According to a piece in the Huffington Post, referring â€œto the QUEER communityâ€ as â€œLGBTâ€ is â€œnot really politically correct anymoreâ€ because itâ€™s just not inclusive enough.</t>
  </si>
  <si>
    <t>the Huffington Post</t>
  </si>
  <si>
    <t>QUEER</t>
  </si>
  <si>
    <t>LGBT</t>
  </si>
  <si>
    <t>A social media scandal erupted in a small Mississippi town on Friday night, ahead of the Martin Luther King Day federal holiday.</t>
  </si>
  <si>
    <t>Mississippi</t>
  </si>
  <si>
    <t>the Martin Luther King Day</t>
  </si>
  <si>
    <t>I think a lot of it has to do with ignorance thatâ€™s rooted in fear of the other,â€ said Nwanguma, 21, when asked about the incident Thursday.</t>
  </si>
  <si>
    <t>I</t>
  </si>
  <si>
    <t>Nwanguma</t>
  </si>
  <si>
    <t>Samuelsâ€™s massive New York Times magazine profile of Rhodes, President Obamaâ€™s deputy national security adviser for strategic communications, is already prompting debates over the administration</t>
  </si>
  <si>
    <t>Samuels</t>
  </si>
  <si>
    <t>adviser</t>
  </si>
  <si>
    <t>Rhodes</t>
  </si>
  <si>
    <t>trategic</t>
  </si>
  <si>
    <t>President Donald Trump was warmly welcomed by union workers attending the 2017 North Americaâ€™s Building Trades Union legislative conference, as he promised to restore American jobs.</t>
  </si>
  <si>
    <t>North Americaâ€™</t>
  </si>
  <si>
    <t>Building Trades Union</t>
  </si>
  <si>
    <t xml:space="preserve"> Robert Borosage is president of the Institute for Americaâ€™s Future and was an adviser to Jesse Jacksonâ€™s 1988 campaign. </t>
  </si>
  <si>
    <t>Robert Borosage</t>
  </si>
  <si>
    <t>Jesse Jacksonâ€™s</t>
  </si>
  <si>
    <t>the Institute for Americaâ€™s Future</t>
  </si>
  <si>
    <t>Jeanette Lilly Hunt was 18 when her rented a room in his Camden, N. J. home to two students who were studying across the Delaware River at the Crozer Theological Seminary.</t>
  </si>
  <si>
    <t>Jeanette Lilly Hunt</t>
  </si>
  <si>
    <t>N. J.</t>
  </si>
  <si>
    <t>the Crozer Theological Seminary</t>
  </si>
  <si>
    <t>the Delaware River</t>
  </si>
  <si>
    <t>(Reuters) - A hedge fund manager from a prominent Denver family was sentenced in New York to one year and one day in prison on Wednesday after pleading guilty to insider trading charges.</t>
  </si>
  <si>
    <t>Reuters</t>
  </si>
  <si>
    <t>Reuter</t>
  </si>
  <si>
    <t>Denver</t>
  </si>
  <si>
    <t>Bir Qassab, a rugged, desolate area, was a former stronghold that had given Islamic State a springboard for attacks on territory just to the east of Damascus and a base for maintaining their grip on large swathes of the Badia region.</t>
  </si>
  <si>
    <t>Islamic State</t>
  </si>
  <si>
    <t>Bir Qassab</t>
  </si>
  <si>
    <t>Damascus</t>
  </si>
  <si>
    <t>More than a month has passed since Iran failed to meet the Security Council's deadline to halt all uranium enrichment activities until it can resolve concerns expressed by the International Atomic Energy Agency (IAEA) over its program.</t>
  </si>
  <si>
    <t>the Security Council's Council</t>
  </si>
  <si>
    <t>the Security Council</t>
  </si>
  <si>
    <t>the International Atomic Energy Agency</t>
  </si>
  <si>
    <t>IAEA</t>
  </si>
  <si>
    <t>Angela Davis has carried on the cause by promoting an end to â€œmass incarceration,â€ which is one of the Black Lives Matter movementâ€™s key demands.</t>
  </si>
  <si>
    <t>Angela Davis</t>
  </si>
  <si>
    <t>Angela Davi</t>
  </si>
  <si>
    <t>Black Lives Matter</t>
  </si>
  <si>
    <t>Robert Griffin IIIâ€™s stint in Washington lasted longer than his marriage.</t>
  </si>
  <si>
    <t>Robert Griffin IIIâ€™s</t>
  </si>
  <si>
    <t>Robert Griffin IIIâ€™</t>
  </si>
  <si>
    <t>But Farid Ikken, the man who attacked a policeman at Notre Dame cathedral in Paris, had a masters degree and was studying for a PhD in media at a French university.</t>
  </si>
  <si>
    <t>Farid Ikken</t>
  </si>
  <si>
    <t>General Motors is recalling nearly 6, 300 police cars in the U. S. because the electric steering can fail.</t>
  </si>
  <si>
    <t>General Motors</t>
  </si>
  <si>
    <t>The daughter of Palestinian immigrants is to be the Berlin senateâ€™s secretary of state for coordinating federal and state affairs, but attention has focused on her recent remarks in support of Sharia law.</t>
  </si>
  <si>
    <t>Palestinian</t>
  </si>
  <si>
    <t>secretary</t>
  </si>
  <si>
    <t>Berlin</t>
  </si>
  <si>
    <t>In the blink of a few thousand likes and shares, Texas teacher Brandy Youngâ€™s homework policy gained the viral notoriety normally reserved for .</t>
  </si>
  <si>
    <t>Brandy Young</t>
  </si>
  <si>
    <t>Brandy Youngâ€™</t>
  </si>
  <si>
    <t>After the terrorist attacks in Paris in November, governors in the nation publicly rejected President Obamaâ€™s plan to relocate Syrian refugees into the United States, as reported by Breitbart News.</t>
  </si>
  <si>
    <t>A foiled the Metsâ€™ original plan to trade Bruce and his $13 million salary in return for a prospect and then use the payroll flexibility to acquire a reliever.</t>
  </si>
  <si>
    <t>Mets</t>
  </si>
  <si>
    <t>Met</t>
  </si>
  <si>
    <t>Bruce</t>
  </si>
  <si>
    <t>Urging Americans to treat each other with respect, Mr. Ansari said that Mr. Trumpâ€™s victory had nonetheless empowered a â€œtiny slice of people that have gotten way too fired up.</t>
  </si>
  <si>
    <t>Ansari</t>
  </si>
  <si>
    <t>Why Ioffeâ€™s article incited so much hate from Trump supporters</t>
  </si>
  <si>
    <t>Ioffe</t>
  </si>
  <si>
    <t>Ioffeâ€™</t>
  </si>
  <si>
    <t xml:space="preserve"> Deutsche Telekom ( ) is â€™not in the moodâ€™ to sell US ( ) its chief executive said on Wednesday, although it is watching for any change in the U. S. regulatory environment under Donald Trumpâ€™s administration.</t>
  </si>
  <si>
    <t>Deutsche Telekom</t>
  </si>
  <si>
    <t>Donald Trumpâ€™s administration</t>
  </si>
  <si>
    <t xml:space="preserve">The Federal Agency for Migration and Refugees (BAMF) has had a hard time determining the age or country of origin of the migrants, but that may change as the government looks to allow them to examine the migrantsâ€™ mobile phones Die Welt reports. </t>
  </si>
  <si>
    <t>The Federal Agency for Migration and Refugees</t>
  </si>
  <si>
    <t>The Federal Agency for Migration and Refugees (</t>
  </si>
  <si>
    <t>BAMF</t>
  </si>
  <si>
    <t>Die Welt</t>
  </si>
  <si>
    <t>Wednesday (Mar. 22) sees the release of CondÃ© Nast Travelerâ€™s new Africa issue, which shines a light on one of the wordâ€™s (still!)</t>
  </si>
  <si>
    <t>CondÃ© Nast Travelerâ€™s</t>
  </si>
  <si>
    <t>CondÃ© Nast Travelerâ€™</t>
  </si>
  <si>
    <t>Africa</t>
  </si>
  <si>
    <t>On Friday, Israels attorney general said there was no legal reason to prevent him from announcing, before the election, any intention to indict Netanyahu on corruption charges</t>
  </si>
  <si>
    <t>Israels</t>
  </si>
  <si>
    <t>Netanyahu</t>
  </si>
  <si>
    <t>and I cant wait to see them go to the Games and step up again, said Bob Bowman, Phelps longtime coach who will take charge of the U.S. mens team in Rio.I feel very good about where we are now but going forward we are going to have to step up to a new level.We</t>
  </si>
  <si>
    <t>Bob Bowman</t>
  </si>
  <si>
    <t>Phelp</t>
  </si>
  <si>
    <t>Phelps</t>
  </si>
  <si>
    <t>White House demands vote Friday on Obamacare repeal, come hell or high water.</t>
  </si>
  <si>
    <t>The Knicks and that team would have to agree on an acceptable return package and Anthony would need to waive his clause.</t>
  </si>
  <si>
    <t>Knicks</t>
  </si>
  <si>
    <t>Knick</t>
  </si>
  <si>
    <t>Anthony</t>
  </si>
  <si>
    <t>Like I said, no real downside!Probably the most famous case of handicapped-parking fraud happened in 1999, when NFL quarterback Cade McNown and 18 other current and former UCLA football players were charged with illegally using handicapped parking placards while they were enrolled at the school.</t>
  </si>
  <si>
    <t>Cade McNown</t>
  </si>
  <si>
    <t>UCLA</t>
  </si>
  <si>
    <t>Derrick Rose, part of the contingent lectured by Jackson during the secret Thursday session, revealed the Zen Master will continue to teach the triangle as the season winds down.</t>
  </si>
  <si>
    <t>Derrick Rose</t>
  </si>
  <si>
    <t>ession</t>
  </si>
  <si>
    <t>Jackson</t>
  </si>
  <si>
    <t>triangle</t>
  </si>
  <si>
    <t>The accused was the sole person within Republika Srpska (the Bosnian Serb Republic) with the power to prevent the killing of the Bosnian Muslim males,â€ said presiding judge Kwok, in a reference to the 8, 000 killed at Srebrenica.</t>
  </si>
  <si>
    <t>person</t>
  </si>
  <si>
    <t>Republika Srpska</t>
  </si>
  <si>
    <t>Kwok</t>
  </si>
  <si>
    <t>Mid North farmer Chris Dohnt, from near Snowtown, says conditions for fighting fires were horrible."A fire started up near Koolunga and it burnt down towards Lake View and Burnsfield."The fire</t>
  </si>
  <si>
    <t>Chris Dohnt</t>
  </si>
  <si>
    <t>Mid North</t>
  </si>
  <si>
    <t>Snowtown</t>
  </si>
  <si>
    <t>Updated at 10 p. m. ET with probe details, The suspect in the New York and New Jersey bombings has not been cooperating with police, according to law enforcement sources interviewed by NPRâ€™s Dina .</t>
  </si>
  <si>
    <t>New Jersey</t>
  </si>
  <si>
    <t>Dina</t>
  </si>
  <si>
    <t>Mr. Basuki, who is ethnic Chinese, has been hobbled by a criminal trial on a charge of blasphemy against Islam, in connection with remarks about a Quran verse that he made last year.</t>
  </si>
  <si>
    <t>Basuki</t>
  </si>
  <si>
    <t>Quran</t>
  </si>
  <si>
    <t>it remains to be seen whether Mr Atkins could face other criminal charges if police do find Mr Leveson's remains.</t>
  </si>
  <si>
    <t>Atkins</t>
  </si>
  <si>
    <t>Mr Atkin</t>
  </si>
  <si>
    <t>Leveson</t>
  </si>
  <si>
    <t>Mr Leveson</t>
  </si>
  <si>
    <t>In the categoryâ€™s history, during which 102 restaurants have been deemed â€American Classics,â€ only seven have served food that was not European or regional American in origin, and most of those were added in the last years.</t>
  </si>
  <si>
    <t>American Classic</t>
  </si>
  <si>
    <t xml:space="preserve">Press secretary Sean Spicer also skipped the session, deploying his deputy, Sarah Huckabee Sanders, to answer questions instead. </t>
  </si>
  <si>
    <t>Sean Spicer</t>
  </si>
  <si>
    <t>Pre</t>
  </si>
  <si>
    <t>Sarah Huckabee Sanders</t>
  </si>
  <si>
    <t>Sarah Huckabee Sander</t>
  </si>
  <si>
    <t>The FBI has arrested a National Security Agency contractor on suspicion of the theft of top secret classified data and documents in an alleged security breach at the same intelligence agency whose spy secrets were exposed by Edward Snowden.</t>
  </si>
  <si>
    <t>National Security Agency</t>
  </si>
  <si>
    <t>Edward Snowden</t>
  </si>
  <si>
    <t>- I'm as responsible as anyone else for appointing the manager," Rodwell told BBC Radio Nottingham."The manager becomes the fall guy in these circumstances, but it's not all down to him."We all have to accept responsibility - the board of directors and players.</t>
  </si>
  <si>
    <t>Rodwell</t>
  </si>
  <si>
    <t>BBC Radio Nottingham</t>
  </si>
  <si>
    <t>BBC Radio Nottingham."The</t>
  </si>
  <si>
    <t>That most curious of American holidays which acts as both a celebration of the beginning of summer and a sombre remembrance of the men who sacrificed all to maintain our freedom was all but ignored on Googleâ€™s homepage.</t>
  </si>
  <si>
    <t>Google</t>
  </si>
  <si>
    <t>Googleâ€™</t>
  </si>
  <si>
    <t xml:space="preserve"> The of a fitness instructor murdered inside a Texas church last week took a shirt to the dry cleaners that appeared to have blood stains, Fox 4 reported Thursday, citing a search warrant.</t>
  </si>
  <si>
    <t>Fox 4</t>
  </si>
  <si>
    <t>Fox</t>
  </si>
  <si>
    <t>About half of all U. S. deaths from heart disease, stroke and Type 2 diabetes are linked to poor diets, according to a new study published in the Journal of the American Medical Association.</t>
  </si>
  <si>
    <t>Type 2</t>
  </si>
  <si>
    <t>the Journal of the American Medical Association</t>
  </si>
  <si>
    <t>This incredible video of a Boeing 787 performing a takeoff and pulling banking maneuvers that no passenger would want to experience is not some sort of CGI animation.</t>
  </si>
  <si>
    <t>Boeing</t>
  </si>
  <si>
    <t>animation</t>
  </si>
  <si>
    <t>Itâ€™s been three days since Mike Francesaâ€™s Zack Wheeler radio blunder, when the host announced that the Mets pitcher had a torn UCL when in fact it was news.</t>
  </si>
  <si>
    <t>Mike Francesaâ€™s Zack Wheeler</t>
  </si>
  <si>
    <t>UCL</t>
  </si>
  <si>
    <t>The former University of California, Berkeley law dean who was found to have violated sexual harassment policies has returned to campus as a professor, sparking outrage from the woman at the center of the controversy who said his presence could â€œsilence victims from coming forwardâ€.</t>
  </si>
  <si>
    <t>University of California, Berkeley</t>
  </si>
  <si>
    <t>University of California</t>
  </si>
  <si>
    <t>woman</t>
  </si>
  <si>
    <t>Berkeley</t>
  </si>
  <si>
    <t>Hillary Clinton painted a dark picture of conspiratorial forces seeking to destroy the Republic during her Thursday speech against Donald Trumpâ€™s supposed ties to the little recognized</t>
  </si>
  <si>
    <t xml:space="preserve">Thursday, former NFL linebacker Ray Lewis said while discussing the recent police shootings that black men are now â€œfearfulâ€ to walk out of their own houses. </t>
  </si>
  <si>
    <t>Ray Lewis</t>
  </si>
  <si>
    <t>Ray Lewi</t>
  </si>
  <si>
    <t>Norm Eisen and Richard Painter, who served as the chief ethics lawyers under Presidents Obama and George W. Bush, respectively, pointed out on NPRâ€™s Fresh Air that Trumpâ€™s ongoing involvement with The Apprentice presents yet another conflict of interest.</t>
  </si>
  <si>
    <t>Norm Eisen</t>
  </si>
  <si>
    <t>Richard Painter</t>
  </si>
  <si>
    <t>Apprentice</t>
  </si>
  <si>
    <t>U. S. intelligence officials suspect Russia was responsible for breaches of Democratic political organizations and state election systems to exert influence on the Nov. 8 presidential election.</t>
  </si>
  <si>
    <t>As Donald Trump warned of voter fraud before Novemberâ€™s election and said afterward he believed millions of illegal votes were cast, the website Infowars and its founder Alex Jones were right with him or even ahead of him.</t>
  </si>
  <si>
    <t>fraud</t>
  </si>
  <si>
    <t>Alex Jones</t>
  </si>
  <si>
    <t>Alex Jone</t>
  </si>
  <si>
    <t xml:space="preserve"> A healthcare bill being unveiled by U. S. Senate Republicans on Thursday is expected to roll back the Obamacare expansion of the Medicaid healthcare program for the poor and reshape subsidies to people buying private insurance.</t>
  </si>
  <si>
    <t>Senate Republicans</t>
  </si>
  <si>
    <t>(Reuters) Homeland Security chief John Kelly told a congressional panel on Tuesday he should have delayed U. S. President Donald Trumpâ€™s travel ban on people from seven countries and on all refugees so he could brief Congress on the executive order.</t>
  </si>
  <si>
    <t>John Kelly</t>
  </si>
  <si>
    <t>told</t>
  </si>
  <si>
    <t>people</t>
  </si>
  <si>
    <t xml:space="preserve"> The largest U. S. business lobby group on Wednesday said it could be a mistake to quickly repeal Obamacare without developing a replacement healthcare insurance plan and urged the incoming Trump administration not to erect trade barriers.</t>
  </si>
  <si>
    <t>Trump administration</t>
  </si>
  <si>
    <t>Phoenix Black Lives Matter activists start chanting â€œBlack Power!â€ during their protest.</t>
  </si>
  <si>
    <t>Phoenix Black Lives Matter</t>
  </si>
  <si>
    <t>Black Power</t>
  </si>
  <si>
    <t>President Obama will address the nation for whatâ€™s likely to be the last time Tuesday night.</t>
  </si>
  <si>
    <t>: They seem to have made it official on FacebookDino and Amy put on a PDA show to be applauded, upstaging poor birthday boy Harry, who looked dapper in a pink suit.</t>
  </si>
  <si>
    <t>Amy</t>
  </si>
  <si>
    <t>PDA</t>
  </si>
  <si>
    <t>Harry</t>
  </si>
  <si>
    <t>Outgoing Senate Minority Leader Harry Reid and President Obama are taking one more stab at retaining control of the Internet before they leave Washington.</t>
  </si>
  <si>
    <t>Harry Reid</t>
  </si>
  <si>
    <t>But since welfare reform, many families who donâ€™t receive TANF have started receiving Medicaid or food stamps.</t>
  </si>
  <si>
    <t>TANF</t>
  </si>
  <si>
    <t>Marshall started off during the Bush-Gore recount fight as an exceptionally smart, rabble-rousing liberal blogger.</t>
  </si>
  <si>
    <t>Marshall</t>
  </si>
  <si>
    <t>Gore</t>
  </si>
  <si>
    <t xml:space="preserve"> The Trump administration has opened the door for states to put new restrictions on their Medicaid programs, and Florida is stepping through it. </t>
  </si>
  <si>
    <t>The director of the upcoming Sky Arts series Urban Myths has defended the casting of a white actor as Michael Jackson, saying the decision was based on performance rather than physical resemblance.</t>
  </si>
  <si>
    <t>Sky Arts</t>
  </si>
  <si>
    <t>Sky Art</t>
  </si>
  <si>
    <t>Michael Jackson</t>
  </si>
  <si>
    <t>In his analysis in Nature, Livio praised Churchillâ€™s clear thinking, as well as his support for science as a tool of government policy.</t>
  </si>
  <si>
    <t>Livio</t>
  </si>
  <si>
    <t>Nature</t>
  </si>
  <si>
    <t>Churchill</t>
  </si>
  <si>
    <t>Churchillâ€™</t>
  </si>
  <si>
    <t>As we continue to push the boundaries of MTVâ€™s storytelling, the importance of providing an open door and blank canvas to creators of all kinds is a top priority,â€ said Michael Klein, executive vice president of original content.</t>
  </si>
  <si>
    <t>Michael Klein</t>
  </si>
  <si>
    <t>MTV</t>
  </si>
  <si>
    <t xml:space="preserve"> Younger members of the House Democratic caucus wanted to delay leadership elections to see if a strong challenger to Nancy Pelosi would emerge, and lo and behold, one has </t>
  </si>
  <si>
    <t>Nancy Pelosi</t>
  </si>
  <si>
    <t>If the deal is sealed, this will ease Greeces debt burden by slashing the value of the creditors debt holdings and give Papademos a boost, but only briefly.</t>
  </si>
  <si>
    <t>Greeces</t>
  </si>
  <si>
    <t>Greece</t>
  </si>
  <si>
    <t>Papademos</t>
  </si>
  <si>
    <t>Papademo</t>
  </si>
  <si>
    <t>In announcements about the passage of the bill  which was approved by both chambers of the state legislature unanimously  Republican Assemblyman Anthony M. Bucco and Democratic state Sen. Donald Norcross both heralded it as an attack on the black market.</t>
  </si>
  <si>
    <t>Anthony M. Bucco</t>
  </si>
  <si>
    <t>Donald Norcross</t>
  </si>
  <si>
    <t>The bidding for Los Angeles magazine and two other regional titles that radio syndicator Emmis Communications is auctioning off should wrap up early in the new year.</t>
  </si>
  <si>
    <t>Los Angeles</t>
  </si>
  <si>
    <t>Los Angele</t>
  </si>
  <si>
    <t>Emmis Communications</t>
  </si>
  <si>
    <t>Emmis Communication</t>
  </si>
  <si>
    <t>According to the independent Human Rights Commission of Pakistan, 4,612 people were killed in bombings and other violence in the country in 2015.Jamaat-ul-Ahrar, the group that claimed responsibility for the Easter Sunday bombing, has roots in the tribal region and has declared its sympathy with the Islamic State group.</t>
  </si>
  <si>
    <t>Human Rights Commission</t>
  </si>
  <si>
    <t>Human Rights Commission of Pakistan</t>
  </si>
  <si>
    <t>2015.Jamaat-ul-Ahrar</t>
  </si>
  <si>
    <t>Easter</t>
  </si>
  <si>
    <t>Yet Utah, where Kasich has several key endorsements, is seen as the sort of place where he can only hurt Cruz.</t>
  </si>
  <si>
    <t>Kasich</t>
  </si>
  <si>
    <t>Utah</t>
  </si>
  <si>
    <t>At a time when a new president (particularly one whose party also holds Congress) should be basking in the glow of a successful transition of power, Trump and his staff got off to the worst start in the modern era their Gallup approval rating of 45% is the lowest rating any president has received since polling was invented.</t>
  </si>
  <si>
    <t>Gallup</t>
  </si>
  <si>
    <t>In his statements before Congress, Director Comey repeatedly assured us that the FBI investigated whether charges of obstruction of justice and intentional destruction of records were merited,â€ the chairmen of three House committees and a Senate committee complained last week in a letter to Attorney General Loretta Lynch.</t>
  </si>
  <si>
    <t>Comey</t>
  </si>
  <si>
    <t>Loretta Lynch</t>
  </si>
  <si>
    <t>Musk has said Autopilot is named after the aircraft technology because â€œthe intended implication is that a driver must remain alert, just as a pilot must remain alert.</t>
  </si>
  <si>
    <t>Musk</t>
  </si>
  <si>
    <t>Justice Department officials added that Congress has always intended that information obtained through intelligence authorities could be used in criminal prosecutions.</t>
  </si>
  <si>
    <t>Justice Department</t>
  </si>
  <si>
    <t>The CDCâ€™s move last week exasperated some environmental and public health advocates, who see the issue as an increasingly urgent one and argue that the agency should have gone forward with the summit unless told otherwise by the Trump administration.</t>
  </si>
  <si>
    <t>CDC</t>
  </si>
  <si>
    <t xml:space="preserve"> Donald Trump, the actual Republican candidate for president, now endorsed by his party leaders, openly said he wants to exclude someone from a government job because of his race and ethnicity. </t>
  </si>
  <si>
    <t>Judge Albert Lauber of the US Tax Court rejected a variety of IRS arguments, and found that on several occasions the agency abused its discretion, or acted arbitrarily or capriciously.</t>
  </si>
  <si>
    <t>Albert Lauber</t>
  </si>
  <si>
    <t>discretion</t>
  </si>
  <si>
    <t>the US Tax Court</t>
  </si>
  <si>
    <t>he's building a new DePaul stadiumUsing our TIF funds to Transform the South Loop into the Promised Land of redevelopmentThe paint is starting to streak.</t>
  </si>
  <si>
    <t>he</t>
  </si>
  <si>
    <t>DePaul</t>
  </si>
  <si>
    <t>Transform</t>
  </si>
  <si>
    <t>Michael G. Hubbard, the speaker of the Alabama House of Representatives, whose approach to politics propelled the Republican Party to dominance in his state, was convicted Friday on 12 felony ethics charges, leaving him stripped of power and facing the possibility of decades in prison.</t>
  </si>
  <si>
    <t>Michael G. Hubbard</t>
  </si>
  <si>
    <t>the Alabama House of Representative</t>
  </si>
  <si>
    <t>House of Representatives</t>
  </si>
  <si>
    <t>the Republican Party</t>
  </si>
  <si>
    <t>According to a market assessment produced by Deloitte to underpin the Shakespeare review, release of all datasets held by the PDG trading funds would represent a direct loss to the Exchequer on the order of 143ma year.</t>
  </si>
  <si>
    <t>Deloitte</t>
  </si>
  <si>
    <t>Shakespeare</t>
  </si>
  <si>
    <t>PDG</t>
  </si>
  <si>
    <t xml:space="preserve"> At least four congressional investigations into Hillary Clintonâ€™s personal email use and mishandling of classified information are expected to go forward even after the former secretary of stateâ€™s election loss last week, Republican lawmakers tell Fox News.</t>
  </si>
  <si>
    <t>Hillary Clintonâ€™</t>
  </si>
  <si>
    <t>Second, the Administrationâ€™s request recognizes the importance of maintaining strong support for public schools through longstanding State formula grant programs focused on meeting the educational needs of the nationâ€™s most vulnerable students, including poor and minority students and students with disabilities.</t>
  </si>
  <si>
    <t>Administration Administration</t>
  </si>
  <si>
    <t>Administration</t>
  </si>
  <si>
    <t>State</t>
  </si>
  <si>
    <t>Trumpâ€™s former national security advisor Michael Flynn was paid $11, 250 by the US arm of Russian cyber security company Kaspersky Lab, newly released documents show.</t>
  </si>
  <si>
    <t>Michael Flynn</t>
  </si>
  <si>
    <t>company</t>
  </si>
  <si>
    <t>Baroni and Kelly were charged with conspiring to misuse Port Authority property by fraud and conspiring to deprive people of their civil rights.</t>
  </si>
  <si>
    <t>Kelly</t>
  </si>
  <si>
    <t>Port Authority</t>
  </si>
  <si>
    <t xml:space="preserve">While covering the New Yearâ€™s Eve celebration live in New Orleans this year, CNNâ€™s Don Lemon took ringing in the new year literally. </t>
  </si>
  <si>
    <t>CNN</t>
  </si>
  <si>
    <t>New Orlean</t>
  </si>
  <si>
    <t>Don Lemon</t>
  </si>
  <si>
    <t>On the third day of his visit to South Korea, Francis celebrated a huge open-air Mass in the center of the capital Seoul, where he denounced the growing gap between the haves and have nots, urging people in affluent societies to listen to "the cry of the poor" among them.</t>
  </si>
  <si>
    <t>Franci</t>
  </si>
  <si>
    <t>Francis</t>
  </si>
  <si>
    <t>Seoul</t>
  </si>
  <si>
    <t xml:space="preserve">Two Italian aid workers held hostage in Syria for almost six months have arrived back on home soil after being released, the Italian government has announced. </t>
  </si>
  <si>
    <t>Italian</t>
  </si>
  <si>
    <t>hostage</t>
  </si>
  <si>
    <t>Syria</t>
  </si>
  <si>
    <t>arrived</t>
  </si>
  <si>
    <t>The A's play the Mariners this weekend and if Oakland can win at least two more games than the Red Sox, the A's will be the top seed and host the Wild Card winner.</t>
  </si>
  <si>
    <t>A</t>
  </si>
  <si>
    <t>Mariner</t>
  </si>
  <si>
    <t>Mariners</t>
  </si>
  <si>
    <t>The Louvre museum in Paris has been evacuated after what the French Ministry of the Interior has called a â€œserious public security eventâ€ in which a number of soldier opened fire on a man with a machete who cried â€œAllahu Akbarâ€.</t>
  </si>
  <si>
    <t>Louvre</t>
  </si>
  <si>
    <t>the French Ministry of the Interior</t>
  </si>
  <si>
    <t xml:space="preserve"> Even after the Iran nuclear deal was formally implemented on Saturday, debate continues, and will likely continue for some time, over whether it was worth striking or whether it was, as Israeli Prime Minister Benjamin Netanyahu deemed it, a â€historic mistake.â€ </t>
  </si>
  <si>
    <t>Israeli</t>
  </si>
  <si>
    <t>Iran</t>
  </si>
  <si>
    <t>Minister Benjamin Netanyahu</t>
  </si>
  <si>
    <t>But since then, top White House officials have defended Trumpâ€™s decision, saying it represents his focus on helping protect U. S. jobs and not succumbing to greenhouse gas targets that could lead to regulations.</t>
  </si>
  <si>
    <t>Thanks to years of Republican fearmongering and (frankly) journalistic malpractice, voters have little idea what Obamacare is.</t>
  </si>
  <si>
    <t>The Ensuring Patient Access and Effective Drug Enforcement Act was initiated by an group, the Healthcare Distribution Management Association, which claimed that the DEA was misusing its powers to go after pharmacists and drug distributors which made minor mistakes in their paperwork.</t>
  </si>
  <si>
    <t>the Healthcare Distribution Management Association</t>
  </si>
  <si>
    <t>The Ensuring Patient Access and Effective Drug Enforcement Act</t>
  </si>
  <si>
    <t>In Battle Creek, Michigan, a town famous for making cereal, Sue Lunz is sitting with her husband, Jerry, 82, at the McDonaldâ€™s.</t>
  </si>
  <si>
    <t>Sue Lunz</t>
  </si>
  <si>
    <t>Jerry</t>
  </si>
  <si>
    <t>the McDonaldâ€™</t>
  </si>
  <si>
    <t>This time he will drive alongside Belgian rookie Stoffel Vandoorne, whose only race start so far was in Bahrain last April after Alonso was ruled out following a spectacular crash at the in Australia.</t>
  </si>
  <si>
    <t>Stoffel Vandoorne</t>
  </si>
  <si>
    <t>Belgian</t>
  </si>
  <si>
    <t>Alonso</t>
  </si>
  <si>
    <t>Watson and Austin Renken have combined for 2,649 rushing yards and 41 touchdowns behind what Logan describes as a dominant and physical offensive line.</t>
  </si>
  <si>
    <t>Watson</t>
  </si>
  <si>
    <t>Austin Renken</t>
  </si>
  <si>
    <t>Logan</t>
  </si>
  <si>
    <t>Erie, Pennsylvania, is one of several U. S. cities welcoming refugees and immigrants.</t>
  </si>
  <si>
    <t>Erie</t>
  </si>
  <si>
    <t>Pennsylvania</t>
  </si>
  <si>
    <t>* Shares to start on Friday on NYSE (Updates with IPO pricing, paragraphs 1-4)NEW YORK, Oct 22</t>
  </si>
  <si>
    <t>NYSE</t>
  </si>
  <si>
    <t>IPO</t>
  </si>
  <si>
    <t>Announcing the results of the Scottish cases, Ms Sturgeon said: "I would reiterate that the threat to the public remains low.</t>
  </si>
  <si>
    <t>Scottish</t>
  </si>
  <si>
    <t>Sturgeon</t>
  </si>
  <si>
    <t>Ms Sturgeon</t>
  </si>
  <si>
    <t>Four other Americans and an Iraqi soldier died in the attack.</t>
  </si>
  <si>
    <t>â€Clinton also said she didnâ€™t trust Trump to lead the US military.</t>
  </si>
  <si>
    <t>Can the American people trust their president to defend the basic infrastructure of our democracy, or will he cave to the Russian president who wants to attack and undermine it?</t>
  </si>
  <si>
    <t>Russian</t>
  </si>
  <si>
    <t>ET Feb. 14, President Trumpâ€™s national security adviser Michael Flynn resigned late Monday night amid allegations he inappropriately talked about U. S. sanctions with a Russian official, and later allegedly misled Pence about the conversations.</t>
  </si>
  <si>
    <t>resigned</t>
  </si>
  <si>
    <t>allegation</t>
  </si>
  <si>
    <t>Family members belonging to a Hamas militia soon took charge of the statue, and at some stage the Apollo appeared on Ebay, with the seller telling the buyer to come and collect the item from Gaza.</t>
  </si>
  <si>
    <t>Hamas</t>
  </si>
  <si>
    <t>Hama</t>
  </si>
  <si>
    <t>Ebay</t>
  </si>
  <si>
    <t>Apollo</t>
  </si>
  <si>
    <t>Wisconsin Sen. Ron Johnson ( ) mistakenly called South Carolina Gov. Nikki Haley (R) an immigrant in a radio interview posted on his YouTube account Wednesday and picked up by Buzzfeed Thursday.</t>
  </si>
  <si>
    <t>Nikki Haley</t>
  </si>
  <si>
    <t>YouTube</t>
  </si>
  <si>
    <t>Russiaâ€™s intervention in support of Assad last year helped Damascus turn the tide against insurgents who had been making steady territorial advances, and gave Moscow decisive influence over diplomacy.</t>
  </si>
  <si>
    <t>Assad</t>
  </si>
  <si>
    <t>Damascu</t>
  </si>
  <si>
    <t>That account is ascribed to â€œfour current U. S. officials,â€ so it seems reasonable to infer that it was derived from intelligence intercepts of Kislyak and Flynnâ€™s conversations.</t>
  </si>
  <si>
    <t>Kislyak</t>
  </si>
  <si>
    <t>Flynn</t>
  </si>
  <si>
    <t>During a Halloween night speech in Cincinnati, Ohio, Hillary Clinton blasted Donald Trump as a sellout to the â€œgun lobby.</t>
  </si>
  <si>
    <t>No details have been given on the latest, but Trudeau said it was a very separate case from last week when former Canadian diplomat Michael Kovrig and businessman Michael Spavor were detained amid the diplomatic quarrel triggered by Mengs arrest.</t>
  </si>
  <si>
    <t>Trudeau</t>
  </si>
  <si>
    <t>Canadian</t>
  </si>
  <si>
    <t>Michael Kovrig</t>
  </si>
  <si>
    <t>Michael Spavor</t>
  </si>
  <si>
    <t>Please select the extension that is blocking ads. Please follow the steps below, Plagued by very public allegations of user bias, Airbnb, the polarizing, popular platform vowed to enact tougher measures against hosts who discriminate against potential guests.</t>
  </si>
  <si>
    <t>Airbnb</t>
  </si>
  <si>
    <t>platform</t>
  </si>
  <si>
    <t>discriminate</t>
  </si>
  <si>
    <t>Held squarely responsible by the Obama administration for an environmental calamity that is already hitting Gulf Coast economies and ecosystems, London-based BP was moving ahead with undersea attempts to contain and shut off the leaking well.</t>
  </si>
  <si>
    <t>BP</t>
  </si>
  <si>
    <t>In Iraq, says Professor Charles Tripp at London Universitys School of Oriental and African Studies, the process began in the 1990s when Saddam Hussein, the dictator toppled in 2003, started a piety campaign to solidify support for his otherwise secular regime in the face of crippling international sanctions.</t>
  </si>
  <si>
    <t>Charles Tripp</t>
  </si>
  <si>
    <t>Saddam Hussein</t>
  </si>
  <si>
    <t>Morley has been arraigned on the assault and bomb threat charges and is due to appear next week in Ipswich District Court in Newburyport, Hayward said.</t>
  </si>
  <si>
    <t>Morley</t>
  </si>
  <si>
    <t>Hayward</t>
  </si>
  <si>
    <t>Newburyport</t>
  </si>
  <si>
    <t>Mel Gibson has unloaded his Frank Lloyd house in Sherman Oaks, California, for $2. 1 million.</t>
  </si>
  <si>
    <t>Mel Gibson</t>
  </si>
  <si>
    <t>Frank Lloyd</t>
  </si>
  <si>
    <t>The Green Party officially nominated Jill Stein for president and human rights activist Ajamu Baraka as her running mate on Saturday, at a convention in Houston that attracted many disaffected Bernie Sanders supporters.</t>
  </si>
  <si>
    <t>The Green Party</t>
  </si>
  <si>
    <t>Ajamu Baraka</t>
  </si>
  <si>
    <t>Houston</t>
  </si>
  <si>
    <t>In November 2015 Donald Trump proclaimed to a crowd of Iowans: â€œ</t>
  </si>
  <si>
    <t>Iowans</t>
  </si>
  <si>
    <t>Iowan</t>
  </si>
  <si>
    <t>Pence has also spoken out previously in support of a â€œrobust missile defenseâ€ system for all of Europe, plans that Russia has repeatedly railed against.</t>
  </si>
  <si>
    <t>Pence</t>
  </si>
  <si>
    <t xml:space="preserve"> Donald Trump is expected to name as his secretary of state Rex Tillerson, the chief executive of ExxonMobil, who has worked extensively around the globe and built relationships with such leaders as Russian President Vladi mir Putin, three people close to the transition team confirmed Saturday.</t>
  </si>
  <si>
    <t>Rex Tillerson</t>
  </si>
  <si>
    <t>Vladi mir Putin</t>
  </si>
  <si>
    <t>Chinaâ€™s leaders have been accused of delivering a calculated diplomatic snub to Barack Obama after the US president was not provided with a staircase to leave his plane during his chaotic arrival in Hangzhou before the start of the G20.</t>
  </si>
  <si>
    <t xml:space="preserve"> Aetna Incâ€™s ( ) plan to buy smaller insurer Humana Inc ( ) for $31 billion will mean seniors will pay higher Medicare Advantage premiums, according to a new report by the think tank Center for American Progress (CAP).</t>
  </si>
  <si>
    <t>Aetna Incâ€™s</t>
  </si>
  <si>
    <t>Medicare Advantage</t>
  </si>
  <si>
    <t>Humana Inc</t>
  </si>
  <si>
    <t>Center for American Progre</t>
  </si>
  <si>
    <t>International condemnation, Pope Francis is scheduled to visit Cairo this month.</t>
  </si>
  <si>
    <t>Pope Franci</t>
  </si>
  <si>
    <t>Cairo</t>
  </si>
  <si>
    <t>Bell, a soap opera producer, also recently struggled to answer what America's strategic interests are in Hungary.</t>
  </si>
  <si>
    <t>Bell</t>
  </si>
  <si>
    <t>Hungary</t>
  </si>
  <si>
    <t>The Wirecutter, the product recommendations site owned by The New York Times, published a guide on budget Android phones, including the $100 Moto G4 Play that comes unlocked so that it can work with foreign SIM cards.</t>
  </si>
  <si>
    <t>Wirecutter</t>
  </si>
  <si>
    <t>The New York Times</t>
  </si>
  <si>
    <t>Android</t>
  </si>
  <si>
    <t xml:space="preserve"> President Donald Trumpâ€™s press secretary promised reporters on Monday that he would never lie after a weekend briefing in which he made statements about the crowd size for Trumpâ€™s inauguration that were debunked.</t>
  </si>
  <si>
    <t>Googleâ€™s Home would only light up in response to the commercialâ€™s prompt and stay mum (although it will give you the first line of the Wikipedia article if you explicitly request the definition of a â€œWhopper burgerâ€).</t>
  </si>
  <si>
    <t>Googleâ€™s Home</t>
  </si>
  <si>
    <t>Wikipedia</t>
  </si>
  <si>
    <t>Whopper</t>
  </si>
  <si>
    <t>On the infamous United flight, employees, following protocol, had to call security agents to remove a passenger in Chicago, due to a need to transport crew to fly out of Louisville the following day.</t>
  </si>
  <si>
    <t>United</t>
  </si>
  <si>
    <t>Louisville</t>
  </si>
  <si>
    <t>Russia last year began its own airstrikes in Syria, primarily in support of Assadâ€™s forces fighting the civil war, but also occasionally targeting the Islamic State.</t>
  </si>
  <si>
    <t>Nearly one year since American Pharoah made history, Nyquist has embarked on a turn of his own at Churchill Downs.</t>
  </si>
  <si>
    <t>Pharoah</t>
  </si>
  <si>
    <t>Nyquist</t>
  </si>
  <si>
    <t>Churchill Down</t>
  </si>
  <si>
    <t xml:space="preserve">Resmiye Oral, a professor at the University of Iowa, wrote an to the schoolâ€™s athletic department explaining that she was concerned that the schoolâ€™s mascot bird, a hawk named â€œHerky,â€ may have been traumatizing students and contributing to a culture of violence, depression, and suicide because he never appeared with a smiley facial expression. </t>
  </si>
  <si>
    <t>Resmiye Oral</t>
  </si>
  <si>
    <t>the University of Iowa</t>
  </si>
  <si>
    <t>Herky</t>
  </si>
  <si>
    <t>Ford has countered Trumpâ€™s criticism, saying the company, founded by his makes more cars and trucks in the United States than any other automaker. â€</t>
  </si>
  <si>
    <t>Ford</t>
  </si>
  <si>
    <t xml:space="preserve">Sunday, MSNBC anchor Thomas Roberts asked twice if President Donald Trump is trying to provoke a domestic terrorist attack in order to â€œprove himself rightâ€ about Islamic terrorism. </t>
  </si>
  <si>
    <t>Thomas Roberts</t>
  </si>
  <si>
    <t>The EPA only issued the rule after President Obama failed to get a climate law through Congress.</t>
  </si>
  <si>
    <t>EPA</t>
  </si>
  <si>
    <t>Hamon, 48, a traditional leftwinger who was sacked from government by President Francois Hollande for criticizing his economic policies, coasted to a comfortable win ahead of Valls, a former Hollande loyalist in government, according to partial results.</t>
  </si>
  <si>
    <t>Hamon</t>
  </si>
  <si>
    <t>Francois Hollande</t>
  </si>
  <si>
    <t>Vall</t>
  </si>
  <si>
    <t>By that time, the United States had been sending women to space for about 10 years, starting with Sally Rideâ€™s mission in 1983.</t>
  </si>
  <si>
    <t>Sally Rideâ€™s</t>
  </si>
  <si>
    <t>Sally Rideâ€™</t>
  </si>
  <si>
    <t>The Texas senator and his campaign had already sought to downplay the impact of a Palin endorsement of Trump on Tuesday.</t>
  </si>
  <si>
    <t>Palin</t>
  </si>
  <si>
    <t xml:space="preserve"> More than 13 years after an Egyptian cleric was kidnapped off the streets of Milan by CIA operatives, one former agency officer now living in Portugal faces extradition to Italy, where she was sentenced to four years in prison for the abduction.</t>
  </si>
  <si>
    <t>Egyptian</t>
  </si>
  <si>
    <t>Italy</t>
  </si>
  <si>
    <t>Back in August, when Republican presidential nominee Donald Trump began consulting with Roger Ailes and hired Breitbart CEO Stephen Bannon to head his campaign, it was widely seen as Trumpâ€™s first move in shifting his focus away from actually running for president and instead leveraging his name into a media empire.</t>
  </si>
  <si>
    <t>Roger Ailes</t>
  </si>
  <si>
    <t>Stephen Bannon</t>
  </si>
  <si>
    <t>The White House is considering the creation of a national monument to the gay rights movement on a small piece of Greenwich Village parkland across the street from the Stonewall Inn, where a 1969 uprising helped inspire the push for equality, advocates said on Tuesday.</t>
  </si>
  <si>
    <t>creation</t>
  </si>
  <si>
    <t>Hadley was the GM of Marketing for Bing, and was responsible for making the brand cool again.</t>
  </si>
  <si>
    <t>Hadley</t>
  </si>
  <si>
    <t>Bing</t>
  </si>
  <si>
    <t>the GM of Marketing for Bing</t>
  </si>
  <si>
    <t>In 2004, Nassar was questioned by police from Meridian Township, near Michigan Stateâ€™s main campus in East Lansing, during an investigation that did not produce criminal charges.</t>
  </si>
  <si>
    <t>Nassar</t>
  </si>
  <si>
    <t>Meridian Township</t>
  </si>
  <si>
    <t>Republicans unanimously supported the bill, while in the Senate, Democrats walked out in protest.</t>
  </si>
  <si>
    <t>A group of senior Republicans will meet with White House officials on Wednesday to call for a new national carbon tax to replace federal regulations as a way to combat climate change.</t>
  </si>
  <si>
    <t>As we reported Sunday, â€The Islamic State claimed responsibility for the attack in an online statement, though NPR was not able to independently verify the claim.</t>
  </si>
  <si>
    <t>The Islamic State</t>
  </si>
  <si>
    <t>NPR</t>
  </si>
  <si>
    <t>Though his comments in large measure reflect his intolerance for either criticism or opposition, Trumpâ€™s real object here isnâ€™t so much to pursue a feud with his media tormentors as it is to refocus the public on the threat of Islamist terror.</t>
  </si>
  <si>
    <t>Islamist</t>
  </si>
  <si>
    <t xml:space="preserve"> Burger King is in trouble with Belgiumâ€™s monarchy over an advertising campaign asking Belgians to vote online to â€crownâ€ the global giant the true ruler of the country where the U. S. brand will launch next month. </t>
  </si>
  <si>
    <t>Burger King</t>
  </si>
  <si>
    <t>Belgians</t>
  </si>
  <si>
    <t>Yes, that's already covered -- but since this debate is largely political, adding this language allows the Republicans to return to their constituents as defenders of the faith, while not burdening LGBT people in any way.</t>
  </si>
  <si>
    <t>Another law  requiring some state agencies to deny services to adults who cannot prove their legal status  has hurt some of Colorados poorest and caused headaches for legal immigrants and U.S. citizens who have trouble producing one of the types of identification used to verify legal status, Duran said.</t>
  </si>
  <si>
    <t>Colorados</t>
  </si>
  <si>
    <t>Colorado</t>
  </si>
  <si>
    <t>US President Barack Obama, while seeking to trim vast military spending in response to budget pressure, has vowed to boost power in Asia where a number of nations have voiced concern at what they charge is a more assertive China.</t>
  </si>
  <si>
    <t>US President Barack Obama</t>
  </si>
  <si>
    <t>For dabblers and amateurs in new age spirituality with money to spare, there are yoga retreats in New Mexico and Baja California, and The Ashram, a fitness bootcamp in the Malibu mountains once attended by Paltrow where the exercise is, by all accounts, brutal and the food is organic, home grown and served in very small portions.</t>
  </si>
  <si>
    <t>The Ashram</t>
  </si>
  <si>
    <t>New Mexico</t>
  </si>
  <si>
    <t>Paltrow</t>
  </si>
  <si>
    <t>Malibu</t>
  </si>
  <si>
    <t xml:space="preserve">The Obama administration is moving to block oil and gas production along a major part of Alaskaâ€™s northern coastline, setting off another energy battle with Republican lawmakers. </t>
  </si>
  <si>
    <t>to</t>
  </si>
  <si>
    <t>,</t>
  </si>
  <si>
    <t>The Yorkshire Post is reporting that Cox was attacked on the steps of Birstall Library.</t>
  </si>
  <si>
    <t>The Yorkshire Post</t>
  </si>
  <si>
    <t>Cox</t>
  </si>
  <si>
    <t>Birstall Library</t>
  </si>
  <si>
    <t>Still, a mandatory distribution of some already in Europe has already caused serious frictions among many EU nations and the Commissionâ€™s proposal to amend one rule was unlikely to change that immediately.</t>
  </si>
  <si>
    <t>Commission</t>
  </si>
  <si>
    <t>The head of the Senate, PMDB Senator Renan Calheiros, who appeared to be wavering in his support of Rousseff, echoed her position on impeachment after meeting with her predecessor and mentor, former President Luis Inacio Lula da Silva, who is back in Brasilia working to shore up her crumbling coalition.</t>
  </si>
  <si>
    <t>Renan Calheiros</t>
  </si>
  <si>
    <t>Rousseff</t>
  </si>
  <si>
    <t>Brasilia</t>
  </si>
  <si>
    <t>We are all in,â€ Sen. Ted Cruz ( ) told a packed room of California Republicans on Saturday afternoon, vowing to stop frontrunner Donald Trump in the state on June 7.</t>
  </si>
  <si>
    <t>(</t>
  </si>
  <si>
    <t xml:space="preserve">Despite all of Silicon Valleyâ€™s efforts, China is still the a major software thief </t>
  </si>
  <si>
    <t>Silicon Valleyâ€™</t>
  </si>
  <si>
    <t>If James Carville and Paul Begala had a baby, it would be a Cruz supporter.</t>
  </si>
  <si>
    <t>James Carville</t>
  </si>
  <si>
    <t>Paul Begala</t>
  </si>
  <si>
    <t>U. S. District Judge Charles Breyer said he will issue a final decision in the matter, stemming from Volkswagenâ€™s use of illegal software to defeat U. S. emissions testing, by Oct. 25.</t>
  </si>
  <si>
    <t>Charles Breyer</t>
  </si>
  <si>
    <t>U. S. District</t>
  </si>
  <si>
    <t>Volkswagen</t>
  </si>
  <si>
    <t xml:space="preserve"> In response to questions from BuzzFeed News, Google, Apple, and Uber clarified their positions on Donald Trumpâ€™s comments about a possible Muslim registry.</t>
  </si>
  <si>
    <t>BuzzFeed New</t>
  </si>
  <si>
    <t>Apple</t>
  </si>
  <si>
    <t>Barrier Breakers 2016 is focused on pushing out positive content to Hillary supporters online to counter negative attacks and false narratives,â€ Correct the Recordâ€™s communications director, Elizabeth Shappell, told The Daily Beast.</t>
  </si>
  <si>
    <t>Hillary</t>
  </si>
  <si>
    <t>Elizabeth Shappell</t>
  </si>
  <si>
    <t>The Daily Beast</t>
  </si>
  <si>
    <t>George Washington University (GW) has hired a former recruiter who has been convicted of soliciting the jihad murder of â€œblasphemers,â€ marking what is believed to be the first time that an allegedly reformed Islamic extremist has been employed by a university in the United States.</t>
  </si>
  <si>
    <t>GW</t>
  </si>
  <si>
    <t>Hamas said on Wednesday it was searching for a prime suspect in a bomb attack last week on the convoy of Palestinian Prime Minister Rami Hamdallah in Gaza.</t>
  </si>
  <si>
    <t>Minister Rami Hamdallah</t>
  </si>
  <si>
    <t>Rami Hamdallah</t>
  </si>
  <si>
    <t>The US government before the election publicly blamed senior levels of the Russian government for cyberattacks designed to influence the outcome, including hacks of Democratic groups like the Democratic National Committee.</t>
  </si>
  <si>
    <t>Year after year, Mike Berland found himself putting on weight, going up a pant or shirt size every 12 months, and, at his peak, he tipped the scales at 245 pounds, measuring XXL across the chest and 40 inches around the waist.</t>
  </si>
  <si>
    <t>Mike Berland</t>
  </si>
  <si>
    <t>XXL</t>
  </si>
  <si>
    <t>In February, investigators probing the Paris attacks found video footage of a senior Belgian nuclear official at the property of a key suspect.</t>
  </si>
  <si>
    <t>minister George Osborne</t>
  </si>
  <si>
    <t>George Osborne</t>
  </si>
  <si>
    <t xml:space="preserve">But many Grubhub users are furious with Maloneyâ€™s original statement against Trump and say theyâ€™re willing to for go the convenience of the delivery </t>
  </si>
  <si>
    <t>Maloney</t>
  </si>
  <si>
    <t>Grubhub</t>
  </si>
  <si>
    <t>Mexico and Korea have faced pressure, as has Brazil, which last week put up $60 billion to stem the reals slide.</t>
  </si>
  <si>
    <t>Korea</t>
  </si>
  <si>
    <t>Brazil</t>
  </si>
  <si>
    <t>Were told Jackson and Dupris romance turned rocky last September when Janets album Discipline (produced by her beau) flopped and she was then released from her contract with label Island Def Jam per her request.</t>
  </si>
  <si>
    <t>Dupris</t>
  </si>
  <si>
    <t>Janet</t>
  </si>
  <si>
    <t>Theresa May is expected to use the most important speech of her premiership to confirm that Britain will be leaving the single market while insisting that it wants to remain â€œthe best friendâ€ to European partners.</t>
  </si>
  <si>
    <t>Virtually every Democrat in the House and Senate supports the bills, and Obama has called the legislation a legacy of his administration and the centerpiece of his domestic policy agenda.</t>
  </si>
  <si>
    <t>Minhajâ€™s new special, which is also called Homecoming King, is available on Netflix starting Tuesday.</t>
  </si>
  <si>
    <t>Minhaj</t>
  </si>
  <si>
    <t>Minhajâ€™</t>
  </si>
  <si>
    <t>Netflix</t>
  </si>
  <si>
    <t>Currently, under United States law, any Palestinian bid to bring war crimes charges against Israel in the International Criminal Court will automatically end the $400 million in annual aid America gives to the Palestinian Authority.</t>
  </si>
  <si>
    <t>the International Criminal Court</t>
  </si>
  <si>
    <t>The worst storm to hit Taiwan in recent times came in 2009, when Morakot killed 700 people and caused about $3 billion in damage.</t>
  </si>
  <si>
    <t>Taiwan</t>
  </si>
  <si>
    <t>Morakot</t>
  </si>
  <si>
    <t xml:space="preserve">â€ Kimmel also imposed a new imperative dubbed the â€œMaggie Smith Rule,â€ where a nominee cannot take home a trophy if sheâ€™s not present to accept it </t>
  </si>
  <si>
    <t>Kimmel</t>
  </si>
  <si>
    <t>Senate Democrats will attempt to filibuster the Supreme Court nomination of Judge Neil Gorsuch, Minority Leader Chuck Schumer ( ) announced on Thursday during a speech on the Senate floor.</t>
  </si>
  <si>
    <t>Neil Gorsuch</t>
  </si>
  <si>
    <t>Leader</t>
  </si>
  <si>
    <t>Chuck Schumer</t>
  </si>
  <si>
    <t>announced</t>
  </si>
  <si>
    <t>Annan was lauded but failed to save many thousands of lives in Rwanda and BosniaThe birth of this new country would alter the aspiring diplomat</t>
  </si>
  <si>
    <t>Annan</t>
  </si>
  <si>
    <t>Rwanda</t>
  </si>
  <si>
    <t>BosniaThe</t>
  </si>
  <si>
    <t xml:space="preserve"> CONCORD, N. H. â€” John Kasich took second place behind Donald Trump in the New Hampshire Republican primary </t>
  </si>
  <si>
    <t xml:space="preserve"> Grover Norquist, president of Americans for Tax Reform, is on the board of directors of the National Rifle Association and the Parental Rights Organization. </t>
  </si>
  <si>
    <t>Grover Norquist</t>
  </si>
  <si>
    <t>Americans for Tax Reform</t>
  </si>
  <si>
    <t>the National Rifle Association</t>
  </si>
  <si>
    <t>Turkeyâ€™s currency exchange rate suffered a 4. 6 percent crash versus the U. S. dollar, as international investors interpreted the failed military coup and retaliatory political purge as the end of strong growth and beginning of a period of protracted economic instability in the NATO ally.</t>
  </si>
  <si>
    <t>Turkey</t>
  </si>
  <si>
    <t>One of the more curious Panama Papers stories comes from North Korea, which suffered a massive Internet outage for three hours on Wednesday, two days after the North Koreaâ€™s Daedong Credit Bank was revealed as a client of Panamanian law firm Mossack Fonseca.</t>
  </si>
  <si>
    <t>Daedong Credit Bank</t>
  </si>
  <si>
    <t>Panama Paper</t>
  </si>
  <si>
    <t>Panamanian</t>
  </si>
  <si>
    <t>A Canadian tourist was killed after a small inflatable tour boat collided with a whale off the coast of Cabo San Lucas, Mexico, authorities said Thursday.</t>
  </si>
  <si>
    <t>after</t>
  </si>
  <si>
    <t>Cabo San Lucas</t>
  </si>
  <si>
    <t>Thursday</t>
  </si>
  <si>
    <t>Please select the extension that is blocking ads. Please follow the steps below, NEWS BRIEF Malcom Turnbull, the Australian prime minister, introduced legislation Wednesday to enable a public plebiscite on marriage in February.</t>
  </si>
  <si>
    <t>Malcom Turnbull</t>
  </si>
  <si>
    <t>public</t>
  </si>
  <si>
    <t>February</t>
  </si>
  <si>
    <t>Their respective worlds are rocked by sexy painter Juan (Javier Bardem) and his crazy ex-wife Maria (Penlope Cruz).It's not exactly the return to form that everyone is longing for.</t>
  </si>
  <si>
    <t>Juan</t>
  </si>
  <si>
    <t>Javier Bardem</t>
  </si>
  <si>
    <t>Maria</t>
  </si>
  <si>
    <t>When they return to the Capitol on April 22, theyâ€™ll almost immediately run into a hard deadline: Congress has until April 28 to pass a new budget to avert a government shutdown, or pass a â€œcontinuing resolutionâ€ to temporarily lock last yearâ€™s funding for the government in place.</t>
  </si>
  <si>
    <t>they</t>
  </si>
  <si>
    <t>new</t>
  </si>
  <si>
    <t>â€</t>
  </si>
  <si>
    <t>Stormfront founder Don Black told Politico that Trump "has sparked an insurgency and I dont think its going to go</t>
  </si>
  <si>
    <t>Don Black</t>
  </si>
  <si>
    <t>Stormfront</t>
  </si>
  <si>
    <t xml:space="preserve"> Thereâ€™s an episode of Black Mirror, a British television show that imagines life in the near future, that tells the story of a woman who reunites with her deceased lover, reincarnated thanks to the wonders of artificial intelligence.</t>
  </si>
  <si>
    <t>Black Mirror</t>
  </si>
  <si>
    <t>Chat show queen Oprah Winfrey, actress Meryl Streep and singer Elton John called on Monday for world leaders to put girls at the heart of anti-poverty efforts as a new index revealed Niger was the toughest country to be a girl.</t>
  </si>
  <si>
    <t>Oprah Winfrey</t>
  </si>
  <si>
    <t>Meryl Streep</t>
  </si>
  <si>
    <t>Elton John</t>
  </si>
  <si>
    <t>President Obama arrived in New York City on Sunday evening for three days that will mix politics with a farewell to the world stage at the United Nations.</t>
  </si>
  <si>
    <t>McConnell also cites Joe Biden, who as a senator in 1992 indicated that Supreme Court nominees should not be considered during the â€œpolitical season,â€ in part because they would inevitably be subjected to withering, politically motivated attacks.</t>
  </si>
  <si>
    <t>McConnell</t>
  </si>
  <si>
    <t>Joe Biden</t>
  </si>
  <si>
    <t>Supreme Court</t>
  </si>
  <si>
    <t>Mr Brown said the killing reinforced Britain's "commitment to confront terrorism".</t>
  </si>
  <si>
    <t>Brown</t>
  </si>
  <si>
    <t>Mr Brown</t>
  </si>
  <si>
    <t xml:space="preserve">But Wheelerâ€™s and most personal achievement will always be the Wall, a project he started pursuing almost by chance. </t>
  </si>
  <si>
    <t>Wheeler</t>
  </si>
  <si>
    <t>Wheelerâ€™</t>
  </si>
  <si>
    <t>Wall</t>
  </si>
  <si>
    <t>Hundreds of companies in the U. S. are selling unproven stem cell treatments, study saysâ€ Karen Kaplan | The Los Angeles Times, Some clinics said they used stem cells to enhance cosmetic procedures such as breast augmentation and wellness boosters that purport to improve sexual function.</t>
  </si>
  <si>
    <t>Karen Kaplan</t>
  </si>
  <si>
    <t>The Los Angeles Times</t>
  </si>
  <si>
    <t>The Los Angeles Time</t>
  </si>
  <si>
    <t>Bin Hammam and the Fifa vice-president Jack Warner, who has also been charged, will appear before Fifa's ethics committee on Sunday where they will face long bans if the allegations made by fellow executive committee member Chuck Blazer are proved.</t>
  </si>
  <si>
    <t>Bin Hammam</t>
  </si>
  <si>
    <t>Fifa</t>
  </si>
  <si>
    <t>Jack Warner</t>
  </si>
  <si>
    <t>Chuck Blazer</t>
  </si>
  <si>
    <t>Yves Carcelle, chief executive of Louis Vuitton, which contributes roughly half of LVMHs operating profit, said the brand would enter the Dominican Republic, Lebanon and Poland this year and spend money on refurbishing existing shops.</t>
  </si>
  <si>
    <t>Yves Carcelle</t>
  </si>
  <si>
    <t>LVMH</t>
  </si>
  <si>
    <t>Louis Vuitton</t>
  </si>
  <si>
    <t>Lebanon</t>
  </si>
  <si>
    <t>Ryan's moratorium did indeed lead to the passage of a bill banning the death penalty during the recent lame-duck session of the Illinois legislature.</t>
  </si>
  <si>
    <t>Ryan</t>
  </si>
  <si>
    <t>Illinois</t>
  </si>
  <si>
    <t>Credit Agricoles results come a week after French rival BNP Paribas posted higher third-quarter profits, although BNP Paribas results showed some weakness in retail banking and disappointing overall revenue.</t>
  </si>
  <si>
    <t>Credit Agricoles</t>
  </si>
  <si>
    <t>BNP Pariba</t>
  </si>
  <si>
    <t>In Maradonaâ€™s time, Argentina also had strong supporting players like Claudio Caniggia, Jorge Valdano, Jorge Burruchaga and later Batistuta.</t>
  </si>
  <si>
    <t>Maradona</t>
  </si>
  <si>
    <t>Claudio Caniggia</t>
  </si>
  <si>
    <t>Jorge Valdano</t>
  </si>
  <si>
    <t>Last June, the United States Court of Appeals for the Fifth Circuit, in New Orleans, largely upheld the contested provisions of the Texas law, saying it had to accept lawmakersâ€™ assertions about the health benefits of abortion restrictions.</t>
  </si>
  <si>
    <t>the United States Court of Appeals</t>
  </si>
  <si>
    <t>the United States Court of Appeal</t>
  </si>
  <si>
    <t>the Fifth Circuit</t>
  </si>
  <si>
    <t>We still do not have answers about how and why the IRS tried to deceive Congress about these missing e-mails.</t>
  </si>
  <si>
    <t>IRS</t>
  </si>
  <si>
    <t xml:space="preserve">Brussels mayor says at least 20 people died in subway attack near EU headquarters. </t>
  </si>
  <si>
    <t>mayor</t>
  </si>
  <si>
    <t>Donald Trump was the 45th US president when the Electoral College met Monday, despite having lost the popular vote to his Democratic challenger, Hillary Clinton, by more than 2. 9 million votes.</t>
  </si>
  <si>
    <t>by</t>
  </si>
  <si>
    <t>9 million</t>
  </si>
  <si>
    <t xml:space="preserve"> North Korean leader Kim Jong Un supervised a successful test of a new engine for an intercontinental ballistic missile (ICBM) </t>
  </si>
  <si>
    <t>Kim Jong Un</t>
  </si>
  <si>
    <t>ICBM</t>
  </si>
  <si>
    <t>On Mondayâ€™s broadcast of MSNBCâ€™s â€œMorning Joe,â€ Mika Brzezinski argued that Democratic presidential nominee former Secretary of State set up her private email server for a â€œ reasonâ€</t>
  </si>
  <si>
    <t>Mika Brzezinski</t>
  </si>
  <si>
    <t>A Russian naval reconnaissance warship has collided with a boat near Turkeyâ€™s Black Sea coast, prompting an evacuation.</t>
  </si>
  <si>
    <t>Black Sea</t>
  </si>
  <si>
    <t>Supporters and members of the Writers Guild of America picket outside the News Corp building in New York, December 4, 2007.</t>
  </si>
  <si>
    <t>the Writers Guild of America</t>
  </si>
  <si>
    <t>News Corp</t>
  </si>
  <si>
    <t>Dabiq, the magazine of ISIS, has also just published a photo of parts of a homemade bomb that they claim was used in the atrocious terrorist attack on the Russian passenger plane in the Sinai Peninsula, which killed over 220 people.</t>
  </si>
  <si>
    <t>Dabiq</t>
  </si>
  <si>
    <t>Democrats and administration officials are urging the Congress to grant nearly $1. 9 billion in emergency funds to combat the spread of Zika.</t>
  </si>
  <si>
    <t xml:space="preserve">Coming less than a week after the GOPâ€™s quest to repeal the law came to a crashing halt, the Price hearing offered an early window into whether the Trump administration will try to undermine the law administratively after failing to unwind it legislatively. </t>
  </si>
  <si>
    <t>Price</t>
  </si>
  <si>
    <t>George Washington, the first president, was trembling as he gave his inaugural address, and his immediate successors John Adams and Thomas Jefferson were respectively terrified of having a panic attack and criticised as â€œ â€.</t>
  </si>
  <si>
    <t>George Washington</t>
  </si>
  <si>
    <t>John Adams</t>
  </si>
  <si>
    <t>Thomas Jefferson</t>
  </si>
  <si>
    <t>I think was when he started saying ban all Muslims,â€ said Haley.</t>
  </si>
  <si>
    <t>Haley</t>
  </si>
  <si>
    <t>Stringer/ReutersFor this reason, many have questioned Moroccos decision to accept nearly a billion dollars from France, and another half-billion from a handful of Gulf states, to finance a high-speed railway.</t>
  </si>
  <si>
    <t>Stringer</t>
  </si>
  <si>
    <t>Morocco</t>
  </si>
  <si>
    <t>Moroccos</t>
  </si>
  <si>
    <t>In response, Obama actually sent a draft AUMF proposal to Congress in 2015 to try to get them to pass it, but it failed.</t>
  </si>
  <si>
    <t>AUMF</t>
  </si>
  <si>
    <t>Treasury.If we do get back down to the wire, with the debt ceiling not being raised or suspended when the Treasury is running out of money, then we would review the U.S. rating with potentially negative implications, he told Reuters on the sidelines of a Fitch sovereign ratings conference in London.</t>
  </si>
  <si>
    <t>Treasury</t>
  </si>
  <si>
    <t>I have argued that Attorney General Jeff Sessionsâ€™s recusal from the Russia investigation was a mistake.</t>
  </si>
  <si>
    <t>Jeff Sessionsâ€™</t>
  </si>
  <si>
    <t>Especially when you realise the song's most notable contribution comes from then-England striker John Barnes's slow-paced rap verse.</t>
  </si>
  <si>
    <t>England</t>
  </si>
  <si>
    <t>John Barnes</t>
  </si>
  <si>
    <t>John Barne</t>
  </si>
  <si>
    <t>The New York City medical examiner's office says it will not release the cause or manner of death of Russia's ambassador to the United Nations.</t>
  </si>
  <si>
    <t xml:space="preserve">Based on the results in Clark, the precincts in ELV, and the overall entrance poll error, I do not believe Sanders won the Hispanic vote. </t>
  </si>
  <si>
    <t>Clark</t>
  </si>
  <si>
    <t>Hispanic</t>
  </si>
  <si>
    <t>With Oaklands loss to the Denver Broncos in Week 17, the Silver and Black finished second place in the AFC West, which in turn, pinned the Baltimore Ravens and Tennessee Titans on their schedule because they too finished second in their respective divisions.</t>
  </si>
  <si>
    <t>Oaklands</t>
  </si>
  <si>
    <t>the Denver Broncos</t>
  </si>
  <si>
    <t>Baltimore</t>
  </si>
  <si>
    <t>From early on, the Leagueâ€™s leader has been a vocal advocate of Trumpâ€™s ascendance to the White House, setting him apart from Italyâ€™s other political parties.</t>
  </si>
  <si>
    <t>League</t>
  </si>
  <si>
    <t>Leagueâ€™</t>
  </si>
  <si>
    <t>Parliament is due in the coming days to debate the state of emergency as President Francois Hollande seeks parliamentary approval to extend the current three-month measure, which expires on February 26.The Senate is to vote on the proposal on February 9, followed by a vote in the National Assembly on February</t>
  </si>
  <si>
    <t>President Francois Hollande</t>
  </si>
  <si>
    <t>Parliament</t>
  </si>
  <si>
    <t>parliamentary</t>
  </si>
  <si>
    <t>Meanwhile, U.S. students are being outpaced internationally in science, technology, engineering and math (STEM), placing 25th in math and 17th in science, according to the OECD.</t>
  </si>
  <si>
    <t>OECD</t>
  </si>
  <si>
    <t>STEM</t>
  </si>
  <si>
    <t>Italian Flavio Briatore, former boss of the Renault team, is lightly mocked for his accent and habit of starting every sentence with 'Mean..'.</t>
  </si>
  <si>
    <t>Italian Flavio Briatore</t>
  </si>
  <si>
    <t>Renault</t>
  </si>
  <si>
    <t>An eastern Ukrainian steel and coal magnate Rinat Akhmetov who is considered Viktor Yanukovych's main financial backer answers journalist's question during his news conference in Kiev, March 30, 2006.</t>
  </si>
  <si>
    <t>Rinat Akhmetov</t>
  </si>
  <si>
    <t>Viktor Yanukovych's</t>
  </si>
  <si>
    <t>Viktor Yanukovych</t>
  </si>
  <si>
    <t xml:space="preserve">President Donald Trump ordered Tomahawk missile strikes against a Syrian airfield on Thursday evening </t>
  </si>
  <si>
    <t>Tomahawk</t>
  </si>
  <si>
    <t>Democratic vie presidential candidate Tim Kaine was the guest of honor at a fundraiser hosted by UTA managing director Jay Sures on Tuesday in Los Angeles, where he confidently predicted that his running mate, Hillary Clinton, would win the election in November.</t>
  </si>
  <si>
    <t>Tim Kaine</t>
  </si>
  <si>
    <t>Jay Sures</t>
  </si>
  <si>
    <t>Mr. Seeger, who earned national praise when he was in Atlanta, has a formidable command of classical European techniques, but he keeps his skills in the service of simplicity.</t>
  </si>
  <si>
    <t>Seeger</t>
  </si>
  <si>
    <t>The billionaire founder of Zynga, the San company that makes FarmVille, has found himself in (very messy) DivorceVille.</t>
  </si>
  <si>
    <t>Zynga</t>
  </si>
  <si>
    <t>DivorceVille</t>
  </si>
  <si>
    <t>FarmVille</t>
  </si>
  <si>
    <t xml:space="preserve">The Iraqi government has struggled to rein in the Shiâ€™ite militias, many of which fought the U. S. military following the 2003 invasion and have previously been accused of killing and abducting American nationals. </t>
  </si>
  <si>
    <t>Shiâ€™ite</t>
  </si>
  <si>
    <t>Signing with the Titans would also give Tate the chance to return to his roots, as hes originally from the Nashville area.</t>
  </si>
  <si>
    <t>Titans</t>
  </si>
  <si>
    <t>Titan</t>
  </si>
  <si>
    <t>Tate</t>
  </si>
  <si>
    <t>Nashville</t>
  </si>
  <si>
    <t>But even Moscows sharpest critics dont believe Vladimir Putin plans to commit suicide.</t>
  </si>
  <si>
    <t>Moscows</t>
  </si>
  <si>
    <t>Moscow</t>
  </si>
  <si>
    <t>Vladimir Putin</t>
  </si>
  <si>
    <t>Michelle Obama has had to contend with vile online attacks since her husband first ran for president, including a racist slur not long ago by a nonprofit official in West Virginia, Pamela Taylor, who referred to the first lady as an â€œape in heels.</t>
  </si>
  <si>
    <t>Michelle Obama</t>
  </si>
  <si>
    <t>Pamela Taylor</t>
  </si>
  <si>
    <t>West Virginia</t>
  </si>
  <si>
    <t>New Zealands ruling National Party enjoyed a wide lead over the Labour Party with 70 percent of results counted in the countrys general election on Saturday after the most hotly contested race in recent history.</t>
  </si>
  <si>
    <t>National Party</t>
  </si>
  <si>
    <t>the Labour Party</t>
  </si>
  <si>
    <t>Kim Jong Un, North Koreaâ€™s leader, ordered a missile launch to celebrate the 105th birthday of his grandfather, the countryâ€™s founding president.</t>
  </si>
  <si>
    <t>founding</t>
  </si>
  <si>
    <t>The WannaCry â€ransomwareâ€ attack hobbled some of its hospital customers in Britainâ€™s National Health Service, forcing them to turn away ambulances and cancel surgeries.</t>
  </si>
  <si>
    <t>WannaCry</t>
  </si>
  <si>
    <t>National Health Service</t>
  </si>
  <si>
    <t>The Las Vegas magnate who has been Donald J. Trumpâ€™s friend and business partner for two decades, told delegates at the Republican National Convention in Cleveland Wednesday that Trumpâ€™s vision and determination to succeed in business are the skills he needs as president to â€œ</t>
  </si>
  <si>
    <t>Donald J. Trumpâ€™s</t>
  </si>
  <si>
    <t>the Republican National Convention</t>
  </si>
  <si>
    <t>Cleveland</t>
  </si>
  <si>
    <t xml:space="preserve"> The Clinton Foundation has confirmed it accepted a $1 million gift from Qatar while Hillary Clinton was U. S. secretary of state without informing the State Department, even though she had promised to let the agency review new or significantly increased support from foreign governments.</t>
  </si>
  <si>
    <t>Qatar</t>
  </si>
  <si>
    <t>Tallulah, which premiered on Netflix this weekend, has the melodramatic premise of a Lifetime original movie, but it stands out thanks to the graceful, thoughtful characterization of its three protagonists, despite their potential to be monstrous caricatures.</t>
  </si>
  <si>
    <t>Tallulah</t>
  </si>
  <si>
    <t>Lifetime</t>
  </si>
  <si>
    <t xml:space="preserve">The former quirky David Barton Gym at 4 Astor Place will become an Elite New York Sports Club </t>
  </si>
  <si>
    <t>David Barton Gym</t>
  </si>
  <si>
    <t>an Elite New York Sports Club</t>
  </si>
  <si>
    <t>Elite New York Sports Club</t>
  </si>
  <si>
    <t>It appears that much of the Select Committeeâ€™s work has been shelved while Republicans pursue every possible avenue of political attack against Secretary Clinton,â€ Cummings said in a letter to Gowdy.</t>
  </si>
  <si>
    <t>Cummings</t>
  </si>
  <si>
    <t>U. S. Border Patrol agents assigned to the Falfurrias, Texas, checkpoint discovered a shipment of liquid methamphetamine 80 miles from the Mexican border.</t>
  </si>
  <si>
    <t>U. S. Border Patrol</t>
  </si>
  <si>
    <t>The Football League board initially blocked the takeover after an Italian court found Cellino guilty of failing to pay duty on the import of a yacht and fined him 600,000 euros ($825,500).The ban was overturned last week by a senior lawyer who heard Cellino's appeal.($1 = 0.6020 British Pounds) ($1 = 0.7277 Euros)</t>
  </si>
  <si>
    <t>Football League</t>
  </si>
  <si>
    <t>Cellino</t>
  </si>
  <si>
    <t>its not a big risk for Clinton, argued former Rep. Rick Boucher, a Virginia Democrat who lost his reelection bid amid 2010s tea party wave after voting for an Obama-supported cap-and-trade climate</t>
  </si>
  <si>
    <t>Rick Boucher</t>
  </si>
  <si>
    <t>THE PAN Charlotte Crosby gets 'the s***s' &amp; loses her phone on nightmare 'luxury' trip Exclusive VIDEO NASTY Nicole Scherzinger desperate to get leaked intimate vid of her &amp; Lewis removed PHONE HOLMES Eamonn Holmes throws This Morning into chaos after his phone starts ringing ROCK 'N' HOLL Holly and Phil's boozy</t>
  </si>
  <si>
    <t>Charlotte Crosby</t>
  </si>
  <si>
    <t>PAN Charlotte Crosby</t>
  </si>
  <si>
    <t>Nicole Scherzinger</t>
  </si>
  <si>
    <t>Phil</t>
  </si>
  <si>
    <t>Trumpâ€™s running mate, Indiana Gov. Mike Pence (R) seemed to struggle to answer questions on ABC Newsâ€™s â€œ</t>
  </si>
  <si>
    <t>Mike Pence</t>
  </si>
  <si>
    <t>ABC Newsâ€™</t>
  </si>
  <si>
    <t>Former U. S. Representative to the United Nations General Assembly Robert C. Oâ€™Brien, of the U. S. State Departmentâ€™s Partnership for Justice Reform in Afghanistan and author of the new book</t>
  </si>
  <si>
    <t>Representative</t>
  </si>
  <si>
    <t>Robert C. Oâ€™Brien</t>
  </si>
  <si>
    <t xml:space="preserve"> The war of words between Donald Trump and Ted Cruz heated up Thursday as Cruz called Trump a â€œsniveling cowardâ€ after the billionaire tweeted an attack on the Texas senatorâ€™s wife.</t>
  </si>
  <si>
    <t>But just as four years ago the poll was one of the few that did not underestimate President Obamaâ€™s support, it seems as though it may have been on its own in not underestimating Trumpâ€™s.</t>
  </si>
  <si>
    <t>Helicopter rides, a Cobra sports car and a bikini model girlfriend were all part of the glamorous life caught on Instagram of one of the alleged members of Australiaâ€™s largest cocaine cartel.</t>
  </si>
  <si>
    <t>Australia</t>
  </si>
  <si>
    <t>Cobra</t>
  </si>
  <si>
    <t>In February of this year, comedian Louis CK wrote that he had chosen to abandon conventional TV production, host his new series Horace and Pete on his website and charge per episode for a show that was as much TV play as a comedy.</t>
  </si>
  <si>
    <t>Louis CK</t>
  </si>
  <si>
    <t>Horace</t>
  </si>
  <si>
    <t>Pete</t>
  </si>
  <si>
    <t>President Obama and several European leaders â€œunanimously agreedâ€ on Friday to keep sanctions in place against Russia for its intervention in Ukraine, amid concern that Donald J. Trump would soften the United Statesâ€™ stance against Moscow.</t>
  </si>
  <si>
    <t>that</t>
  </si>
  <si>
    <t>Donald J. Trump</t>
  </si>
  <si>
    <t>Correct the Record, a Clinton political action committee (PAC) is spending over $1 million on online trolls in order to â€˜correctâ€™ Bernie Sanders supporters on social media sites.</t>
  </si>
  <si>
    <t>The Obama administration is facing growing criticism for supporting Saudi Arabiaâ€™s air campaign.</t>
  </si>
  <si>
    <t>Saudi Arabiaâ€™s</t>
  </si>
  <si>
    <t>Saudi Arabiaâ€™</t>
  </si>
  <si>
    <t xml:space="preserve"> The Chairman of the House Committee on Financial Services sent a letter last month to the head of the Treasury Department instructing him to decline Freedom of Information requests relating to communications between the two offices, a letter that open records advocates called â€œdeeply troubling.</t>
  </si>
  <si>
    <t>the House Committee on Financial Services</t>
  </si>
  <si>
    <t>the House Committee on Financial Service</t>
  </si>
  <si>
    <t>the Treasury Department</t>
  </si>
  <si>
    <t>The Eagles signed defensive lineman Fletcher Cox on Monday to a $103 million extension with a possible $63 million guaranteed, making Cox the latest defensive lineman to cash in while Wilkerson waits.</t>
  </si>
  <si>
    <t>Fletcher Cox</t>
  </si>
  <si>
    <t>cash</t>
  </si>
  <si>
    <t>wait</t>
  </si>
  <si>
    <t>Donald Trump cancelled his Saturday morning speech at the Conservative Political Action Conference in suburban Washington, D. C.</t>
  </si>
  <si>
    <t xml:space="preserve"> The latest attempt by a major beverage company to wade into the turbulent sociopolitical climate through advertising is being met with significantly more praise than Pepsiâ€™s recent botched attempt with Kendall Jenner. </t>
  </si>
  <si>
    <t>Pepsi</t>
  </si>
  <si>
    <t>Kendall Jenner</t>
  </si>
  <si>
    <t>Kendall</t>
  </si>
  <si>
    <t>For an account of Brazilian history, Euclides da Cunha's Rebellion in the Backlands</t>
  </si>
  <si>
    <t>Brazilian</t>
  </si>
  <si>
    <t>Euclides da Cunha's</t>
  </si>
  <si>
    <t>Euclides da Cunha</t>
  </si>
  <si>
    <t>Her father is a regular critic of China, so Ivankaâ€™s moves sort of compensate for that,â€ said Shi Yinhong, a professor of international relations at Renmin University in Beijing.</t>
  </si>
  <si>
    <t>Shi Yinhong</t>
  </si>
  <si>
    <t>Beijing</t>
  </si>
  <si>
    <t>LeBron James says he has lost respect for Phil Jackson after the famed NBA coach used the word â€œposseâ€ to describe the Cleveland starâ€™s business partners.</t>
  </si>
  <si>
    <t>LeBron James</t>
  </si>
  <si>
    <t>LeBron Jame</t>
  </si>
  <si>
    <t>Phil Jackson</t>
  </si>
  <si>
    <t>He was elected as a Nationals MP in federal Parliament in 1993, until he left to become an independent in 2001, having started in Queensland Parliament in 1974.Mr Katter founded the Katter's Australian Party (KAP) in 2011.The KAP</t>
  </si>
  <si>
    <t>Nationals</t>
  </si>
  <si>
    <t>National</t>
  </si>
  <si>
    <t>Katter</t>
  </si>
  <si>
    <t xml:space="preserve"> The Hillary Clinton campaign and Democratic Party joined Thursday to sue Arizona over voting problems in last month</t>
  </si>
  <si>
    <t>The Trump administration has cleared out the top echelons at the State Department.</t>
  </si>
  <si>
    <t xml:space="preserve"> A Texas mom is being hailed a hero for shielding her son from bullets after she was struck in the leg during Thursdayâ€™s deadly sniper attack at a peaceful protest rally in downtown Dallas. </t>
  </si>
  <si>
    <t>Dallas</t>
  </si>
  <si>
    <t>Dalla</t>
  </si>
  <si>
    <t>Results in Pennsylvania have diverged, with Quinnipiac, which generally produces better results for Republicans, showing Trump slightly ahead and Marist giving Clinton a comfortable point advantage.</t>
  </si>
  <si>
    <t>Marist</t>
  </si>
  <si>
    <t>A radio executive from Minneapolis is being hailed as a hero after saving his son from drowning while vacationing with his family in Puerto Rico.</t>
  </si>
  <si>
    <t>Minneapolis</t>
  </si>
  <si>
    <t>Minneapoli</t>
  </si>
  <si>
    <t>Puerto Rico</t>
  </si>
  <si>
    <t>but if they donâ€™t, instead of Republicans fighting with each other, why donâ€™t we make sure that the Democrats still are responsible?</t>
  </si>
  <si>
    <t>After the attack on the funeral hall, President Barack Obamaâ€™s administration pledged to conduct â€œan immediate reviewâ€ of its logistical support for the Saudi coalition.</t>
  </si>
  <si>
    <t>President Barack Obama</t>
  </si>
  <si>
    <t xml:space="preserve">In an appearance on CNBC on Thursday, network personality Larry Kudlow took on former Rep. Barney Frank ( ) over what could happen in the 2016 presidential political cycle. </t>
  </si>
  <si>
    <t>Larry Kudlow</t>
  </si>
  <si>
    <t>CNBC</t>
  </si>
  <si>
    <t>Barney Frank</t>
  </si>
  <si>
    <t xml:space="preserve">Bi Fujian, who works for China Central Television, was filmed at a dinner party singing a revolutionary song that eulogizes the Communist Partyâ€™s early years when he started going off script. </t>
  </si>
  <si>
    <t>Bi Fujian</t>
  </si>
  <si>
    <t>China Central Television</t>
  </si>
  <si>
    <t>the Communist Partyâ€™</t>
  </si>
  <si>
    <t>However, the Lakers starting backcourt was no match for the Portland pair of Damian Lillard and C.J. McCollum.</t>
  </si>
  <si>
    <t>Damian Lillard</t>
  </si>
  <si>
    <t>C.J. McCollum</t>
  </si>
  <si>
    <t>Damian</t>
  </si>
  <si>
    <t>And a North Charleston police officer recently pleaded guilty to a federal civil rights charge after he shot and killed Walter Scott, an unarmed motorist, as he was running away.</t>
  </si>
  <si>
    <t>North Charleston</t>
  </si>
  <si>
    <t>Walter Scott</t>
  </si>
  <si>
    <t>Western security and intelligence officials have long seen Yemen as central to their fight against Islamist militancy, viewing local franchise Al Qaeda on the Arabic Peninsula (AQAP) as the most dangerous single foreign group plotting attacks against the West.</t>
  </si>
  <si>
    <t>Al Qaeda on the Arabic Peninsula</t>
  </si>
  <si>
    <t>Al Qaeda</t>
  </si>
  <si>
    <t>Interviews with more than a dozen GOP lawmakers revealed a clash of expectations between lawmakers to get started in disassembling Obamacare and party leaders who are all too aware of the obstacles and difficult choices ahead.</t>
  </si>
  <si>
    <t>Immediately following the U. S. presidential election on November 8, Trump demonstrations sprang up in New York, San Francisco, and Los Angeles â€” cities that vote overwhelmingly Democratic.</t>
  </si>
  <si>
    <t>What do full moons, a Weenie Beenie and a children's daycare have in common?But reports on the arrest of two Alexandria women, Betty Ross and Cassandra Lewis, who were charged with seven counts of contributing to the delinquency of a minor involve every bit of those three things.</t>
  </si>
  <si>
    <t>Betty Ross</t>
  </si>
  <si>
    <t>Alexandria</t>
  </si>
  <si>
    <t>Cassandra Lewis</t>
  </si>
  <si>
    <t>Betty Ro</t>
  </si>
  <si>
    <t>FORMER Celebrity Big Brother star Tila Tequila has sparked concern after a bizarre 12-hour Twitter rant in which she claimed the Earth is flat.</t>
  </si>
  <si>
    <t>Tila Tequila</t>
  </si>
  <si>
    <t>Twitter</t>
  </si>
  <si>
    <t>On Thursday, one of his staunchest defenders, Sen. Lindsey O. Graham ( . C.) called him â€œone of the finest men to ever serve on the bench in the history of this countryâ€ and used an interview on Fox News to denounce â€œgarbageâ€ Democratic attacks on Gorsuchâ€™s record.</t>
  </si>
  <si>
    <t>Lindsey O. Graham</t>
  </si>
  <si>
    <t>Gorsuch</t>
  </si>
  <si>
    <t xml:space="preserve">U. S. Marshals added the inmates who broke out of a maximum security prison in upstate New York to their 15 most wanted fugitives list and offered a $50, 000 reward for information that leads to their capture. </t>
  </si>
  <si>
    <t>who</t>
  </si>
  <si>
    <t>most</t>
  </si>
  <si>
    <t>White House press secretary Sean Spicer said Thursday that the White House had rescinded guidance to public schools on transgender studentsâ€™ access to facilities that match their gender identity because it ought to be a â€œstatesâ€™ rightsâ€ issue.</t>
  </si>
  <si>
    <t>secretary Sean Spicer</t>
  </si>
  <si>
    <t>the White House</t>
  </si>
  <si>
    <t>The European stock market remains vulnerable to a pull-back, however, as an overbought market might induce investors to take some profits from the previous sessions new 5-1/2-year high for the pan-European FTSEurofirst 300 index and a new record high for Germanys</t>
  </si>
  <si>
    <t>pan-European</t>
  </si>
  <si>
    <t>However, McConnell once again missed an opportunity to attack Clinton to instead seemingly signal to the media that his endorsement of Trump is merely perfunctory.</t>
  </si>
  <si>
    <t xml:space="preserve">For the United States and its allies, Yemenâ€™s government has been a key ally in the fight against al Qaeda in the Arabian Peninsula, the group linked to attacks such as the recent slaughter at French magazine Charlie Hebdo. </t>
  </si>
  <si>
    <t>al Qaeda in</t>
  </si>
  <si>
    <t xml:space="preserve"> On the morning of Jan. 3, a California woman named Alexandria left her half brother, Tyler and her three pet dogs in her trailer home and went to work her morning shift as a security guard.</t>
  </si>
  <si>
    <t>Tyler</t>
  </si>
  <si>
    <t>While Mr. Modi has largely steered clear of divisive language on religion as prime minister, his party has a Hindu nationalist philosophy, and he was accused of complicity in violence as the leader of his home state of Gujarat.</t>
  </si>
  <si>
    <t>Modi</t>
  </si>
  <si>
    <t>Gujarat</t>
  </si>
  <si>
    <t>The book, which was scrapped in November amid a public furor, was billed by publisher HarperCollins as a hypothetical account of how Simpson could have murdered his ex-wife Nicole Brown Simpson and her friend Ron Goldman -- though he maintains his innocence to the crime.</t>
  </si>
  <si>
    <t>Simpson</t>
  </si>
  <si>
    <t>HarperCollin</t>
  </si>
  <si>
    <t>Nicole Brown Simpson</t>
  </si>
  <si>
    <t xml:space="preserve">A federal judge in Seattle Friday struck down a from entering the United States </t>
  </si>
  <si>
    <t>United State</t>
  </si>
  <si>
    <t xml:space="preserve">The vast majority of the DNC and Podesta email leaks â€” the ones that emerged from the Russian hack </t>
  </si>
  <si>
    <t>Podesta</t>
  </si>
  <si>
    <t>DNC</t>
  </si>
  <si>
    <t xml:space="preserve"> The crowds that gathered on January 21, 2017, looked like something out of a movie: a more subdued Zion rave from The Matrix Reloaded or a District 11 revolt straight out of Panem in The Hunger Games.</t>
  </si>
  <si>
    <t>Zion</t>
  </si>
  <si>
    <t>Panem</t>
  </si>
  <si>
    <t>French President Francois Hollande pledged Monday to redefine Franceâ€™s business model and declared what he called â€a state of economic and social emergency,â€ unveiling a ($2. 2 billion) plan to revive hiring and catch up with a world economy.</t>
  </si>
  <si>
    <t>French President Francois Hollande</t>
  </si>
  <si>
    <t xml:space="preserve">In an interview with CBSâ€™ â€60 Minutesâ€ that will air on Sunday, Trump said he isnâ€™t ready to give up his Twitter account, where he routinely posted controversial statements during the campaign that unleashed harsh criticism. </t>
  </si>
  <si>
    <t>The Islamic State had claimed an attack during that holiday as well, bombing another Shiite shrine in Kabul on the eve of Ashura, and killing at least 14.</t>
  </si>
  <si>
    <t>Ashura</t>
  </si>
  <si>
    <t>With president Donald Trump speaking out and saying that the NFL owners should get rid of players that dont stand up during the national anthem, Davis is backpedaling his original request.</t>
  </si>
  <si>
    <t>Davis</t>
  </si>
  <si>
    <t>Davi</t>
  </si>
  <si>
    <t>Donald Trump will have a plan to wipe out ISIS within 30 days of being sworn in as president, the mogul pledged in a national security speech Wednesday in Philadelphia.</t>
  </si>
  <si>
    <t xml:space="preserve"> Tens of thousands of people rallied in U. S. cities and at airports on Sunday to voice outrage over President Donald Trumpâ€™s executive order restricting entry into the country for travelers from seven nations.</t>
  </si>
  <si>
    <t>Any American who is aware of the nationâ€™s long history of racial violence, division and recrimination heard Trumpâ€™s message loud and clear.</t>
  </si>
  <si>
    <t>Sophia Wilansky, 21, who grew up in the Bronx, rested in a Minneapolis hospital bed, her father by her side, recovering from surgery to try to save her left hand and arm after an explosion at a pipeline protest in North Dakota this week.</t>
  </si>
  <si>
    <t>Sophia Wilansky</t>
  </si>
  <si>
    <t>Bronx</t>
  </si>
  <si>
    <t>North Dakota</t>
  </si>
  <si>
    <t xml:space="preserve">Rousseff, who is negotiating the support of smaller parties in return for government jobs vacated by the PMDB, said she would not announce a new Cabinet until after the impeachment vote expected in about 10 days. </t>
  </si>
  <si>
    <t>PMDB</t>
  </si>
  <si>
    <t>Few European films are so affectionately remembered as Closely Observed Trains, one of the pinnacles of the Czech New Wave of the 60s, brutally cut short by the Soviet invasion of Czechoslovakia in August, 1968, which caused Milos Forman, one of its chief exponents, to flee to America.</t>
  </si>
  <si>
    <t>Czech</t>
  </si>
  <si>
    <t>Czechoslovakia</t>
  </si>
  <si>
    <t>Near one position held by Iraqi forces, this woman screamed out in horror after the loss of her son in an ISIS mortar attack, right on her doorstep.</t>
  </si>
  <si>
    <t>Nigers President Mahamadou Issoufou is far ahead of rivals in a contentious election in which he is seeking a second term, according to early results from Sundays vote that have already been contested by opposition leaders.</t>
  </si>
  <si>
    <t>Nigers President Mahamadou Issoufou</t>
  </si>
  <si>
    <t>Niger</t>
  </si>
  <si>
    <t>Mahamadou Issoufou</t>
  </si>
  <si>
    <t>A former Prime Minister of Portugal remained the to become the next U. N. after a second secret straw poll taken in the Security Council on Friday.</t>
  </si>
  <si>
    <t>Minister</t>
  </si>
  <si>
    <t>ecret</t>
  </si>
  <si>
    <t>s message of hope will remain the same through Nov. 4, the LAT reports, while John McCain is sharpening the points of a three-pronged final attack that will focus on Obamas tax plan, his limited experience, and the excessive power the Democratic Party could wield if he is elected.</t>
  </si>
  <si>
    <t>Obamas</t>
  </si>
  <si>
    <t>In the 1960s, though, scientists and engineers at the University of California, Davis, developed an oblong tomato that lent itself to being and an efficient mechanical harvester to do the job in one pass through a field.</t>
  </si>
  <si>
    <t>the University of California, Davis</t>
  </si>
  <si>
    <t>harvester</t>
  </si>
  <si>
    <t>do</t>
  </si>
  <si>
    <t>In a Monday briefing, a White House official acknowledged that lawsuits would likely result from the Trump administrationâ€™s efforts to halt or rescind climate rules, delaying their removal by one to three years or more.</t>
  </si>
  <si>
    <t>Instantly acclaimed as one of the most important documentaries of the year, Ava DuVernayâ€™s film about the mass incarceration of black men, â€œ13th,â€ wowed audiences at the New York Film Festival and looks like a leading Oscar contender as it premieres in theaters and on Netflix on Friday.</t>
  </si>
  <si>
    <t>Ava DuVernayâ€™s</t>
  </si>
  <si>
    <t>Ava DuVernayâ€™</t>
  </si>
  <si>
    <t>Thomas Frank writes in The Guardian that the WikiLeaks emails to and from Hillary Clintonâ€™s campaign manager John Podesta â€œoffer an unprecedented view into the workings of the elite, and how it looks after itself.</t>
  </si>
  <si>
    <t>Thomas Frank</t>
  </si>
  <si>
    <t>Speaking to the Daily Caller Saturday, Florida Senator Marco Rubio signaled loud and clear that he is already surrendering the only hope the GOP has against the coordinated War on Women attacks Hillary Clinton and her DC Media allies intend to wage during the upcoming general election.</t>
  </si>
  <si>
    <t>Marco Rubio</t>
  </si>
  <si>
    <t>The Obama administration agreed to release the visitor logs in response to our lawsuits, and despite the Trump administrationâ€™s worry over â€™â€™grave national security risks and concerns,â€™â€™ only positives for the American people came out of them.</t>
  </si>
  <si>
    <t>An open letter addressed to Chinese President Xi Jinping and Prime Minister Li signed by dozens of internationally respected China Studies scholars from Australia, the United States, Britain and Hong Kong was also circulated on Thursday respectfully requesting Fengs release.</t>
  </si>
  <si>
    <t>Xi Jinping</t>
  </si>
  <si>
    <t>Li</t>
  </si>
  <si>
    <t>Donald Trump postponed the announcement of his candidate, Mike Pence, because of the terrorist attack in Nice, which was in line with the modus operandi of his campaign.</t>
  </si>
  <si>
    <t>Nice</t>
  </si>
  <si>
    <t>Thereâ€™s no doubt â€œ â€ will clean up at Sunday nightâ€™s MTV Video Music Awards, but BeyoncÃ© is already making sure her presence will be felt on the circuit for years to come through her talented new protÃ©gÃ©e.</t>
  </si>
  <si>
    <t>BeyoncÃ©</t>
  </si>
  <si>
    <t>her</t>
  </si>
  <si>
    <t>On Friday, the Rebello family filed a wrongful death lawsuit against the Nassau County Police Department, claiming the officer who fired the bullet that killed Andrea "carelessly discharged" his weapon and acted "recklessly and unnecessarily, according to the lawsuit, per NBC New York.</t>
  </si>
  <si>
    <t>Rebello</t>
  </si>
  <si>
    <t>Andrea</t>
  </si>
  <si>
    <t>NBC New York</t>
  </si>
  <si>
    <t>Anas Alabdah, president of the Syrian National Coalition, has called on the US to suspend its airstrikes until it performs a thorough investigation into the attack near the contested northern city of Manbij on Tuesday that Syrian activists say killed at least 73 civilians â€” and possibly more than 125.</t>
  </si>
  <si>
    <t>Anas Alabdah</t>
  </si>
  <si>
    <t>the Syrian National Coalition</t>
  </si>
  <si>
    <t>Legislation that received bipartisan support and was signed into law by President Obama last year prohibits the administration from using federal funds to build or modify a facility on U. S. soil to house GuantÃ¡namo prisoners.</t>
  </si>
  <si>
    <t>GuantÃ¡namo</t>
  </si>
  <si>
    <t>Support for the Greens party and the Left party were unchanged at eight and seven per cent, respectively.</t>
  </si>
  <si>
    <t>Greens</t>
  </si>
  <si>
    <t>Green</t>
  </si>
  <si>
    <t>Left</t>
  </si>
  <si>
    <t xml:space="preserve">The Syrian regime says it has taken full control of Aleppo, media announced Thursday, marking a major turning point in the countryâ€™s civil war. </t>
  </si>
  <si>
    <t>ha</t>
  </si>
  <si>
    <t>Aleppo</t>
  </si>
  <si>
    <t>(Additional reporting by Simon Carraud, Yann Le Guernigou and Emmanuel Jarry; writing by John Irish and Richard Balmforth; editing by Andrew Roche) SEOUL North Korea said on Wednesday its newly developed intercontinental ballistic missile (ICBM) can carry a large nuclear warhead, triggering a call by Washington for global action to hold it accountable for pursuing nuclear weapons.</t>
  </si>
  <si>
    <t>Simon Carraud</t>
  </si>
  <si>
    <t>John Irish</t>
  </si>
  <si>
    <t>Yann Le Guernigou</t>
  </si>
  <si>
    <t xml:space="preserve"> A couple weeks ago at The Aspen Ideas Festival, Evan Thomas, the journalist and author of Being Nixon, wondered if reason is dead.</t>
  </si>
  <si>
    <t>Evan Thomas</t>
  </si>
  <si>
    <t>Evan Thoma</t>
  </si>
  <si>
    <t>Being Nixon</t>
  </si>
  <si>
    <t>In the midst of Franceâ€™s fight over banning the burkini, the bikini is celebrating its 70th anniversary, and photographs chronicling its debut and early history in the 1940s, â€™50s and â€™60s are on display in one of Parisâ€™s chic galleries, prompting parallels to the uproar over the burkini today.</t>
  </si>
  <si>
    <t>Midland was launched in 2014 after Nick accused figures including the late exPrime Minister Sir Edward Heath of being part of a VIP sex ring.</t>
  </si>
  <si>
    <t>Nick</t>
  </si>
  <si>
    <t>Midland</t>
  </si>
  <si>
    <t>Edward Heath</t>
  </si>
  <si>
    <t>This is a big victory for the tech giants that had been resisting Flash on its mobile devices like Apple's Steve Jobs, who refused to submit to Adobe's dominance in iOS, causing a sort of Flash versus HTML5 showdown.</t>
  </si>
  <si>
    <t>Flash</t>
  </si>
  <si>
    <t>Steve Jobs</t>
  </si>
  <si>
    <t>Steve Job</t>
  </si>
  <si>
    <t>As a transit point for refugees flooding toward the west as well as jihadis attempting to access battle zones in Syria and Iraq, Turkey has emerged as an instrumental player in U. S. efforts to combat ISIS.</t>
  </si>
  <si>
    <t xml:space="preserve"> Changes that House Republicans have made to their legislation would reduce savings in federal spending by half as much as their original plan and would still cause 24 million more Americans to be uninsured, according to congressional budget analysts.</t>
  </si>
  <si>
    <t>Nearly four years later, now president himself and grappling with how to respond to another chemical weapons attack by the Syrian government, Mr. Trump ignored his own warnings and did what Mr. Obama threatened but never carried out: order a missile strike targeting assets of President Bashar .</t>
  </si>
  <si>
    <t xml:space="preserve"> percent of Americans say race relations are generally bad, one of the highest levels of discord since the 1992 riots in Los Angeles during the Rodney King case, according to the latest New York News poll.</t>
  </si>
  <si>
    <t>Rodney King</t>
  </si>
  <si>
    <t>Democratic presidential nominee Hillary Clinton says sheâ€™ll visit the devastation caused by flooding in Louisiana, but refused to set a specific date.</t>
  </si>
  <si>
    <t>Louisiana</t>
  </si>
  <si>
    <t>While Thursday is now the earliest the could be officially announced as manager, Paul Scholes has warned Mourinho he will have to provide entertaining football to please supporters once he is appointed.</t>
  </si>
  <si>
    <t>Paul Scholes</t>
  </si>
  <si>
    <t>Paul Schole</t>
  </si>
  <si>
    <t>Mourinho</t>
  </si>
  <si>
    <t>The dream scenario for the Giants is Aaron Rodgers on the sidelines, frozen with helplessness and anxiety, watching the kid run the rock over and over and over again.</t>
  </si>
  <si>
    <t>Giants</t>
  </si>
  <si>
    <t>Giant</t>
  </si>
  <si>
    <t>Aaron Rodgers</t>
  </si>
  <si>
    <t>Aaron Rodger</t>
  </si>
  <si>
    <t>John Kiriakou, a former CIA officer, recently emerged from two years in prison for unauthorized disclosure of classified information, including exposing the identity of an Agency colleague who was serving under cover.</t>
  </si>
  <si>
    <t>John Kiriakou</t>
  </si>
  <si>
    <t>Agency</t>
  </si>
  <si>
    <t>Under the Paris agreementâ€™s â€œmembers determined contributionsâ€ (MDCs) former president Barack Obama pledged to cut US carbon dioxide emissions by 26% by 2025, bringing it down to 28%.</t>
  </si>
  <si>
    <t>president Barack Obama</t>
  </si>
  <si>
    <t>Worst is that the provision currently makes no mention of grandfathering anyone in to the original PSLF terms.</t>
  </si>
  <si>
    <t>PSLF</t>
  </si>
  <si>
    <t>Worst</t>
  </si>
  <si>
    <t>Owner Erin Lang, who grew up in Hawaii, recreated some of the sweet, Asian-inspired frozen treats of her childhood when she started Garden Creamery.</t>
  </si>
  <si>
    <t>Erin Lang</t>
  </si>
  <si>
    <t>Owner Erin Lang</t>
  </si>
  <si>
    <t>Asian</t>
  </si>
  <si>
    <t>Former Oklahoma City police officer Daniel Holtzclaw, who was found guilty of raping and sexually assaulting multiple women while on his beat, was sentenced to 263 years in prison.</t>
  </si>
  <si>
    <t>Oklahoma City</t>
  </si>
  <si>
    <t>Daniel Holtzclaw</t>
  </si>
  <si>
    <t>Earlier on Tuesday, Cabinet Chief Marcos Pea asked for an independent audit of the deal to resolve the debt and denied any wrongdoing by Macri's government.</t>
  </si>
  <si>
    <t>Marcos Pea</t>
  </si>
  <si>
    <t>Macri</t>
  </si>
  <si>
    <t>The Dan Le Batard Show,â€ host Dan Le Batard addressed the accusations that his employer has a liberal bias after the show interviewed 2017 White House Correspondentsâ€™ Association dinner host and â€œ</t>
  </si>
  <si>
    <t>Dan Le Batard</t>
  </si>
  <si>
    <t>White House Correspondentsâ€™ Association</t>
  </si>
  <si>
    <t>â€œ</t>
  </si>
  <si>
    <t>Trumpâ€™s trade team, led by Commerce Secretary Wilbur Ross, was expected to begin the negotiating process for NAFTA soon and must trigger a consultation period before diving into trade talks with Canada and Mexico.</t>
  </si>
  <si>
    <t>Wilbur Ro</t>
  </si>
  <si>
    <t>Wilbur Ross</t>
  </si>
  <si>
    <t>NAFTA</t>
  </si>
  <si>
    <t>A highly respected American rabbi, Yitz Greenberg, used to tell American Jewish audiences, whether Reform, Conservative, Orthodox,</t>
  </si>
  <si>
    <t>Yitz Greenberg</t>
  </si>
  <si>
    <t>Orthodox</t>
  </si>
  <si>
    <t xml:space="preserve"> The conservative movement in America now belongs to President Trump.</t>
  </si>
  <si>
    <t>s question on whether the US will continue to provide funding for the UN Relief and Works Agency, which provides aid to millions of Palestinian refugees, in light of a non-binding UN General Assembly resolution last month condemning the US recognition of Jerusalem as Israels capital</t>
  </si>
  <si>
    <t>According to Recode, his departure may have ties to a complaint that Baker had a sexual relationship with another Uber employee.</t>
  </si>
  <si>
    <t>Recode</t>
  </si>
  <si>
    <t>Baker</t>
  </si>
  <si>
    <t>Vt. â€ Sen. Bernie Sanders, a loyal soldier for Hillary Clinton since he conceded the Democratic presidential nomination in July, plans to push liberal legislation with senators with or without Clinton s support if she is elected â€ and to aggressively oppose appointments that do not pass muster with the party s left wing.</t>
  </si>
  <si>
    <t>loyal</t>
  </si>
  <si>
    <t>conceded</t>
  </si>
  <si>
    <t>Khazhal Hamad, the provinceâ€™s first deputy governor, said the removals protected families from retaliation by neighbors who lost family members to ISIS attacks.</t>
  </si>
  <si>
    <t>Khazhal Hamad</t>
  </si>
  <si>
    <t>In the past year, Breitbart Tech editor Milo Yiannopoulos had his verification check mark removed, and conservative blogger Robert Stacy McCain had his account suspended without reason.</t>
  </si>
  <si>
    <t>Milo Yiannopoulos</t>
  </si>
  <si>
    <t>Breitbart Tech</t>
  </si>
  <si>
    <t>Robert Stacy McCain</t>
  </si>
  <si>
    <t>Uber on Tuesday released to investors its third-quarter financial results, posting a net loss of $1.46 billion, up about 38 percent from $1.06 billion in the previous quarter and erasing earlier progress in diminishing losses, a source familiar with the matter told Reuters.</t>
  </si>
  <si>
    <t>We are all Armenians, suggesting a new desire among Turks to reach out despite the past in a spirit of solidarity.My fear is that the U.S. Congress vote will now just encourage the hardliners on both sides, just as the veil (on old taboos) was starting to lift, said Idiz.</t>
  </si>
  <si>
    <t>Turks</t>
  </si>
  <si>
    <t>Idiz</t>
  </si>
  <si>
    <t>The PNP chief said that the Abu Sayyaf had mounted terror bombings and kidnappings to gain the attention of the Islamic State and their foreign supporters.</t>
  </si>
  <si>
    <t>PNP</t>
  </si>
  <si>
    <t>the Abu Sayyaf</t>
  </si>
  <si>
    <t>Outside the federal courthouse in downtown Seattle last Friday afternoon, Washington state Attorney General Bob Ferguson suddenly found himself in the national spotlight after federal Judge James L. Robart had just imposed an immediate, nationwide halt to President Trumpâ€™s executive order on immigration and refugees.</t>
  </si>
  <si>
    <t>Bob Ferguson</t>
  </si>
  <si>
    <t>James L. Robart</t>
  </si>
  <si>
    <t>The support of the Turkish diaspora in Germany, a community of about 1. 4 million people, holds an important symbolic significance to ErdoÄŸanâ€™s AK party.</t>
  </si>
  <si>
    <t>Turkish</t>
  </si>
  <si>
    <t>ErdoÄŸan</t>
  </si>
  <si>
    <t>ErdoÄŸanâ€™s AK</t>
  </si>
  <si>
    <t>The White House Correspondentsâ€™ Dinner, bruised by President Donald Trumpâ€™s boycott, will at least have one good this year: from NBC News and MSNBC.</t>
  </si>
  <si>
    <t>NBC News</t>
  </si>
  <si>
    <t xml:space="preserve">Nine Australian men have walked free from a Malaysian court Thursday after being arrested for stripping down to their briefs at the countryâ€™s Grand Prix on Sunday. </t>
  </si>
  <si>
    <t>Australian</t>
  </si>
  <si>
    <t>free</t>
  </si>
  <si>
    <t>being</t>
  </si>
  <si>
    <t>Long before Clinton gave this speech, Mitt Romney attacked Trump for his alleged racism.</t>
  </si>
  <si>
    <t xml:space="preserve">Before the chemical attack, the Trump administration said the US would no longer make regime change in Syria a priority </t>
  </si>
  <si>
    <t>And Brexit itself is pushing into Mayâ€™s party the former Labour voters in the Northeast who supported it.</t>
  </si>
  <si>
    <t>Labour</t>
  </si>
  <si>
    <t>Northeast</t>
  </si>
  <si>
    <t>WEST PALM BEACH, Fla. â€” Carlos Beltran and Brian McCann still have Dellin Betancesâ€™ back in a big way even though they are no longer Yankees.</t>
  </si>
  <si>
    <t>Carlos Beltran</t>
  </si>
  <si>
    <t>WEST PALM BEACH</t>
  </si>
  <si>
    <t>Brian McCann</t>
  </si>
  <si>
    <t>Novelist and cultural commentator Bret Easton Ellis delivered a brutal monologue on his podcast this week about â€œsocial justice warriorsâ€ â€” or, as the author prefers to call them, the â€œauthoritarian language policeâ€ who adhere to a â€œstrict set of little rules and manufactured outrage, demanding apologies from every sandwich or salad you didnâ€™t like. â€</t>
  </si>
  <si>
    <t>Bret Easton Ellis</t>
  </si>
  <si>
    <t>Novelist</t>
  </si>
  <si>
    <t>Bret Easton Elli</t>
  </si>
  <si>
    <t xml:space="preserve"> NBC comedy show â€Saturday Night Liveâ€ mocked Scottie Nell Hughes, a longtime supporter of Republican presidential candidate Donald Trump in a sketch this weekend.</t>
  </si>
  <si>
    <t>Scottie Nell Hughes</t>
  </si>
  <si>
    <t>Scottie Nell Hughe</t>
  </si>
  <si>
    <t>Under former university president Ken Starr, Baylor became synonymous with sexual violence by football players whose crimes were continually downplayed by coaches and administrators.</t>
  </si>
  <si>
    <t>president Ken Starr</t>
  </si>
  <si>
    <t>Ken Starr</t>
  </si>
  <si>
    <t>Baylor</t>
  </si>
  <si>
    <t>Steve Cohen caused Whitney Tilson some pain on his Netflix and OpenTable shorts.</t>
  </si>
  <si>
    <t>Steve Cohen</t>
  </si>
  <si>
    <t>Whitney Tilson</t>
  </si>
  <si>
    <t>The Paris prosecutor, FranÃ§ois Molins, said the attacker, who was 29 years old, was believed to be an Egyptian who arrived in France on Jan. 26 from Dubai, in the United Arab Emirates, on a visa he obtained last November.</t>
  </si>
  <si>
    <t>FranÃ§ois Molins</t>
  </si>
  <si>
    <t>FranÃ§ois Molin</t>
  </si>
  <si>
    <t>The UK Guardian describes the trove of confidential data stolen from Mossack Fonseca, a law firm that specializes in administering offshore accounts, as â€œthe biggest data leak in history.</t>
  </si>
  <si>
    <t>Guardian</t>
  </si>
  <si>
    <t>UK</t>
  </si>
  <si>
    <t>Mossack Fonseca</t>
  </si>
  <si>
    <t>As loss piled on loss, Liu used boxing metaphors, the wisdom of Michael Jordan and the lessons from his own low points as a Tour battler who never broke the top 1,000 to garnish his motivational speeches.</t>
  </si>
  <si>
    <t>Liu</t>
  </si>
  <si>
    <t>Michael Jordan</t>
  </si>
  <si>
    <t>Tour</t>
  </si>
  <si>
    <t>We are competing everywhere, but I have been struck by some of the challenges California faces,â€ Mrs. Clinton said, criticizing Mr. Trump for denying the stateâ€™s drought.</t>
  </si>
  <si>
    <t>Munoz was initially arrested by U. S. Border Patrol agents on charges related to illegally entering the country.</t>
  </si>
  <si>
    <t>Munoz</t>
  </si>
  <si>
    <t>U. S. Border</t>
  </si>
  <si>
    <t>As the complaint notes, the Public Interest Legal Foundation (PILF) is â€œis a educational and legal foundation dedicated to protect the right to vote, preserve the Constitutional framework of American elections, and educate the public on the issue of election integrity.</t>
  </si>
  <si>
    <t>the Public Interest Legal Foundation</t>
  </si>
  <si>
    <t>PILF</t>
  </si>
  <si>
    <t xml:space="preserve"> Dozens of migrants and refugees were wounded on Sunday when Macedonian police fired tear gas and rubber bullets at crowds on the Greek side of the border, aid workers said, an act Athens called â€dangerous and deplorableâ€. </t>
  </si>
  <si>
    <t>Macedonian police</t>
  </si>
  <si>
    <t>Macedonian</t>
  </si>
  <si>
    <t>Greek</t>
  </si>
  <si>
    <t>Breitbart Newsâ€™ request for Capitol Hill press credentials was denied until â€œmore answersâ€ can be provided on whether top White House adviser Steve Bannon has severed ties with the conservative website, according to a report on Monday.</t>
  </si>
  <si>
    <t>Breitbart Newsâ€™</t>
  </si>
  <si>
    <t>Capitol Hill</t>
  </si>
  <si>
    <t>Another LIRR passenger who was at Brooklynâ€™s Atlantic Terminal is suing the railroad and the MTA for $15 million, citing reports that the engineer who nodded off at the controls.</t>
  </si>
  <si>
    <t>LIRR</t>
  </si>
  <si>
    <t>MTA</t>
  </si>
  <si>
    <t>Brooklynâ€™s Atlantic Terminal</t>
  </si>
  <si>
    <t>Speaking in Washington during a news conference with Italian Prime Minister Paolo Gentiloni, U. S. President Donald Trump said the shooting in Paris â€œlooks like another terrorist attackâ€ and sent condolences to France.</t>
  </si>
  <si>
    <t>Paolo Gentiloni</t>
  </si>
  <si>
    <t>Representative Mike Pompeo was once pointedly asked why his committeeâ€™s inquiry into the 2012 attacks on the American diplomatic compound in Benghazi, Libya, had dragged on longer than the Watergate investigation.</t>
  </si>
  <si>
    <t>Representative Mike Pompeo</t>
  </si>
  <si>
    <t>had</t>
  </si>
  <si>
    <t xml:space="preserve"> One side effect of the agitation over an imminent Donald Trump nomination is the emergence of a litmus test for prominent Republicans.</t>
  </si>
  <si>
    <t xml:space="preserve">Clinton, for instance, racked up the endorsements of Vermontâ€™s other senator and its governor </t>
  </si>
  <si>
    <t>senator</t>
  </si>
  <si>
    <t>Vermont</t>
  </si>
  <si>
    <t xml:space="preserve">Madasaniâ€™s father, Jaganmohan Reddy, told the Hindustan Times that in recent months, he had begun to ask his son to return home, fearing that he might not be safe in the countryâ€™s racially charged atmosphere, with ugly incidents and hate groups on the rise. </t>
  </si>
  <si>
    <t>Madasani</t>
  </si>
  <si>
    <t>Madasaniâ€™</t>
  </si>
  <si>
    <t>Jaganmohan Reddy</t>
  </si>
  <si>
    <t>the Hindustan Time</t>
  </si>
  <si>
    <t>After failing to get Les home address from mutual friends, Esteban focused her efforts on finding out where Le was practicing to be a nurse.</t>
  </si>
  <si>
    <t>Les</t>
  </si>
  <si>
    <t>Le</t>
  </si>
  <si>
    <t>Esteban</t>
  </si>
  <si>
    <t>President Tsai of Taiwan sharply criticized Chinaâ€™s leaders on Saturday, saying they had resorted to military and economic threats in order to intimidate the island.</t>
  </si>
  <si>
    <t>President Tsai</t>
  </si>
  <si>
    <t>criticized</t>
  </si>
  <si>
    <t>Saturday</t>
  </si>
  <si>
    <t>Red Krayola, the Texas rock band (founded in 1966, thank you very much) is performing, and one gallery is actually devoted to a dead artist, Forrest Bess, who died in 1977.</t>
  </si>
  <si>
    <t>Red Krayola</t>
  </si>
  <si>
    <t>Forrest Bess</t>
  </si>
  <si>
    <t>Forrest Be</t>
  </si>
  <si>
    <t>Ed Dahle, who retired some years ago after decades of teaching music at the Red Lake Falls High School, said he has taken to telling anyone who asks that he plans to build a wall around his house to keep Trump supporters out.</t>
  </si>
  <si>
    <t>Ed Dahle</t>
  </si>
  <si>
    <t>the Red Lake Falls High School</t>
  </si>
  <si>
    <t>Snowden, who has accepted temporary asylum in Russia, has said that he gave journalists all the documents he took with him when he left his job as an NSA contractor in Hawaii.</t>
  </si>
  <si>
    <t>Snowden</t>
  </si>
  <si>
    <t>Not to be outdone, though, the presidential nominee of the Republican party is a boss who defends the massacre at Tiananmen Square, mocks handicapped reporters, and attacks the parents of fallen American soldiers.</t>
  </si>
  <si>
    <t>the Republican party</t>
  </si>
  <si>
    <t>Mohammed, the architect of the terrorist attacks, was held in CIA â€black siteâ€ prisons outside the United States before he was transferred to detention facilities at Guantanamo Bay in Cuba.</t>
  </si>
  <si>
    <t>Mohammed</t>
  </si>
  <si>
    <t>Some critics worried the abstinence programs would use aid to impose American values on Africans, says John Dietrich, a professor of political science at Bryant University.</t>
  </si>
  <si>
    <t>African</t>
  </si>
  <si>
    <t>Africans</t>
  </si>
  <si>
    <t>Bryant University</t>
  </si>
  <si>
    <t>Minister Khan also said at a press conference on Saturday that police are closing in on one of the masterminds of the recent attacks, sacked army Maj.</t>
  </si>
  <si>
    <t>Minister Khan</t>
  </si>
  <si>
    <t>Maj</t>
  </si>
  <si>
    <t>But we know when we're not wanted, and as non-believers we're not wanted in the evangelical Christian worldview, except as enablers of Jesus' final coming.</t>
  </si>
  <si>
    <t>Christian</t>
  </si>
  <si>
    <t>Jesus</t>
  </si>
  <si>
    <t>Jesu</t>
  </si>
  <si>
    <t>â€ Austin Evers, the groupâ€™s director, told NPR, â€We can get a straight, factual answer in the courts, by asking an unspinnable question:</t>
  </si>
  <si>
    <t>Austin Evers</t>
  </si>
  <si>
    <t>However, as a result of our logo having appeared on the Gawker website, we received tweets that accused us of condoning bullying."According to the statement, it seems that Adobe did not pull the logo in response to Biddle's tweets or in response to anything other than the fact that it was mistakenly there to begin with.</t>
  </si>
  <si>
    <t>Gawker</t>
  </si>
  <si>
    <t>Adobe</t>
  </si>
  <si>
    <t>Biddle</t>
  </si>
  <si>
    <t>the Syrian regimes critics fail to take into account violence by the rebels.Iran is against the killing of unarmed people and citizens by any side, Iranian Foreign Minister Ali Akbar Salehi said at the gathering.</t>
  </si>
  <si>
    <t>Ali Akbar Salehi</t>
  </si>
  <si>
    <t xml:space="preserve"> The head of a congressional committee investigating contacts between Donald Trumpâ€™s campaign and Russia said on Monday the panel had not seen evidence of inappropriate communications, prompting the panelâ€™s top Democrat to insist it was too early to make such a determination.</t>
  </si>
  <si>
    <t xml:space="preserve"> President Barack Obamaâ€™s income fell to just over $436, 000 in 2015, the lowest of his presidency, and he and first lady Michelle Obama paid nearly $81, 500 in taxes, according to tax returns the White House released on Friday.</t>
  </si>
  <si>
    <t>That has not gone well in the past: In a previous debate where Bush badly wanted a breakout, he picked a fight over Rubioâ€™s voting and attendance record in the Senate and provoked a damaging verbal takedown.</t>
  </si>
  <si>
    <t>To take one example, the shooter in the recent Kansas attack apparently thought his two Indian American victims were Iranian.</t>
  </si>
  <si>
    <t>Indian American</t>
  </si>
  <si>
    <t>Kansa</t>
  </si>
  <si>
    <t xml:space="preserve"> It took nearly 24 hours for his family to discover Hamidullahâ€™s broken body on the bottom shelf of a morgue at Kabulâ€™s Wazir Akhbar Khan hospital.</t>
  </si>
  <si>
    <t>Hamidullah</t>
  </si>
  <si>
    <t>Kabul</t>
  </si>
  <si>
    <t>Akhbar Khan</t>
  </si>
  <si>
    <t>One of their claims  which I personally find incredible, although others may not  was that, while sailing round Libya, they had had the sun on their righthand side."This is precisely the detail that enables us to know that the Phoenicians were indeed telling the truth and had crossed the equator.</t>
  </si>
  <si>
    <t>Phoenicians</t>
  </si>
  <si>
    <t>Phoenician</t>
  </si>
  <si>
    <t>Marshall Hatch and Ira Acree, said they were called to a private Dec. 8 meeting in which Emanuel seemed to be trying to assess their level of support.</t>
  </si>
  <si>
    <t>Marshall Hatch</t>
  </si>
  <si>
    <t>Ira Acree</t>
  </si>
  <si>
    <t>Emanuel</t>
  </si>
  <si>
    <t>The Daily News is reporting that: Kidnappers in Afghanistan have abducted two professors, one American and one Australian, according to reports.</t>
  </si>
  <si>
    <t>after he accused her of sleeping with crew member TALK ABOUT BAD TIMING Towie's Georgia and Tommy spotted gawping at engagement rings until theyre interrupted Exclusive 'I've got 1990s boobs' TOWIE star Chloe Sims talks surgery regrets, Botox and being broodyAhead of her date with Jon, Chloe told The Sun: "Im enjoying life.</t>
  </si>
  <si>
    <t>Exclusive</t>
  </si>
  <si>
    <t>Tommy</t>
  </si>
  <si>
    <t>Jon</t>
  </si>
  <si>
    <t>Tamaulipas Attorney General Ismael Quintana Acosta went on various Mexican news shows claiming that the roadblocks were in response to an operation aimed at tracking down gunmen in the area.</t>
  </si>
  <si>
    <t>Ismael Quintana Acosta</t>
  </si>
  <si>
    <t>Ismael Quintana</t>
  </si>
  <si>
    <t xml:space="preserve"> President Donald Trump wants to do something about crime in America.</t>
  </si>
  <si>
    <t>Rather unusually, Republicans in the House of Representatives are through committees before they even have estimates of how much the plan will cost, how many people it will cover, or what it will do to insurance premiums.</t>
  </si>
  <si>
    <t>through</t>
  </si>
  <si>
    <t>the House of Representatives</t>
  </si>
  <si>
    <t>Shahd still lives in the place she was born: that crowded rectangle of land along the Mediterranean called the Gaza Strip.</t>
  </si>
  <si>
    <t>Shahd</t>
  </si>
  <si>
    <t>Mediterranean</t>
  </si>
  <si>
    <t>the Gaza Strip</t>
  </si>
  <si>
    <t>Michael Pineda has made some great strides this season, but Friday night was an example of just how far the big still has to go before the Yankees truly can trust him.</t>
  </si>
  <si>
    <t>Michael Pineda</t>
  </si>
  <si>
    <t>great</t>
  </si>
  <si>
    <t>him</t>
  </si>
  <si>
    <t>The Houston Texans and the Oakland Raiders will play in Mexico in November 2016.While Wembley Stadium was the original home for the games in London, Los Angeles will play New York at Twickenham Stadium.</t>
  </si>
  <si>
    <t>The Houston Texans</t>
  </si>
  <si>
    <t>the Oakland Raiders</t>
  </si>
  <si>
    <t>But even if Ms. Trump is trying to tread carefully, her trust raises questions about how effectively a voluntary arrangement can minimize conflicts, said Norman L. Eisen, the chief White House ethics adviser under President Barack Obama.</t>
  </si>
  <si>
    <t>Norman L. Eisen</t>
  </si>
  <si>
    <t>The question this morning is now whether House Republicans will stick together and continue voting to approve funding for critical parts of the government and force Democrats to decide which is more important, funding Obamacare or keeping the government open.</t>
  </si>
  <si>
    <t>Abu Sayyafâ€™s most recent international attack was the kidnapping of the crew of a South Korean cargo ship earlier this month off the southern coast of the Philippines.</t>
  </si>
  <si>
    <t>Abu Sayyafâ€™s</t>
  </si>
  <si>
    <t>Abu Sayyafâ€™</t>
  </si>
  <si>
    <t>South Korean</t>
  </si>
  <si>
    <t>In Rio de Janeiro, police said they plan to form a cordon on the Copacabana beachfront avenue to separate the crowd from Rousseff supporters.</t>
  </si>
  <si>
    <t>Rio de Janeiro</t>
  </si>
  <si>
    <t>This is Anjali Lama, a Nepali transgender model who recently walked multiple ramps at the LakmÃ© Fashion Week.</t>
  </si>
  <si>
    <t>Anjali Lama</t>
  </si>
  <si>
    <t>Nepali</t>
  </si>
  <si>
    <t>transgender</t>
  </si>
  <si>
    <t>The 69-year-old businessman and philanthropist is a longstanding Republican donor, but came relatively late to supporting Donald Trumps election campaign.</t>
  </si>
  <si>
    <t>Donald Trumps</t>
  </si>
  <si>
    <t>The Federal Communications Commission reportedly received complaints about Colbertâ€™s remarks.</t>
  </si>
  <si>
    <t>The Federal Communications Commission</t>
  </si>
  <si>
    <t>Colbert</t>
  </si>
  <si>
    <t>Colbertâ€™</t>
  </si>
  <si>
    <t>Becker, a highway cop, was the subject of a $150 million civil lawsuit filed by a woman who claims he sexually assaulted her after pulling her over on DWI charges in 2013.</t>
  </si>
  <si>
    <t>Becker</t>
  </si>
  <si>
    <t>DWI</t>
  </si>
  <si>
    <t>what is Breitbart News, who is Bannon, why is he accused of being a white nationalist, and what does it mean that he has been given such a key role in the Trump administration?Where</t>
  </si>
  <si>
    <t>Bannon</t>
  </si>
  <si>
    <t>(Almost 70 percent support former President Obamaâ€™s Clean Power Plan roughly the same number want the United States to stay in the Paris Agreement.)</t>
  </si>
  <si>
    <t>And we should not forget: Without the Gramm-Leach-Bliley reforms, Bank of America would have been legally forbidden to take over Merrill Lynch  very possibly leaving taxpayers on the hook for that one, too.</t>
  </si>
  <si>
    <t>Bank of America</t>
  </si>
  <si>
    <t>Gramm</t>
  </si>
  <si>
    <t>Merrill Lynch</t>
  </si>
  <si>
    <t xml:space="preserve"> An Israeli army murder inquiry into a soldierâ€™s killing of a supine and wounded Palestinian assailant, the first such legal proceedings in six months of street violence, triggered friction on Sunday within Prime Minister Benjamin Netanyahuâ€™s cabinet.</t>
  </si>
  <si>
    <t>Benjamin Netanyahu</t>
  </si>
  <si>
    <t>Intelligence Minister Mahmoud Alavi said on Tuesday that security forces in southwest Iran arrested four suspected Islamic State operatives who were planning attacks.</t>
  </si>
  <si>
    <t>Intelligence Minister Mahmoud Alavi</t>
  </si>
  <si>
    <t>Intelligence</t>
  </si>
  <si>
    <t>In response to a reporter questioning the delay of daily briefings under the Trump administration, Toner said that Tillerson held 14 bilateral meetings at the recent G20 in Germany and will soon travel to Japan, South Korea, and China.</t>
  </si>
  <si>
    <t>Toner</t>
  </si>
  <si>
    <t>The Rockies received unproven starting pitcher Jordan Lyles and utility outfielder Brandon Barnes from Houston and rid themselves of Fowlers $7.25 million salary.</t>
  </si>
  <si>
    <t>Jordan Lyles</t>
  </si>
  <si>
    <t>Jordan Lyle</t>
  </si>
  <si>
    <t>Brandon Barnes</t>
  </si>
  <si>
    <t>Brandon Barne</t>
  </si>
  <si>
    <t>See if you can motivate and challenge them to be better than even they feel they can be.She then spent 17 years working the sideline for TNT's coverage of the NBA.The job also gives Miller more time to spend in her native Riverside.</t>
  </si>
  <si>
    <t>TNT</t>
  </si>
  <si>
    <t>NBA.The</t>
  </si>
  <si>
    <t>Miller</t>
  </si>
  <si>
    <t>Riverside</t>
  </si>
  <si>
    <t>NPE ratio stood at 51.8 percent at the end of March, while borrowing from the Greek central banks emergency liquidity facility (ELA) was reduced by 2.2 billion euros to 4.8 billion at the end of the first quarter and to 3.0 billion in May. ($1 = 0.8572 euros)</t>
  </si>
  <si>
    <t>ELA</t>
  </si>
  <si>
    <t>In their reporting and social media coverage, Britainâ€™s Daily Telegraph has strongly implied Islamist Khalid Masood went on a killing spree in central London because heâ€™d once been a victim of racism in the past.</t>
  </si>
  <si>
    <t>Daily Telegraph</t>
  </si>
  <si>
    <t>Khalid Masood</t>
  </si>
  <si>
    <t>Islamist Khalid Masood</t>
  </si>
  <si>
    <t>Dave DeBusschere began that day as he did most of his Sundays: 9:15 Mass at St. Josephâ€™s Church, maybe half a mile from his home in Garden City, on the Island.</t>
  </si>
  <si>
    <t>Dave DeBusschere</t>
  </si>
  <si>
    <t>St. Josephâ€™s Church</t>
  </si>
  <si>
    <t>Garden City</t>
  </si>
  <si>
    <t>Island</t>
  </si>
  <si>
    <t>Yet judging by Uighur accounts of police brutality, the relationship is cyclical; While police, as Wu says, often ignore minor Uighur offences for fear of extra hassle from their superiors, they resent having to do so.</t>
  </si>
  <si>
    <t>Uighur</t>
  </si>
  <si>
    <t>Wu</t>
  </si>
  <si>
    <t>Prime Minister Shinzo Abe's cabinet, however, has been forthright in forging economic ties with U.S. counterparts and Aso proposed next month's U.S. dialogue with Pence, a free trade advocate with limited experience in financial diplomacy.</t>
  </si>
  <si>
    <t>Aso</t>
  </si>
  <si>
    <t>The Walmarts where the EBT Card recipients tried a poor-mans QE-Infinity wont charge a woman who ran up $700 on an EBT Card that had $0.49 left.</t>
  </si>
  <si>
    <t>Walmarts</t>
  </si>
  <si>
    <t>Walmart</t>
  </si>
  <si>
    <t>s QE-Infinity</t>
  </si>
  <si>
    <t>Update 11:28 a. m.:Gorsuch declined to discuss the Emoluments Clause of the U. S. Constitution, which President Donald Trump has been accused of violating.</t>
  </si>
  <si>
    <t>the Emoluments Clause</t>
  </si>
  <si>
    <t>Hayden Panettiere plays Ally Fisher, a recent law school graduate, who gets assigned to be Diazs lawyer.</t>
  </si>
  <si>
    <t>Hayden Panettiere</t>
  </si>
  <si>
    <t>Ally Fisher</t>
  </si>
  <si>
    <t>Diaz</t>
  </si>
  <si>
    <t>Meanwhile, Planned Parenthood â€” and its president, Cecile Richards â€” maintained that anyone who doesnâ€™t support Roe is inherently unqualified to serve on the Court.</t>
  </si>
  <si>
    <t>Planned Parenthood â€”</t>
  </si>
  <si>
    <t>Cecile Richards</t>
  </si>
  <si>
    <t>Itâ€™s quite inappropriate for anyone from the White House to have a contact with the FBI about a pending criminal investigation, that has been an established rule of the road, probably since Watergate,â€ said Michael Bromwich, a former Department of Justice inspector general and director of the Bureau of Ocean Energy Management under Obama.</t>
  </si>
  <si>
    <t>Michael Bromwich</t>
  </si>
  <si>
    <t>about</t>
  </si>
  <si>
    <t>under</t>
  </si>
  <si>
    <t>The Saudis are preparing to welcome President Trump like a conquering king when he steps off Air Force One for his first stop of a marathon tour through the Middle East and Europe.</t>
  </si>
  <si>
    <t>Saudis</t>
  </si>
  <si>
    <t>You know Americaâ€™s turning cold again when Ice Cube freezes over.</t>
  </si>
  <si>
    <t>You</t>
  </si>
  <si>
    <t>Ice Cube</t>
  </si>
  <si>
    <t>Many are still trying to cross mountains, dense bush and rice fields to reach Bangladesh.The U.N. and INGOs have not been very welcome in Rakhine and...they are not able to operate and ensure the safety and security of their staff and volunteers, said Joy Singhal of the International Federation of Red Cross and Red Crescent Societies</t>
  </si>
  <si>
    <t>U.N.</t>
  </si>
  <si>
    <t>Bangladesh.The U.N.</t>
  </si>
  <si>
    <t>INGOs</t>
  </si>
  <si>
    <t>the International Federation of Red Cro</t>
  </si>
  <si>
    <t xml:space="preserve"> Sacramento County is threatening to fine Caltrans millions in taxpayer dollars for drilling hundreds of wells over a period of decades in violation of laws aimed at protecting groundwater, records show.</t>
  </si>
  <si>
    <t>Sacramento County</t>
  </si>
  <si>
    <t>Caltrans</t>
  </si>
  <si>
    <t>Caltran</t>
  </si>
  <si>
    <t xml:space="preserve">With just one weekend to go before Hillary Clinton is expected to accept her partyâ€™s nomination for president, WikiLeaks on Friday released almost 20, 000 emails sent and received by Democratic National Committee staff members from January 2015 to May 2016 </t>
  </si>
  <si>
    <t>Democratic National Committee</t>
  </si>
  <si>
    <t>Republicans have repeatedly complained about opacity and a lack of responsiveness to requests, and have pushed legislation that would have the GAO â€auditâ€ the central bankâ€™s policy decisions a move that Yellen has strongly opposed.</t>
  </si>
  <si>
    <t>Yellen</t>
  </si>
  <si>
    <t>GAO</t>
  </si>
  <si>
    <t xml:space="preserve">A week before a British election that was meant to be a foregone conclusion, Theresa May finds herself where no Conservative prime minister ever wants to be </t>
  </si>
  <si>
    <t>C.J. Uzomah of the Cincinnati Bengals, left offensive tackle Greg Robinson of the Los Angeles Rams, left offensive tackle King Dunlap of the San Diego Chargers and nose tackle Angelo Blackson of the Tennessee Titans.</t>
  </si>
  <si>
    <t>C.J. Uzomah</t>
  </si>
  <si>
    <t>the Cincinnati Bengal</t>
  </si>
  <si>
    <t>Greg Robinson</t>
  </si>
  <si>
    <t>the Tennessee</t>
  </si>
  <si>
    <t>The Trump supporters then hit the senator with chants of â€Tedâ€™â€™s truthâ€ and â€Lyinâ€™â€™</t>
  </si>
  <si>
    <t>Ted</t>
  </si>
  <si>
    <t>Lyin</t>
  </si>
  <si>
    <t>Sarah Hopkins, of Newton, Kan. was accused in federal court of knowingly transferring a firearm to a convicted felon, according to Fox4KC.</t>
  </si>
  <si>
    <t>Sarah Hopkins</t>
  </si>
  <si>
    <t>Newton</t>
  </si>
  <si>
    <t>Fox4KC</t>
  </si>
  <si>
    <t>Freelance journalist Amer Abu Aram, Wattan TV cameraman Mohammed Awad and Al-Quds TV producer Majdouline Hassoune were all interrogated in December for Facebook postings.</t>
  </si>
  <si>
    <t>Amer Abu Aram</t>
  </si>
  <si>
    <t>Wattan TV</t>
  </si>
  <si>
    <t>Mohammed Awad</t>
  </si>
  <si>
    <t>Clintonâ€™s pursuit of political causes, including her human rights speech in Beijing when she was first lady, helped position her for her own House political career in many ways a logical extension of Eleanor Rooseveltâ€™s legacy.</t>
  </si>
  <si>
    <t>Eleanor Rooseveltâ€™s</t>
  </si>
  <si>
    <t>Eleanor Rooseveltâ€™</t>
  </si>
  <si>
    <t>Britains membership of the EU means Spain has to respect free movement of capital, goods and labour towards the overseas territory.</t>
  </si>
  <si>
    <t>Britains</t>
  </si>
  <si>
    <t>In New York, Vongerichten recently opened abcV, an organic, restaurant that serves dishes like â€œstems and sproutsâ€ with sunflower seeds, and traffics in ayurvedic tonics, which have captivated millennials hunting for the next thing after juice.</t>
  </si>
  <si>
    <t>Vongerichten</t>
  </si>
  <si>
    <t>abcV</t>
  </si>
  <si>
    <t>Donald Trump insisted on Thursday that he was â€œworking hardâ€ even during the Thanksgiving holiday, as the latest speculation around the â€™s cabinet focused on billionaire distressed debt investor Wilbur Ross.</t>
  </si>
  <si>
    <t>The View,â€ former and executive producer of the upcoming VH1 series â€œDaytime Divasâ€ Star Jones said of reports that President Donald Trumpâ€™s son Barron Trump was upset when he saw the controversial photo of comedian Kathy Griffin holding up a bloody mask of his father, â€œ</t>
  </si>
  <si>
    <t>Star Jones</t>
  </si>
  <si>
    <t>wa</t>
  </si>
  <si>
    <t>aw</t>
  </si>
  <si>
    <t>But since then business surveys have recovered less than expected and BoE Governor Mark Carney has suggested the central bank could wait before raising rates, causing a sharp shift in financial markets away from bets on a rate hike this Thursday.</t>
  </si>
  <si>
    <t>BoE Governor Mark Carney</t>
  </si>
  <si>
    <t>BoE</t>
  </si>
  <si>
    <t>Mark Carney</t>
  </si>
  <si>
    <t>Paramount Pictures canceled a weekend premiere for Tom Cruise's new movie "Jack Reacher" and New York's Lincoln Center Film Society postponed a Monday screening and talk with Cruise out of respect for the Newtown families.</t>
  </si>
  <si>
    <t>Tom Cruise's</t>
  </si>
  <si>
    <t>Paramount Picture</t>
  </si>
  <si>
    <t>Cruise</t>
  </si>
  <si>
    <t>Jack Reacher</t>
  </si>
  <si>
    <t>Our Revolution, a PAC formed by backers of Sen. Bernie Sanders ( .) called on its supporters to demand Democrats force every hour of debate on every Cabinet nominee to slow up Trumpâ€™s â€œreign of terror.</t>
  </si>
  <si>
    <t>Grauerâ€™s gorilla, the largest great ape in the world, is now listed as critically endangered on the International Union for Conservation of Natureâ€™s â€red listâ€ of threatened species.</t>
  </si>
  <si>
    <t>Grauer</t>
  </si>
  <si>
    <t>Grauerâ€™</t>
  </si>
  <si>
    <t>the International Union for Conservation of Nature</t>
  </si>
  <si>
    <t>the International Union for Conservation of Natureâ€™</t>
  </si>
  <si>
    <t>In Comeyâ€™s words, â€œThere is evidence to support a conclusion that any reasonable person in Secretary Clintonâ€™s position, or in the position of those government employees with whom she was corresponding about these matters, should have known that an unclassified system was no place for that conversation.</t>
  </si>
  <si>
    <t>Comeyâ€™</t>
  </si>
  <si>
    <t>Fireworks instead were more prevalent between Republicans and Democrats on the committee, who lobbed accusations against each other of politicizing the Supreme Court nomination process.</t>
  </si>
  <si>
    <t>Firework</t>
  </si>
  <si>
    <t>On Saturday, the Brotherhood sought to blame members of Mubarak's former party, the National Democratic party, for stoking opposition to Morsi.</t>
  </si>
  <si>
    <t>Mubarak</t>
  </si>
  <si>
    <t>Morsi</t>
  </si>
  <si>
    <t>National Democratic party</t>
  </si>
  <si>
    <t>Ric Brodeur, a research biologist at the NOAAâ€™s Northwest Fisheries Science Center in Newport, Ore. said that beachcombers in Oregon have been walking the beaches there for decades, but he has started getting reports of pyrosomes washing up on the beaches only in the past few months.</t>
  </si>
  <si>
    <t>Ric Brodeur</t>
  </si>
  <si>
    <t>NOAA</t>
  </si>
  <si>
    <t>Oregon</t>
  </si>
  <si>
    <t>show that agriculture was the strongest contributing industry, in terms of volume, to economic growth over the past 12 months.Australian agriculture is at the heart of some of the biggest issues facing the world, including climate change and the struggle to meet the global food shortage, Federal Minister Tony Burke told Reuters.</t>
  </si>
  <si>
    <t>months.Australian</t>
  </si>
  <si>
    <t>Minister Tony Burke</t>
  </si>
  <si>
    <t>Brown also wrote that Syed is not a flight risk because of his strong ties to the community, and because he enjoys so much support from the public after Serial, which attracted millions of listeners and inspired an army of armchair investigators to help hunt down evidence to bolster his defense.</t>
  </si>
  <si>
    <t>Syed</t>
  </si>
  <si>
    <t>Serial</t>
  </si>
  <si>
    <t>Conservative movement professionals in Washington, D. C. are plotting to form a â€œblacklistâ€ of Donald Trump supporters that they can kick out of the movement, never to return.</t>
  </si>
  <si>
    <t>Washington, D. C.</t>
  </si>
  <si>
    <t>Ravi, now 20, was not charged with causing Clementis death.</t>
  </si>
  <si>
    <t>Ravi</t>
  </si>
  <si>
    <t>Clementis</t>
  </si>
  <si>
    <t>Clementi</t>
  </si>
  <si>
    <t>The Vaticanâ€™s Secretary of State Cardinal Pietro Parolin said Monday that the Holy See is concerned over growing populist and nationalist movements, both in Europe and in the United States.</t>
  </si>
  <si>
    <t>Pietro Parolin</t>
  </si>
  <si>
    <t>the Holy See</t>
  </si>
  <si>
    <t xml:space="preserve"> For the first time, Donald Trump has said he supports finishing construction of the controversial Dakota Access Pipeline, which is currently being held up by both the Obama administration and (more significantly) massive protests near an Indian reservation in North Dakota. </t>
  </si>
  <si>
    <t>Indian</t>
  </si>
  <si>
    <t>Donald Trump started his day with a series of Tweets mocking Marco Rubio, but the billionaire curiously repeated the same typo three times when describing the Florida senator.</t>
  </si>
  <si>
    <t>Tweet</t>
  </si>
  <si>
    <t>Clinton, unable to win over Progressives (both MoveOn.org and Democracy for America have endorsed Sanders), has attempted to reel in moderates by casting herself as the more pragmatic choice, and has painted Sanders with the broad brush of unrealistic idealism.</t>
  </si>
  <si>
    <t>Democracy for America</t>
  </si>
  <si>
    <t>Congress McConnell: Senate will vote on the Green New DealRepublican lawmakers challenged Democrats to back up their support for the "Green New Deal" on Tuesday, with Senate Majority Leader Mitch McConnell saying he plans to bring the ambitious resolution to the Senate floor and conservatives in the House pressing for a vote in their chamber.</t>
  </si>
  <si>
    <t>Mitch McConnell</t>
  </si>
  <si>
    <t>The CRU scientists have been cleared of wrongdoing by three independent inquiries, by the Commons Science and Technology committee and two for the University of East Anglia, led by Sir Muir Russell and another by Lord Oxburgh and the Royal Society.</t>
  </si>
  <si>
    <t>Muir Russell</t>
  </si>
  <si>
    <t>CRU</t>
  </si>
  <si>
    <t>Oxburgh</t>
  </si>
  <si>
    <t>In her inaugural address, Samba-Panza urged both the Muslim fighters behind the coup and the Christian militiamen who rose up in opposition to support peace."I strongly call on the fighters to show patriotism in putting down their weapons," she said.</t>
  </si>
  <si>
    <t>Samba-Panza</t>
  </si>
  <si>
    <t>The treatments could cause infections, create tumors or trigger dangerous reactions by a patientâ€™s immune system, says Daley and other stem cell researchers.</t>
  </si>
  <si>
    <t>Daley</t>
  </si>
  <si>
    <t>President Trump has selected George T. Conway III, the husband of his counselor Kellyanne Conway, to head the civil division of the Justice Department, people familiar with the decision said on Saturday, placing him in charge of a crucial office charged with defending Mr. Trumpâ€™s contentious travel ban and lawsuits alleging that his business activities violate the Constitution.</t>
  </si>
  <si>
    <t>husband</t>
  </si>
  <si>
    <t>George T. Conway III</t>
  </si>
  <si>
    <t>division</t>
  </si>
  <si>
    <t>Shocked villagers have described the â€˜nastyâ€™ destruction of a war memorial in Tilbury Juxta Clare featuring Jesus on the cross as an attack on Christianity.</t>
  </si>
  <si>
    <t>Christianity</t>
  </si>
  <si>
    <t>Ellison Yahner, mother of Felix, says she has not tried any medication to increase her sonâ€™s cognition because neither her pediatrician nor the major national Down syndrome organizations have supported or endorsed these steps.</t>
  </si>
  <si>
    <t>Ellison Yahner</t>
  </si>
  <si>
    <t>Felix</t>
  </si>
  <si>
    <t>Down</t>
  </si>
  <si>
    <t>A Brooklyn federal court judge Thursday filed against the city and NYPD by the distraught daughters of the late maraschino â€œ</t>
  </si>
  <si>
    <t>NYPD</t>
  </si>
  <si>
    <t>maraschino</t>
  </si>
  <si>
    <t>Liberal Finance critic Scott Brison commended the Whitby-Oshawa MP and his wifes commitment to public service, federally and provincially, adding that his replacement will have to deal with some hot political issues.</t>
  </si>
  <si>
    <t>Liberal</t>
  </si>
  <si>
    <t>Liberal Finance</t>
  </si>
  <si>
    <t>Scott Brison</t>
  </si>
  <si>
    <t>Of Forrest Gump, veteran US film critic Roger Ebert wrote: 'Tom Hanks may be the only actor who could have played the role.</t>
  </si>
  <si>
    <t>Forrest Gump</t>
  </si>
  <si>
    <t>Roger Ebert</t>
  </si>
  <si>
    <t>Tom Hank</t>
  </si>
  <si>
    <t>The Harvard Republicans also accuse Trump of â€œCalling for the USâ€™ withdrawal from NATO and actively endorsing nuclear proliferation,â€ although Trump has not actually made those proposals.</t>
  </si>
  <si>
    <t>A critical Chi report into the west of London breast screening service finds "avoidable" errors and system failures led to 11 breast cancer sufferers being told they had no symptoms - including one woman who died after her diagnosis was delayed by 15 months.</t>
  </si>
  <si>
    <t>Chi</t>
  </si>
  <si>
    <t>The national online poll from April showed that 42 percent of Republicans support Trump, compared with 32 percent for Cruz and 20 percent for Kasich.</t>
  </si>
  <si>
    <t>It would enrich Berkshire Hathaway and impoverish MBIA and Ambac."Still, the broad stock market welcomed the offer, which allayed fears that the bond insurers' difficulties would force investors to sell billions of dollars of tax-exempt municipal bonds.</t>
  </si>
  <si>
    <t>Berkshire Hathaway</t>
  </si>
  <si>
    <t>impoverish</t>
  </si>
  <si>
    <t>MBIA</t>
  </si>
  <si>
    <t>Ambac."Still</t>
  </si>
  <si>
    <t>Messages sent by the doomed EgyptAir flight that plunged into the Mediterranean Sea suggest a fire had broken out on board just minutes before the crash .</t>
  </si>
  <si>
    <t>the Mediterranean Sea</t>
  </si>
  <si>
    <t>Larry Darnell Gordon, 44, fatally shot bailiffs identified as Joseph Zangaro, a retired Michigan state police lieutenant, and Ron Kienzle, a retired Benton Township police sergeant, the Detroit Free Press newspaper reported.</t>
  </si>
  <si>
    <t>Larry Darnell Gordon</t>
  </si>
  <si>
    <t>Joseph Zangaro</t>
  </si>
  <si>
    <t>Michigan</t>
  </si>
  <si>
    <t>Pippen, who helped Jacksonâ€™s Bulls capture six titles in the 1990s, had put the onus on Jackson for the teamâ€™s struggles while commending Anthony for handling everything the â€œright way.</t>
  </si>
  <si>
    <t>Pippen</t>
  </si>
  <si>
    <t>Jacksonâ€™s Bull</t>
  </si>
  <si>
    <t>While many cheered the Treasury Departmentâ€™s decision to put famed abolitionist Harriet Tubman on the front of the $20 bill, Democratic presidential frontrunner Hillary Clinton said on Friday that she wants to go further.</t>
  </si>
  <si>
    <t>Harriet Tubman</t>
  </si>
  <si>
    <t>the Treasury Departmentâ€™</t>
  </si>
  <si>
    <t>A clear majority of voters prefer the FBI back prosecution of Hillary Clinton, according to a July 5 poll conducted by Rasmussen Reports.</t>
  </si>
  <si>
    <t>Rasmussen Report</t>
  </si>
  <si>
    <t>The comparison of drug users and dealers to Holocaust victims is inappropriate and deeply offensive,â€ said Todd Gutnick, the groupâ€™s director of communications.</t>
  </si>
  <si>
    <t>Todd Gutnick</t>
  </si>
  <si>
    <t>Holocaust</t>
  </si>
  <si>
    <t xml:space="preserve"> U. S. seeds and agrochemicals company Monsanto Co, which is in the process of being bought by Germanyâ€™s Bayer AG for $66 billion, reported a quarterly profit on Wednesday, helped by strong demand for its soybean and corn seeds.</t>
  </si>
  <si>
    <t>Monsanto Co</t>
  </si>
  <si>
    <t>Bayer AG</t>
  </si>
  <si>
    <t>And while thereâ€™s little drama expected, there could still be defections once the voice vote is held on the House floor, particularly from hardline Trump supporters.</t>
  </si>
  <si>
    <t>do trust him, Trump told ABC News of Kim in the hours after the Singapore summit, adding that the North Korean leader will be de-nuking the whole place.</t>
  </si>
  <si>
    <t>ABC New</t>
  </si>
  <si>
    <t>Kim</t>
  </si>
  <si>
    <t>Prime Minister Justin Trudeau of Canada, who has championed the arts and welcomed refugees while in office, said on Saturday that he would visit Broadway to see a new musical that highlights Canadian generosity toward stranded airline passengers after the Sept. 11 terrorist attacks.</t>
  </si>
  <si>
    <t>Minister Justin Trudeau</t>
  </si>
  <si>
    <t>Canada</t>
  </si>
  <si>
    <t>At least 2 Americans dead in Taliban attack in KabulThe dead included the head of the International Monetary Fund in Afghanistan and three United Nations staff.</t>
  </si>
  <si>
    <t>KabulThe</t>
  </si>
  <si>
    <t>Taliban</t>
  </si>
  <si>
    <t>the International Monetary Fund</t>
  </si>
  <si>
    <t>Milo Yiannopoulos, an editor at Breitbart, has caused another free speech crisis on campus.</t>
  </si>
  <si>
    <t>at</t>
  </si>
  <si>
    <t>Breitbart</t>
  </si>
  <si>
    <t>caused</t>
  </si>
  <si>
    <t>OGE can also notify the president if those agencies fail to impose disciplinary procedures of their own, an option that implies the threat of direct White House intervention for inaction.</t>
  </si>
  <si>
    <t>OGE</t>
  </si>
  <si>
    <t>The American Civil Liberties Union (ACLU) is attacking a public Christmas display, this time targeting a small, Louisiana townâ€™s nativity scene.</t>
  </si>
  <si>
    <t>The American Civil Liberties Union</t>
  </si>
  <si>
    <t>ACLU</t>
  </si>
  <si>
    <t>Nearly fifty people were arrested in an online prostitution sting operation conducted in Waco, Texas, during the month of January.</t>
  </si>
  <si>
    <t>Waco</t>
  </si>
  <si>
    <t>In the earliest literature of the Jewish Rabbis, Jesus was denounced as the illegitimate child of Mary and a sorcerer.</t>
  </si>
  <si>
    <t>Mary</t>
  </si>
  <si>
    <t>Somethingâ€™s not right here,â€™â€ˆâ€ said John Little, a Sanders supporters and rules committee member from Indiana.</t>
  </si>
  <si>
    <t>John Little</t>
  </si>
  <si>
    <t>Somethingâ€™</t>
  </si>
  <si>
    <t>If they started waterboarding, I swear to you thereâ€™s a whole bunch of us that would have them in court in a New York minute,â€ said McCain.</t>
  </si>
  <si>
    <t xml:space="preserve"> The city of Baltimore will enact a series of police reforms including changes in how officers use force and transport prisoners under an agreement with the U. S. Justice Department filed in federal court on Thursday.</t>
  </si>
  <si>
    <t>the U. S. Justice Department</t>
  </si>
  <si>
    <t xml:space="preserve">Noah Galloway, who came in third place on â€Dancing with the Stars,â€ used his Instagram account Monday to pay tribute to fallen comrades. </t>
  </si>
  <si>
    <t>Noah Galloway</t>
  </si>
  <si>
    <t>Instagram</t>
  </si>
  <si>
    <t>Trumpâ€™s comments on Wednesday revived a controversy that appeared to be quickly fading under the weight of the news that Hillary Clintonâ€™s private emails included classified information, and that she will not face charges.</t>
  </si>
  <si>
    <t>A White House spokeswoman told the Hill newspaper that the proverb was originally supplied in an email on March 8 by the State Department via the National Security Council â€œas building blocks in advance of this event.</t>
  </si>
  <si>
    <t>Hill</t>
  </si>
  <si>
    <t>the National Security Council</t>
  </si>
  <si>
    <t>On Friday, I asked Melba Pearson, the groups deputy director, how she felt about the NRAs support.</t>
  </si>
  <si>
    <t>Melba Pearson</t>
  </si>
  <si>
    <t>NRAs</t>
  </si>
  <si>
    <t>NRA</t>
  </si>
  <si>
    <t>That Johnson died in the attack and apparently acted alone could also hurt the police groupâ€™s efforts to get the Justice Department to investigate the shootings as a civil rights violation or hate crime.</t>
  </si>
  <si>
    <t>Johnson</t>
  </si>
  <si>
    <t>the Justice Department</t>
  </si>
  <si>
    <t>and though heâ€™s worried Ryanâ€™s new bill will hurt poor Americans, he still trusts the Speaker of the House.</t>
  </si>
  <si>
    <t>A suicide car bomb killed 12 Shiite militiamen and Iraqi soldiers Monday in a town north of Baghdad, authorities said, sparking a battle between security forces and fighters with the extremist Islamic State group.</t>
  </si>
  <si>
    <t>Baghdad</t>
  </si>
  <si>
    <t>The Cleveland Cavaliers came into the third game of the NBA Finals in a dispiriting but familiar position after two Golden State blowouts.</t>
  </si>
  <si>
    <t>The Cleveland Cavaliers</t>
  </si>
  <si>
    <t>The Cleveland Cavalier</t>
  </si>
  <si>
    <t>Golden State</t>
  </si>
  <si>
    <t>LONDON (Reuters) - Ron Dennis, the chairman of McLarens Formula One team and separate sports carmaker, will step down from his role at the brand and sell his shares, ending a 37-year relationship which soured in recent months alongside race-track failings.</t>
  </si>
  <si>
    <t>Ron Dennis</t>
  </si>
  <si>
    <t>McLarens Formula One</t>
  </si>
  <si>
    <t>It started with Anne Rice writing a rave review of Soraya, and then sending us her book Christ the Lord: Out of Egypt, which is a story of Jesus at age seven,â€ Nowrasteh told Bannon.</t>
  </si>
  <si>
    <t>Anne Rice</t>
  </si>
  <si>
    <t>Soraya</t>
  </si>
  <si>
    <t>Clinton, the Democratic presidential nominee, said in her apology that she was â€œgrossly generalisticâ€ in criticizing Trump supporters, using that same phrase Friday night when attacking them at a New York fundraiser.</t>
  </si>
  <si>
    <t>The Los Angeles police are looking for a homeless woman who was verbally abused and harassed on Thursday for protecting Donald Trumpâ€™s star on the Hollywood Walk of fame.</t>
  </si>
  <si>
    <t xml:space="preserve">On Friday at 7 p. m. ET, Donald Trump will pay a visit to Grand Rapids, MIâ€™s Deltaplex Arena as part of his USA Thank You Tour 2016. </t>
  </si>
  <si>
    <t>Grand Rapids</t>
  </si>
  <si>
    <t>Grand Rapid</t>
  </si>
  <si>
    <t>House Intelligence Committee Chair Devin Nunes ( ) said on Sunday that he is not aware of any foreign intelligence surveillance court (FISA) warrant for surveillance of Trump Tower.</t>
  </si>
  <si>
    <t>House Intelligence Committee</t>
  </si>
  <si>
    <t>FISA</t>
  </si>
  <si>
    <t>Trump Tower</t>
  </si>
  <si>
    <t>LONDON (Reuters) - George Soros, the billionaire who earned fame by betting against the British pound in 1992, contributed 400,000 pounds ($554,840) through his foundations to a campaign group which is seeking to halt Brexit, the group</t>
  </si>
  <si>
    <t>George Soros</t>
  </si>
  <si>
    <t>LONDON</t>
  </si>
  <si>
    <t>In a splashy White House event on February 25, President Obama once again touted his precision, or personalized, medicine initiative, which is intended to advance medicineâ€™s new mantra, â€œ</t>
  </si>
  <si>
    <t>The past few days may mark the moment at which the interests of Fox News and its charismatic chairman, Roger Ailes, diverge from those of its parent company, 21st Century Fox, and the Murdoch family that controls it.</t>
  </si>
  <si>
    <t>Murdoch</t>
  </si>
  <si>
    <t>Senate Republicans returning to the Capitol this evening from recess donâ€™t sound like</t>
  </si>
  <si>
    <t>Although some U. S. officials have strongly hinted they suspect Russia, which has a presence at Shayrat, may have known something about the planned attack, none have conclusively linked Moscow to the incident itself.</t>
  </si>
  <si>
    <t>II.The Supreme Court, which opted to rule only on the curfew violation, decided unanimously to uphold the curfew conviction, with Chief Justice Harlan Fiske Stone going as far to say that some infringement on individual liberty was permissible in times of war.</t>
  </si>
  <si>
    <t>Harlan Fiske Stone</t>
  </si>
  <si>
    <t>II.The Supreme Court</t>
  </si>
  <si>
    <t>We're trying."But it doesn't seem so in Iguala, where Felix Pita's 17-year-old son, Lenin Vladimir, disappeared with Garcia more than four years ago, and where 43 more desperate families are now demanding to know what happened to their missing."We're going to keep protesting until there are positive results," said Pita.</t>
  </si>
  <si>
    <t>Felix Pita's</t>
  </si>
  <si>
    <t>Iguala</t>
  </si>
  <si>
    <t>Lenin Vladimir</t>
  </si>
  <si>
    <t>Garcia</t>
  </si>
  <si>
    <t xml:space="preserve">When the Yankees try again to slam the brakes on their disastrous 2016 season Tuesday night against the Orioles at Camden Yards, their general manager will be on site </t>
  </si>
  <si>
    <t>Orioles</t>
  </si>
  <si>
    <t>Oriole</t>
  </si>
  <si>
    <t>Those discussions are constructive but are not easy  not for us, or the banks, Herman Marks, the chief financial officer at Vroon, told Reuters.It is the lack of profitability for the industry that is causing the lack of availability of finance.Marks said Vroon was confident of reaching agreements with its financiers soon.</t>
  </si>
  <si>
    <t>Herman Marks</t>
  </si>
  <si>
    <t>Vroon</t>
  </si>
  <si>
    <t>Marks</t>
  </si>
  <si>
    <t>Reuters.It</t>
  </si>
  <si>
    <t>The inauguration of President Donald Trump was a divisive event, as the protests in Northwest D. C. showed.</t>
  </si>
  <si>
    <t>Northwest D. C.</t>
  </si>
  <si>
    <t>Trump delivered his message to a gathering in Houston of Remembrance Project families, dedicated to helping themselves and others after killings at the hands of illegal immigrants.</t>
  </si>
  <si>
    <t>Remembrance Project</t>
  </si>
  <si>
    <t>A spokesman for Senate Majority Leader Mitch McConnell said recently that Democrats could â€œend their filibusterâ€ on the funding package â€œand simply give unanimous consent to pass the conference report and send it straight to the president this week.</t>
  </si>
  <si>
    <t xml:space="preserve"> In the whole history of American television, only one primetime scripted series has crested 600 episodes: the venerable Western Gunsmoke, which produced 635 episodes between 1955 and 1975.</t>
  </si>
  <si>
    <t>Western Gunsmoke</t>
  </si>
  <si>
    <t>Here's some of what they are saying:A Donald Trump-endorsed candidate just might lose in Alabama todayA test for McConnell in Alabama's Republican Senate primaryImagine the Alabama Senate Race.</t>
  </si>
  <si>
    <t>the Alabama Senate Race</t>
  </si>
  <si>
    <t>Getty Images 3 Theresa May is set for a grilling by MPs on the Government's Brexit strategyThe apparent rebuke sparked concerns ministers are "confused" and cannot agree policy on leaving the European Union, and Mrs May is expected to face questions on the issue after delivering a Commons statement on the G20 summit in China.</t>
  </si>
  <si>
    <t>Government</t>
  </si>
  <si>
    <t xml:space="preserve"> The U. S. Supreme Court on Monday struck down a Texas abortion law imposing strict regulations on doctors and facilities in the strongest endorsement of abortion rights in America in more than two decades.</t>
  </si>
  <si>
    <t>The U. S. Supreme Court</t>
  </si>
  <si>
    <t>All that said, Trumpâ€™s appeal stems in part from the fact that the bipartisan War security consensus for which Clinton speaks has had failures, including the September 11, 2001, attacks and the Iraq war.</t>
  </si>
  <si>
    <t>The fans in the Matthew Harding Stand spent the second half bellowing Antonio Conteâ€™s name, making it perfectly clear that they have a new hero at Stamford Bridge, and Chelsea were so dominant they could even afford to give one of their reserve a brief cameo towards the end of this ruthless evisceration of Everton.</t>
  </si>
  <si>
    <t>Antonio Conteâ€™s</t>
  </si>
  <si>
    <t>Antonio Conteâ€™</t>
  </si>
  <si>
    <t>Chelsea</t>
  </si>
  <si>
    <t>In-N-Out remains a mystery to me, and the wonders of Chick-fil-A have only recently entered my life, thanks to its aggressive national expansion.</t>
  </si>
  <si>
    <t>In-N-Out</t>
  </si>
  <si>
    <t>N-Out</t>
  </si>
  <si>
    <t>Chick-fil-A</t>
  </si>
  <si>
    <t>Chick-fil-</t>
  </si>
  <si>
    <t>In Hannityâ€™s telling, Trumpâ€™s rise is an understandable response by conservative voters to the weakness of Republican elites.</t>
  </si>
  <si>
    <t>Hannity</t>
  </si>
  <si>
    <t>Hannityâ€™</t>
  </si>
  <si>
    <t>Notably, one grounded a Southwest Airlines flight in the US, which prompted all airlines in the country to ban the phone from any flight, going so far as to say they would confiscate the phone from passengers.</t>
  </si>
  <si>
    <t>Southwest Airlines</t>
  </si>
  <si>
    <t>2016 Presidential contender Ted Cruz is accusing Donald Trump of playing a part in accusations of infidelity launched against the Texas senator in the National Enquirer.</t>
  </si>
  <si>
    <t>the National Enquirer</t>
  </si>
  <si>
    <t>On Friday, Sandersâ€™ spokesman said the senator â€accepts Clintonâ€™s challenge.</t>
  </si>
  <si>
    <t>According to records on file with the Oklahoma Ethics Commission, Hern contributed $3,500 to Pruitt between 2010 and 2014, and has given a total of $33,625 to Oklahoma candidates since 2006.Hern attended Pruitts Senate confirmation hearing in January 2017 and posted about it on his Facebook page.</t>
  </si>
  <si>
    <t>Hern</t>
  </si>
  <si>
    <t>Oklahoma</t>
  </si>
  <si>
    <t>Pruitt</t>
  </si>
  <si>
    <t>Pruitts Senate</t>
  </si>
  <si>
    <t xml:space="preserve"> During the transition period from November through January, Donald Trump developed perhaps the most publicly antagonistic relationship with U. S. intelligence agencies of any incoming president in decades.</t>
  </si>
  <si>
    <t>Tuesday during Fox News Channelâ€™s special election coverage, Megyn Kelly and Democratic National Committee chairwoman Rep. Debbie Wasserman Schultz ( ) went back and forth over alleged vulgarity from the current GOP presidential field versus the Democratic Party</t>
  </si>
  <si>
    <t>Megyn Kelly</t>
  </si>
  <si>
    <t>Debbie Wasserman Schultz</t>
  </si>
  <si>
    <t>According to the Huffington Post, while on the line with Erdogan, Trump relayed praise for the leader from Mehmet Ali Yalcindag, whose Aydin Dogan, owns the holding company that operates the Trump Towers in Istanbul.</t>
  </si>
  <si>
    <t>Erdogan</t>
  </si>
  <si>
    <t>Aydin Dogan</t>
  </si>
  <si>
    <t>New Jersey Governor Chris Christie is staying but isnâ€™t answering questions about his presidential endorsement of Donald Trump.</t>
  </si>
  <si>
    <t>Chris Christie</t>
  </si>
  <si>
    <t>On a more affordable level, the AKA brand announced apartment sales at three of its New York hotels in the last year, one of which is in the Midtown East neighborhood Sutton Place, where prices now start at $1. 2 million.</t>
  </si>
  <si>
    <t>AKA</t>
  </si>
  <si>
    <t>Sutton Place</t>
  </si>
  <si>
    <t>But his exceptional courage in Iraq and his Muslim fatherâ€™s histrionics on TV do not erase the security threat posed by killer warriors of Allah infiltrating our troops.</t>
  </si>
  <si>
    <t>TV</t>
  </si>
  <si>
    <t>erase</t>
  </si>
  <si>
    <t xml:space="preserve">Health care, A member of the audience, Kati McFarland, said she was diagnosed with a incurable genetic disorder called syndrome and could die if the protections of the Affordable Care Act, also known as Obamacare, were repealed and replaced with the American Health Care Act, the bill Trump endorsed and the House passed earlier this month. </t>
  </si>
  <si>
    <t>Kati McFarland</t>
  </si>
  <si>
    <t>the American Health Care Act</t>
  </si>
  <si>
    <t xml:space="preserve">Tuesday on MSNBCâ€™s â€œMorning Joe,â€ host Joe Scarborough sounded off on the saga behind Mike Flynn resignation from White House late Monday. </t>
  </si>
  <si>
    <t>Joe Scarborough</t>
  </si>
  <si>
    <t>Mike Flynn</t>
  </si>
  <si>
    <t>Dr. Griffith was beaten in the Republican primary in 2010 by Morris J. Brooks Jr. who has emerged as one of the most members of Congress.</t>
  </si>
  <si>
    <t>Griffith</t>
  </si>
  <si>
    <t>Morris J. Brooks Jr.</t>
  </si>
  <si>
    <t xml:space="preserve"> Leading in to the Michigan primary, Hillary Clinton rolled out a novel attack against Vermont Sen. Bernie Sanders.</t>
  </si>
  <si>
    <t>(Reuters) - Nike Inc (NKE.N) reported better-than-expected quarterly results, as demand for its apparel and footwear rose in North America and Western Europe after the company spent heavily on marketing ahead of the 2014 soccer World Cup.</t>
  </si>
  <si>
    <t>Nike Inc</t>
  </si>
  <si>
    <t xml:space="preserve">During an interview with DNC Chairman Tom Perez on Thursdayâ€™s edition of MSNBCâ€™s â€œMTP Daily,â€ host Chuck Todd asked Perez why he didnâ€™t take the Montana special election for the US House â€œseriouslyâ€ sooner, and told Perez â€œyou didnâ€™t put your money where your mouth is. â€ </t>
  </si>
  <si>
    <t>Tom Perez</t>
  </si>
  <si>
    <t>Chuck Todd</t>
  </si>
  <si>
    <t>Montana</t>
  </si>
  <si>
    <t xml:space="preserve"> Charlie Munger, the billionaire vice chairman of Warren Buffettâ€™s Berkshire Hathaway Inc ( ) said some of U. S. President Donald Trumpâ€™s ideas may prove constructive for the country, tempering comments a year ago suggesting that his fellow Republican was not morally qualified for the White House.</t>
  </si>
  <si>
    <t>Charlie Munger</t>
  </si>
  <si>
    <t>Berkshire Hathaway Inc</t>
  </si>
  <si>
    <t>Warren Buffettâ€™s</t>
  </si>
  <si>
    <t>After eight years of railing against the Affordable Care Act, dozens of symbolic repeal votes, and weeks of struggling to put together a viable alternative despite controlling every lever of government, Republican House leaders said late Wednesday afternoon that they have finally secured the votes needed to pass their own health care overhaul.</t>
  </si>
  <si>
    <t>Republican House</t>
  </si>
  <si>
    <t>Dr. Sebastian Gorka, deputy adviser to the president and former Breitbart News National Security editor, joined SiriusXM host Raheem Kassam on Fridayâ€™s Breitbart News Daily to discuss the American missile attack on Syria.</t>
  </si>
  <si>
    <t>Sebastian Gorka</t>
  </si>
  <si>
    <t>Breitbart News National Security</t>
  </si>
  <si>
    <t xml:space="preserve">On the campaign trail this week, McCain has talked at length with voters about Iraq and defended his staunch support of Bush's 21,500-troop buildup there while criticizing the way the war has been handled."We are paying a very heavy price for the mismanagement </t>
  </si>
  <si>
    <t>Luanda Sub-County administrator Wilberforce Agesa said the fire started at 2pm and lasted more than three hours.</t>
  </si>
  <si>
    <t>Luanda</t>
  </si>
  <si>
    <t>Luanda Sub-County</t>
  </si>
  <si>
    <t>Wilberforce Agesa</t>
  </si>
  <si>
    <t xml:space="preserve"> Three days after declaring martial law in the rebellious southern Philippines, President Rodrigo Duterte ordered his troops to crush the militants, and gave a speech to inspire them:</t>
  </si>
  <si>
    <t>President Rodrigo Duterte</t>
  </si>
  <si>
    <t>President Barack Obama is finishing his term with a lengthy essay on criminal justice reform in the Harvard Law Review, arguing that Americans should recognize systemic racism in the system.</t>
  </si>
  <si>
    <t xml:space="preserve">â€™ â€™ Joe Scarborough, host of MSNBCâ€™â€™s â€Morning Joe,â€ lashed out on Twitter on Sunday night into Monday after an incoming New York Times reporter posted that television personality â€partiedâ€ with Donald Trump at his pomp </t>
  </si>
  <si>
    <t>host</t>
  </si>
  <si>
    <t>hi</t>
  </si>
  <si>
    <t>â€™s Schmidt both settled down into serious relationships in their sitcom runs, The Big Bang Theoryâ€™s Howard is happily married, and even Archer has become a father trying to take more responsibility for his child.</t>
  </si>
  <si>
    <t>Schmidt</t>
  </si>
  <si>
    <t>â€™s Schmidt</t>
  </si>
  <si>
    <t>Howard</t>
  </si>
  <si>
    <t>The Big Bang Theoryâ€™</t>
  </si>
  <si>
    <t>The pair, Morgan Geyser and Anissa Weier, were in jail on Tuesday facing attempted murder charges, while Payton turned .</t>
  </si>
  <si>
    <t>Morgan Geyser</t>
  </si>
  <si>
    <t>Anissa Weier</t>
  </si>
  <si>
    <t>Payton</t>
  </si>
  <si>
    <t>Fellow historians like James Bradley have raved and best-selling author Pat Conroy declared it's "one of the most incredible accounts of American military valor I've ever read."YOU FASCINATE ME</t>
  </si>
  <si>
    <t>James Bradley</t>
  </si>
  <si>
    <t>Pat Conroy</t>
  </si>
  <si>
    <t>The disgraced former national security adviser for President Trump had reportedly discussed a plan with Turkish officials to possibly snatch an opposition leader from his home in the Poconos.</t>
  </si>
  <si>
    <t>As the top prosecutor for Oklahoma, a major oil and gas producing state, Pruitt has sued the EPA repeatedly, and is part of a coordinated effort by several states to block Obamaâ€™s Clean Power Plan to limit carbon dioxide emissions.</t>
  </si>
  <si>
    <t>Obamaâ€™s Clean Power Plan</t>
  </si>
  <si>
    <t xml:space="preserve"> A confidential document from tech billionaire Peter Thielâ€™s venture capital firm raises doubts about the valuation of Palantir Technologies, the highly touted Silicon Valley data analysis company of which Thiel is and chairman.</t>
  </si>
  <si>
    <t>Peter Thiel</t>
  </si>
  <si>
    <t>Peter Thielâ€™</t>
  </si>
  <si>
    <t>Thiel</t>
  </si>
  <si>
    <t>Silicon Valley</t>
  </si>
  <si>
    <t xml:space="preserve"> Boeing Co has signed several defense and commercial deals with Saudi Arabia including for the sale of military and passenger aircraft, the company said on Sunday during a visit by U. S. President Donald Trump to the kingdom.</t>
  </si>
  <si>
    <t>Boeing Co</t>
  </si>
  <si>
    <t>The Sportswriter,â€ â€œIndependence Dayâ€) offers high praise for Bruce Springsteenâ€™s memoir, which comes out next Tuesday.</t>
  </si>
  <si>
    <t>Bruce Springsteenâ€™s</t>
  </si>
  <si>
    <t>Sportswriter</t>
  </si>
  <si>
    <t>Bruce Springsteenâ€™</t>
  </si>
  <si>
    <t xml:space="preserve">Netanyahu immediately shot back that Kerryâ€™s speech was â€œbiased against Israelâ€ and â€obsessively focusedâ€ on settlements, and â€œbarely touched upon the root of the conflict </t>
  </si>
  <si>
    <t>Kerry</t>
  </si>
  <si>
    <t>President Barack Obama praises Colin Kaepernickâ€™s decision not to stand for the the national anthem at football games, saying that the 49ers quarterback is protesting â€œreal legitimate issues.</t>
  </si>
  <si>
    <t>Colin Kaepernickâ€™s</t>
  </si>
  <si>
    <t>Colin Kaepernickâ€™</t>
  </si>
  <si>
    <t xml:space="preserve">But Ahmed Colak, a stock investor, had cheered Erdoganâ€™s thunderous attacks on the Europeans during the referendum campaign, saying â€œit had stirred nationalism in me. â€ </t>
  </si>
  <si>
    <t>Ahmed Colak</t>
  </si>
  <si>
    <t>Erdoganâ€™</t>
  </si>
  <si>
    <t>The Mets had waited patiently over the past six weeks for their best player to get healthy, and Saturday they received a strong indication that Yoenis Cespedes is not only back, but perhaps ready to start carrying this team again.</t>
  </si>
  <si>
    <t>Yoenis Cespedes</t>
  </si>
  <si>
    <t>Yoenis Cespede</t>
  </si>
  <si>
    <t>Craft breweries have Galentineâ€™s Day parties featuring crafts, beers, and â€” in a sweet to the originator of the holiday â€” waffles.</t>
  </si>
  <si>
    <t>Craft</t>
  </si>
  <si>
    <t>Galentineâ€™s Day</t>
  </si>
  <si>
    <t>Last night at a press event, actors Evan Rachel Wood and Thandie Newton, who both play artificially intelligent â€œhostsâ€ who are repeatedly assaulted, also stepped in to defend the show, arguing that Westworld is both responsible and sensitive in its depiction of rape.</t>
  </si>
  <si>
    <t>Evan Rachel Wood</t>
  </si>
  <si>
    <t>Thandie Newton</t>
  </si>
  <si>
    <t>Westworld</t>
  </si>
  <si>
    <t>The venture capitalist Marc Andreessen, who backed Mr. Romney in 2012, said on Twitter that he was supporting Mrs. Clinton.</t>
  </si>
  <si>
    <t>Marc Andreessen</t>
  </si>
  <si>
    <t>Romney</t>
  </si>
  <si>
    <t>Stallone reportedly returned to the stage after the broadcast cut to commercial and thanked both Jordan and Coogler.</t>
  </si>
  <si>
    <t>Stallone</t>
  </si>
  <si>
    <t>Jordan</t>
  </si>
  <si>
    <t>Coogler</t>
  </si>
  <si>
    <t>From Michael Goodwin writing at the New York Post: As the Brexit results poured in, I caught myself humming a tune from Broadwayâ€™s â€œHamilton.</t>
  </si>
  <si>
    <t>Michael Goodwin</t>
  </si>
  <si>
    <t>the New York Post</t>
  </si>
  <si>
    <t>Hamilton</t>
  </si>
  <si>
    <t xml:space="preserve"> The Trump administration on Friday took aim at North Korea and the countries that still provide support to the mostly isolated nuclear state with a series of sanctions cutting 11 individuals and one company off from the US financial system.</t>
  </si>
  <si>
    <t>North Korea</t>
  </si>
  <si>
    <t>The new PAC, dubbed American Possibilities, is being set up to help elect candidates who, like Biden, still believe in a nation â€œof ordinary people doing extraordinary things,â€ according to an email the Democrat plans to send to supporters.</t>
  </si>
  <si>
    <t>Biden</t>
  </si>
  <si>
    <t>American Possibilitie</t>
  </si>
  <si>
    <t>Trump often says he wants to â€make America great again,â€ and whites are a core of his support, but that doesnâ€™t mean they donâ€™t question the faith of a man who once said he never asks God for forgiveness.</t>
  </si>
  <si>
    <t>I think itâ€™s largely due to the age and the fact that he had some cases and admittedly made some mistakes,â€ John Mara, an owner of the Giants, said of the attention Goodell receives.</t>
  </si>
  <si>
    <t>John Mara</t>
  </si>
  <si>
    <t>Goodell</t>
  </si>
  <si>
    <t>Omar Alnatour may very well be a lovely man, albeit delusional, but his reasoning is purely anedoctal even worse, his argument is of the type that enables the Muslims who are operational in jihad to continue their activities without fear of criticism of their motivating ideology:</t>
  </si>
  <si>
    <t>Omar Alnatour</t>
  </si>
  <si>
    <t>In her small concrete house in a hillside slum, de Mesquita has filled Arthurâ€™s crib with toys the therapists recommend.</t>
  </si>
  <si>
    <t>de Mesquita</t>
  </si>
  <si>
    <t>Arthur</t>
  </si>
  <si>
    <t>Arthurâ€™</t>
  </si>
  <si>
    <t>The Hamas source added that the expedited project was made possible thanks to a grant from the Iranian government.</t>
  </si>
  <si>
    <t>Mr. Baldwinâ€™s blustering portrayal of Mr. Trump on â€œSaturday Night Live,â€ starting last fall, impresses Mr. Andersen, who said: â€œIt is extreme, and with a guy like Donald Trump, to be effective it needs to be extreme.</t>
  </si>
  <si>
    <t>Baldwin</t>
  </si>
  <si>
    <t>The vast majority of prominent technology executives, such as Facebook Dustin Moskovitz, Google CEO Eric Schmidt, and Apple CEO Tim Cook, actively endorsed Hillary Clinton in the presidential election.</t>
  </si>
  <si>
    <t>Dustin Moskovitz</t>
  </si>
  <si>
    <t>Tim Cook</t>
  </si>
  <si>
    <t>Eric Schmidt</t>
  </si>
  <si>
    <t xml:space="preserve">During his speech in Youngstown, Ohio, Trump called for working â€very closely with NATO,â€ describing radical Islamic terrorism as the dominant global threat and one that must be confronted at all levels. </t>
  </si>
  <si>
    <t>Sen. Chris Murphy ( .) criticized the dismissal in a news release, saying that Murthy â€œU. S. surgeons general are not supposed to be fired midterm.</t>
  </si>
  <si>
    <t>Chris Murphy</t>
  </si>
  <si>
    <t>Murthy</t>
  </si>
  <si>
    <t>Murthy â€œU. S.</t>
  </si>
  <si>
    <t xml:space="preserve"> The Senateâ€™s top Democrat on Tuesday accused President Donald Trumpâ€™s Supreme Court pick of avoiding answering questions â€like the plagueâ€ and dodging efforts to gauge his judicial independence during a meeting that deepened his concerns about the nominee.</t>
  </si>
  <si>
    <t>â€ Jewish groups criticized the White House for omitting any mention of Jews in its statement marking Holocaust Memorial Day last month.</t>
  </si>
  <si>
    <t>Jews</t>
  </si>
  <si>
    <t>Trump has also said he would not necessarily defend the United Stateâ€™s NATO allies if attacked by foreign powers and threatened to pull out of the World Trade Organization.</t>
  </si>
  <si>
    <t>the World Trade Organization</t>
  </si>
  <si>
    <t>Ernst, like many female Republican politicians, has been critical of Trumpâ€™s comments about women, which could either appeal to him or disqualify Ernst entirely.</t>
  </si>
  <si>
    <t>Ernst</t>
  </si>
  <si>
    <t>The U. N. has accused Assadâ€™s government of obstructing aid access to the contested city.</t>
  </si>
  <si>
    <t>The U. N.</t>
  </si>
  <si>
    <t>Assadâ€™</t>
  </si>
  <si>
    <t xml:space="preserve">â€ Trump has earned the support of other prominent white nationalist leaders, including members of the Ku Klux Klan, for his promises to temporarily ban Muslims from entering the United States and to deport undocumented immigrants. </t>
  </si>
  <si>
    <t>Many, including FPOe leader Strache have questioned the result and the many irregularities surrounding the postal vote which tipped the election in Alexander Van der Bellenâ€™s favour.</t>
  </si>
  <si>
    <t>Strache</t>
  </si>
  <si>
    <t>Alexander Van der Bellenâ€™s</t>
  </si>
  <si>
    <t>Bellen</t>
  </si>
  <si>
    <t>Angelo Carusone, the president of media watchdog Media Matters who also ran the @StopOReilly Twitter account, said Fox News had been forced to act.</t>
  </si>
  <si>
    <t>Angelo Carusone</t>
  </si>
  <si>
    <t>â€ Nancy Perkins, 64, a retired nurse, says she has unfriended every Trump supporter on Facebook:</t>
  </si>
  <si>
    <t>Nancy Perkins</t>
  </si>
  <si>
    <t>Nancy Perkin</t>
  </si>
  <si>
    <t>Trump supporters, like their man, blasted Comeyâ€™s announcement Sunday.</t>
  </si>
  <si>
    <t>German media pundits and users have accused the Cologne police of covering up both the extent of the New Yearâ€™s Eve assaults and their links to asylum seekers and refugees.</t>
  </si>
  <si>
    <t>Cologne</t>
  </si>
  <si>
    <t xml:space="preserve">French President Emmanuel Macron on Monday leveled a remarkable criticism of two Russian media outlets </t>
  </si>
  <si>
    <t>French President Emmanuel Macron</t>
  </si>
  <si>
    <t>Mikheil Saakashvili, a former president of Georgia, quit his post in Ukraineâ€™s government and accused the Ukrainian president of blocking efforts to fight corruption.</t>
  </si>
  <si>
    <t>Mikheil Saakashvili</t>
  </si>
  <si>
    <t>Ukrainian</t>
  </si>
  <si>
    <t>The candidate: Hillary Clinton, The gaffe: Speaking at a fundraiser on September 9, Clinton said, â€œYou know, to just be grossly generalistic, you could put half of Trumpâ€™s supporters into what I call the â€˜basket of deplorables.</t>
  </si>
  <si>
    <t xml:space="preserve">Democratic Rep. Adam Smith, the ranking member on the House Armed Services Committee, said Friday he didnâ€™t trust Russia on a deal such as this. </t>
  </si>
  <si>
    <t>the House Armed Services Committee</t>
  </si>
  <si>
    <t>Adam Smith</t>
  </si>
  <si>
    <t>A group of four Republican senators on Thursday afternoon issued a statement warning that they are not ready to support the legislation to repeal Obamacare unveiled by Senate GOP leadership earlier in the day.</t>
  </si>
  <si>
    <t>Senate GOP</t>
  </si>
  <si>
    <t>Mr. Barnett, who supported former Gov. Mike Huckabeeâ€™s failed campaign, said his focus had shifted to winning in November, even if that meant unhappily falling in behind Mr. Trump.</t>
  </si>
  <si>
    <t>Barnett</t>
  </si>
  <si>
    <t>Mike Huckabee</t>
  </si>
  <si>
    <t>New England Patriots quarterback Tom Brady on Wednesday criticized the National Football League for suspending him for four games in the â€Deflategateâ€ scandal and said he did nothing wrong in breaking a cell phone containing more than 10, 000 text messages key evidence in the investigation.</t>
  </si>
  <si>
    <t>New England Patriots</t>
  </si>
  <si>
    <t>New England Patriot</t>
  </si>
  <si>
    <t>the National Football League</t>
  </si>
  <si>
    <t>Zervosâ€™s accusations came as a number of other women have stepped forward in recent days to accuse Trump of groping them or kissing them inappropriately.</t>
  </si>
  <si>
    <t>Zervos</t>
  </si>
  <si>
    <t>Zervosâ€™</t>
  </si>
  <si>
    <t>Republican Peter King from New York, for example, blamed the NRA for the lack of action on the bill.</t>
  </si>
  <si>
    <t>Republican Peter King</t>
  </si>
  <si>
    <t>elite Revolutionary Guards (IRGC) accused Rouhani of failing to tackle unemployment estimated at percent.</t>
  </si>
  <si>
    <t>Revolutionary Guards</t>
  </si>
  <si>
    <t>Rouhani</t>
  </si>
  <si>
    <t>â€ Trump vigorously attacked Hillary Clintonâ€™s plans to significantly increase the number of refugees admitted to the country, which the most recent national poll shows is opposed by more than a two to one margin, 59 percent to 28 percent.</t>
  </si>
  <si>
    <t>Bloomberg Newsâ€™ former top editor, Al Hunt, says GOP candidate Jeb Bush has been â€œsavagedâ€ by Donald Trump.</t>
  </si>
  <si>
    <t>Al Hunt</t>
  </si>
  <si>
    <t>Jeb Bush</t>
  </si>
  <si>
    <t xml:space="preserve">Baton Rouge police said in a statement that police were called to the convenience store because Sterling had allegedly threatened another patron with a gun. </t>
  </si>
  <si>
    <t>Baton Rouge police</t>
  </si>
  <si>
    <t>Baton Rouge</t>
  </si>
  <si>
    <t>Sterling</t>
  </si>
  <si>
    <t xml:space="preserve"> Republican presidential nominee Donald Trump, who has previously accused the Federal Reserve of keeping interest rates low to help President Barack Obama, said on Monday that the U. S. central bank has created a â€false economyâ€ and that interest rates should change.</t>
  </si>
  <si>
    <t>the Federal Reserve</t>
  </si>
  <si>
    <t>Under Fire: Walter Schaub, the director of the Office of Government Ethics, has publicly criticized Trumpâ€™s plan to put his sons in charge of his businesses.</t>
  </si>
  <si>
    <t>Walter Schaub</t>
  </si>
  <si>
    <t>the Office of Government Ethic</t>
  </si>
  <si>
    <t>The Russian president, Vladimir Putin, has warned that the Olympic movement could â€œwind up on the edge of schismâ€ after a damning report found that the countryâ€™s government, security services and sporting authorities colluded to hide widespread doping across â€œa vast majorityâ€ of winter and summer sports.</t>
  </si>
  <si>
    <t>Olympic</t>
  </si>
  <si>
    <t>In January, Morrisseyâ€™s office won a fight to sue McKesson Corp. the nationâ€™s largest wholesale drug distributor, in state court, contending the company failed to develop an adequate system to identify suspicious drug orders.</t>
  </si>
  <si>
    <t>Morrissey</t>
  </si>
  <si>
    <t>Morrisseyâ€™</t>
  </si>
  <si>
    <t>McKesson Corp.</t>
  </si>
  <si>
    <t>Richard Murphy, an accountant and tax campaigner, told BuzzFeed News he also had questions over the Â£4. 1 million in corporation tax Facebook UK did register.</t>
  </si>
  <si>
    <t>Richard Murphy</t>
  </si>
  <si>
    <t>BuzzFeed News</t>
  </si>
  <si>
    <t>Facebook UK</t>
  </si>
  <si>
    <t>Senior Republicans are quietly rooting for Trump to lose.</t>
  </si>
  <si>
    <t xml:space="preserve">But before most of the victims had even been identified, Iranian leaders issued statements blaming the Saudis for the accident. </t>
  </si>
  <si>
    <t>Republicans quickly took the opportunity to renew criticism of Clintonâ€™s use of a private email server.</t>
  </si>
  <si>
    <t>Macedonia, to the immediate north, is accepting only Iraqis and Syrians, witnesses say, with Afghans being turned back.</t>
  </si>
  <si>
    <t>Iraqis</t>
  </si>
  <si>
    <t>Macedonia</t>
  </si>
  <si>
    <t>Syrians</t>
  </si>
  <si>
    <t>Republican defense hawks on Capitol Hill are fuming, and donâ€™t understand why Trump, or any administration official, is not fighting for his original $30 billion request, according to a source.</t>
  </si>
  <si>
    <t>Adding to the uncertainty surrounding executive orders coming out of the Oval Office, the White House pulled back on Friday evening on a draft order that had been widely leaked calling for a 40% cut in US voluntary contributions to the UN and other international organisations and possible withdrawal from treaties.</t>
  </si>
  <si>
    <t>the Oval Office</t>
  </si>
  <si>
    <t>UN</t>
  </si>
  <si>
    <t xml:space="preserve">The Republicans will see if they, unlike the Obama administration, can turn an industry accountable to shareholders into a willing partner. </t>
  </si>
  <si>
    <t xml:space="preserve">In perhaps the most commonly cited recent paper on the matter, a group of economists led by MITâ€™s David Autor found that between 1990 and 2007, Chinese import competition accounted for the loss of 1 million manufacturing jobs </t>
  </si>
  <si>
    <t>David Autor</t>
  </si>
  <si>
    <t>MIT</t>
  </si>
  <si>
    <t>The United States immediately condemned the launch, and the United Nations Security Council called an emergency meeting for later Sunday to discuss North Koreaâ€™s latest provocation.</t>
  </si>
  <si>
    <t>The United States</t>
  </si>
  <si>
    <t>The United State</t>
  </si>
  <si>
    <t>the United Nations Security Council Council</t>
  </si>
  <si>
    <t>North Koreaâ€™</t>
  </si>
  <si>
    <t>Former President Bill Clinton slammed a Black Lives Matter protest against Hillary Clintonâ€™s candidacy, and said the group defends gang leaders who get kids â€œhopped up on crack.</t>
  </si>
  <si>
    <t>PEGIDA protests in the past have fielded upwards of 30, 000 marchers to protest the Islamisation of Europe, and have been characterised by the broad cross section of society who have joined their ranks, Also in the pipeline for Cologne is a demonstration by the emerging Identitarian movement.</t>
  </si>
  <si>
    <t>PEGIDA</t>
  </si>
  <si>
    <t>Identitarian</t>
  </si>
  <si>
    <t>the Islamisation of Europe</t>
  </si>
  <si>
    <t>Though Pence now supports the health lawâ€™s repeal, the Healthy Indiana Plan that he established in 2015 as the stateâ€™s governor has brought Medicaid coverage to more than 350, 000 people.</t>
  </si>
  <si>
    <t>At a Donald Trump rally, itâ€™s clear whoâ€™s to blame: the politicians, the judges, the Left, the illegal immigrants.</t>
  </si>
  <si>
    <t>Anne Frank Center for Mutual Respect Executive Director Steven Goldstein, a frequent critic of Trump, released a statement accusing Spicer of having â€œengaged in Holocaust denialâ€ and called for his firing.</t>
  </si>
  <si>
    <t>Steven Goldstein</t>
  </si>
  <si>
    <t>Anne Frank Center</t>
  </si>
  <si>
    <t>The implicit message of Trumpâ€™s convention is that itâ€™s not just Obama who has failed America Republican leaders have, too.</t>
  </si>
  <si>
    <t>Donald Trump has been saying for more than a year that heâ€™d get rid of Obamacare, replace it with something better and no one would lose their care.</t>
  </si>
  <si>
    <t>Ukrainian politicians were quick to blame Russia for Tuesdayâ€™s attack, but a Kremlin spokesman dismissed â€unfounded blanket accusationsâ€.</t>
  </si>
  <si>
    <t>Kremlin</t>
  </si>
  <si>
    <t>The Truthseekerâ€) advanced a conspiracy theory that the BBC had staged a chemical attack to malign Assad.</t>
  </si>
  <si>
    <t>BBC</t>
  </si>
  <si>
    <t>Truthseeker</t>
  </si>
  <si>
    <t>Former UKIP MEP Janice Atkinson has today slammed the deployment of Britainâ€™s border cutters to Europe, and accused the government of failing to defend Britainâ€™s own borders.</t>
  </si>
  <si>
    <t>UKIP</t>
  </si>
  <si>
    <t>Janice Atkinson</t>
  </si>
  <si>
    <t>However, Turkish officials said they recognised Prakashâ€™s Australian accent and formally charged him with terrorism the following day.</t>
  </si>
  <si>
    <t>Prakash</t>
  </si>
  <si>
    <t>Prakashâ€™s Australian</t>
  </si>
  <si>
    <t>Slate magazine has run a column suggesting that Juanita Broaddrickâ€™s accusation of rape against Bill Clinton are â€œcredible,â€ but Broaddrick goes too far in claiming that Hillary Clinton tried to keep her quiet about the alleged sexual assault.</t>
  </si>
  <si>
    <t>Juanita Broaddrickâ€™s</t>
  </si>
  <si>
    <t>Juanita Broaddrickâ€™</t>
  </si>
  <si>
    <t xml:space="preserve">The Nobel laureate economist and New York Times columnist took to Twitter to express his belief that the Trump administration is no longer â€legitimateâ€ and to criticize any Republican defending </t>
  </si>
  <si>
    <t>New York Time</t>
  </si>
  <si>
    <t>Though there has been no mention of it at this convention, Donald Trump has made hay with Bill Clintonâ€™s â€œscandalsâ€ including unsupported charges that he and his wife, â€œCrooked Hillaryâ€ have threatened his female accusers.</t>
  </si>
  <si>
    <t>The meeting in the kitchen of the Lincoln Center firehouse took place on Dec. 9, 2015, about two months after probationary firefighter Gordon Springs filed federal and city complaints about his alleged sexual hazing there.</t>
  </si>
  <si>
    <t>Lincoln Center</t>
  </si>
  <si>
    <t>Gordon Springs</t>
  </si>
  <si>
    <t>Gordon Spring</t>
  </si>
  <si>
    <t>Mr. Trump has appeared to inflict much of that damage upon himself, including by engaging in a feud with the parents of a fallen United States soldier who criticized him at the Democratic National Convention, confounding many of his supporters.</t>
  </si>
  <si>
    <t>United States</t>
  </si>
  <si>
    <t>the Democratic National Convention</t>
  </si>
  <si>
    <t>Similarly, Naz has already received a subtle reminder that most of American society is going to be prejudiced against him, simply because of his national heritage, thanks to those two guys who hurl racial slurs at him as heâ€™s walking the woman to her house.</t>
  </si>
  <si>
    <t>Naz</t>
  </si>
  <si>
    <t>So the Senate GOP attacked it as â€intentionally partisan,â€ and Toomey didnâ€™t support it.</t>
  </si>
  <si>
    <t>the Senate GOP</t>
  </si>
  <si>
    <t>Toomey</t>
  </si>
  <si>
    <t xml:space="preserve">Clinton has been dogged by questions about her use of the private email server since the start of her presidential campaign and her Republican opponent, Donald Trump, has used the issue to argue she is untrustworthy. </t>
  </si>
  <si>
    <t>Michael Curtis, an assistant district attorney, said that Ms. Arjun had â€œthe motive, the means and the exclusive opportunity to commit this awful and brutal crime.</t>
  </si>
  <si>
    <t>Michael Curtis</t>
  </si>
  <si>
    <t>Michael Curti</t>
  </si>
  <si>
    <t>Arjun</t>
  </si>
  <si>
    <t>REUTERS/Ilya NaymushinMOSCOW/ST PETERSBURG, Russia (Reuters) - Akbarzhon Jalilov, the man suspected of blowing up a Russian metro train, represents a new wave of radical Islamists who blend into local society away from existing jihadist movements - making it harder for security forces to stop their attacks.</t>
  </si>
  <si>
    <t>Ilya NaymushinMOSCOW</t>
  </si>
  <si>
    <t>Akbarzhon Jalilov</t>
  </si>
  <si>
    <t>Bridget Anne Kelly, the woman accused of sending an email that triggered a controversial closing of the George Washington Bridge in Fort Lee, is a longtime aide to Gov. Chris Christie. Currently serving as Christie's deputy chief of staff for legislative and intergovernmental affairs, a role she was named to by Christie in April 2013.</t>
  </si>
  <si>
    <t>Bridget Anne Kelly</t>
  </si>
  <si>
    <t>the George Washington Bridge</t>
  </si>
  <si>
    <t xml:space="preserve">Paulson, once the CEO of Goldman Sachs, criticized Trumpâ€™s business record, divisiveness and brand of populist rhetoric. </t>
  </si>
  <si>
    <t>Paulson</t>
  </si>
  <si>
    <t>Goldman Sach</t>
  </si>
  <si>
    <t>US President Barack Obama harshly criticized the entire slate of Republican presidential candidates during on Tuesday afternoon.</t>
  </si>
  <si>
    <t>Claire illuminates Jamie on some of Americas history, leading him to wonder if its possible for them to lay down roots in the country that will become the United States of America.</t>
  </si>
  <si>
    <t>Claire</t>
  </si>
  <si>
    <t>Jamie</t>
  </si>
  <si>
    <t>the United States of America</t>
  </si>
  <si>
    <t>The European Commission, the European Unionâ€™s executive arm, has repeatedly criticized the authorities in the Balkan state for failing to jail officials and overhaul its slow and inefficient judiciary.</t>
  </si>
  <si>
    <t>The European Commission</t>
  </si>
  <si>
    <t>the European Unionâ€™</t>
  </si>
  <si>
    <t>the European Unionâ€™s</t>
  </si>
  <si>
    <t>Balkan</t>
  </si>
  <si>
    <t>The Day Ahead newsletter here)Canadian lender Home Capital Group Inc appointed Yousry Bissada as its chief executive, bringing to an end a search it started in March after it terminated the employment of former CEO Martin Reid.</t>
  </si>
  <si>
    <t>Yousry Bissada</t>
  </si>
  <si>
    <t>Home Capital Group Inc</t>
  </si>
  <si>
    <t>Martin Reid</t>
  </si>
  <si>
    <t xml:space="preserve">The Clinton campaign, meanwhile, has blasted WikiLeaks over the release, while ramping up its accusations that the group is working with the Russian government. </t>
  </si>
  <si>
    <t>WikiLeak</t>
  </si>
  <si>
    <t>the Noah-French ambassador spat, the Ozil resignation, not surprisingly, sparked off a Twitter storm, with the hashtags, #StandWithOzil and #SayNoToRacism, making the rounds.</t>
  </si>
  <si>
    <t>Noah</t>
  </si>
  <si>
    <t>Noah-French</t>
  </si>
  <si>
    <t>Ozil</t>
  </si>
  <si>
    <t>The New York Times has applauded Atlantaâ€™s actions, writing that he should be held to â€œa different standard.</t>
  </si>
  <si>
    <t>The New York Time</t>
  </si>
  <si>
    <t>Former Speaker John Boehner said on Thursday that Republicans are unlikely to pass an Obamacare repeal and replace package.</t>
  </si>
  <si>
    <t>John Boehner</t>
  </si>
  <si>
    <t>COMEBACK STROKE Rio Olympics swimmer Ryan Lochte offered SEX TOY endorsement after being fired from Speedo WAS HE INNOCENT AFTER ALL?</t>
  </si>
  <si>
    <t>Ryan Lochte</t>
  </si>
  <si>
    <t>HE</t>
  </si>
  <si>
    <t>Speedo</t>
  </si>
  <si>
    <t>Britain had first said that responsibility for events during the Mau Mau uprising passed to Kenya upon its independence in 1963, an argument which London courts rejected.</t>
  </si>
  <si>
    <t>Kenya</t>
  </si>
  <si>
    <t>Democrats accuse the White House of seeking to privatize the Depression-era program, while supporters of the accounts argue they are needed to modernize it.</t>
  </si>
  <si>
    <t>The International Association of Machinists and Aerospace Workers union announced Wednesday that its endorsing Jagmeet Singh for the NDP leadership.</t>
  </si>
  <si>
    <t>The International Association of Machinists and Aerospace Workers</t>
  </si>
  <si>
    <t>The International Association of Machinists and Aerospace Worker</t>
  </si>
  <si>
    <t>Jagmeet Singh</t>
  </si>
  <si>
    <t>NDP</t>
  </si>
  <si>
    <t>Renato Reyes said his group could not accept the court decision."Our protests will hound Marcos all the way to his grave," Reyes said.</t>
  </si>
  <si>
    <t>Renato Reyes</t>
  </si>
  <si>
    <t>Renato Reye</t>
  </si>
  <si>
    <t>Marcos</t>
  </si>
  <si>
    <t>Marco</t>
  </si>
  <si>
    <t>A lawyer, Ms. Mills has been a target of Republican critics for her central role in determining which emails from Mrs. Clinton</t>
  </si>
  <si>
    <t>Mills</t>
  </si>
  <si>
    <t>Mill</t>
  </si>
  <si>
    <t>The ECB's governing council will hold a special conference call on Friday - the second in three days - to consider adding more emergency liquidity for Greek banks facing a quickening drain on their cash, two persons close to the situation said.</t>
  </si>
  <si>
    <t>council</t>
  </si>
  <si>
    <t>ECB</t>
  </si>
  <si>
    <t>General Momcilo Perisic is appealing against his conviction for murder, persecution and attacks on civilians in Bosnia and Croatia, including the killing of 8,000 Muslim men and boys in Srebrenica and the 42-month siege of Sarajevo by Bosnian Serb forces.</t>
  </si>
  <si>
    <t>Momcilo Perisic</t>
  </si>
  <si>
    <t>Bosnian Serb</t>
  </si>
  <si>
    <t>The coalition has often appeared split in the debate, with Tories arguing in favour of fracking and against more onshore wind power, while Lib Dems, including the energy secretary, Ed Davey, are supportive of green power and insist shale is unlikely to bring down household bills, now averaging almost 1,300 per year.</t>
  </si>
  <si>
    <t>Lib Dem</t>
  </si>
  <si>
    <t>Ed Davey</t>
  </si>
  <si>
    <t>Among the thrilling new series, Netflix will welcome Narcos:</t>
  </si>
  <si>
    <t>Narco</t>
  </si>
  <si>
    <t>Verizon has made an offer for Straight Path Communications Inc ( ) a source told Reuters, topping an earlier bid from AT&amp;T in a move that started a bidding war for a company holding spectrum used in 5G technology.</t>
  </si>
  <si>
    <t>Verizon</t>
  </si>
  <si>
    <t>Straight Path Communications Inc</t>
  </si>
  <si>
    <t>AT&amp;T</t>
  </si>
  <si>
    <t>SendGrid has also started using Culture Amp to get feedback from employees and set goals to engage them.</t>
  </si>
  <si>
    <t>SendGrid</t>
  </si>
  <si>
    <t>them</t>
  </si>
  <si>
    <t>Culture Amp</t>
  </si>
  <si>
    <t>During Coulter's last appearance on Hardball, however, Matthews repeatedly complimented Coulter -- referring to her as writing "beautifully" and having a "brilliant brain."</t>
  </si>
  <si>
    <t>Coulter</t>
  </si>
  <si>
    <t>Matthews</t>
  </si>
  <si>
    <t>Matthew</t>
  </si>
  <si>
    <t>Sayuri Shirai, who served on the BOJâ€™s board from 2011 to 2016, said the central bankâ€™s YCC policy in its current form is confusing and causes big market distortions.</t>
  </si>
  <si>
    <t>Sayuri Shirai</t>
  </si>
  <si>
    <t>BOJ</t>
  </si>
  <si>
    <t>â€™s YCC</t>
  </si>
  <si>
    <t>Committee chairman Keith Vaz recounted Sir Bernard's assertion shortly after the allegations emerged that the Met boss would "stand by" his officers "100%".</t>
  </si>
  <si>
    <t>Keith Vaz</t>
  </si>
  <si>
    <t>Bernard</t>
  </si>
  <si>
    <t>Abe made a December visit to the shrine which sparked widespread global anger, with main ally the United States saying it was disappointed.</t>
  </si>
  <si>
    <t>Abe</t>
  </si>
  <si>
    <t>Ronald Haskell, who is white, is accused of killing two adults and four children from his â€™s family in spring 2014.</t>
  </si>
  <si>
    <t>Ronald Haskell</t>
  </si>
  <si>
    <t>Sweeney lost his temper while visiting the Church of Scientology's exhibition, 'Psychiatry: Industry of Death', which uses graphic images to attack psychiatry.</t>
  </si>
  <si>
    <t>Sweeney</t>
  </si>
  <si>
    <t>the Church of Scientology's</t>
  </si>
  <si>
    <t>the Church of Scientology</t>
  </si>
  <si>
    <t>Mosuls predominantly Sunni population was angered by Iraqs Shiite-dominated army, accusing it of widespread abuses of their minority sect, allegations rejected by the government.</t>
  </si>
  <si>
    <t>He came from nowhere, a failed senator from Pennsylvania, to take Iowa and 10 other states, in the process grabbing the Republican establishment by the neck and giving it a good shaking.</t>
  </si>
  <si>
    <t>The Dallas Morning News has taken a hit in subscriptions after its early September endorsement of Hillary Clinton.</t>
  </si>
  <si>
    <t>The Dallas Morning News</t>
  </si>
  <si>
    <t>The Dallas Morning New</t>
  </si>
  <si>
    <t>And then there's Tiger Text, the original, which was inspired by Tiger Woods' infidelity.</t>
  </si>
  <si>
    <t>Tiger Woods'</t>
  </si>
  <si>
    <t>Tiger Text</t>
  </si>
  <si>
    <t>Tiger Wood</t>
  </si>
  <si>
    <t>Chinese Foreign Ministry spokesman Hong Lei said he did not know about the project, but he added that China firmly supported Afghan reconstruction, had provided a large amount of assistance and had encouraged Chinese companies to get involved.</t>
  </si>
  <si>
    <t>Hong Lei</t>
  </si>
  <si>
    <t>In a statement reported by NBC's Katy Tur, campaign spokesperson Hope Hicks said the foundation would comply, but suggested that Attorney General Eric Schneiderman's letter to the Trump Foundation may be politically motivated.</t>
  </si>
  <si>
    <t>Katy Tur</t>
  </si>
  <si>
    <t>Hope Hicks</t>
  </si>
  <si>
    <t>Eric Schneiderman</t>
  </si>
  <si>
    <t>Hustai is the only National Park in Mongolia that operates independently of the government, but despite the stability that government support would provide, Dorj is adamant that it stays that way.</t>
  </si>
  <si>
    <t>Mongolia</t>
  </si>
  <si>
    <t>Hustai</t>
  </si>
  <si>
    <t>Dorj</t>
  </si>
  <si>
    <t>; this is the best decision they could make, said Dagens Nyheters literature critic, Maria Schottenius.</t>
  </si>
  <si>
    <t>Dagens Nyheters</t>
  </si>
  <si>
    <t>Dagens Nyheter</t>
  </si>
  <si>
    <t>Maria Schottenius</t>
  </si>
  <si>
    <t>Maria Schotteniu</t>
  </si>
  <si>
    <t>Indias top oil producer Oil and Natural Gas Corp has an investment in a Venezuelan energy project and has so far received only $88 million of a $534 million dividend payment.</t>
  </si>
  <si>
    <t>Oil and Natural Gas Corp</t>
  </si>
  <si>
    <t>Venezuelan</t>
  </si>
  <si>
    <t xml:space="preserve">Scholastic is planning a massive 4. 5 million copy first printing in North America of the latest Potter book, â€œHarry Potter and the Cursed Child Parts I &amp; IIâ€ </t>
  </si>
  <si>
    <t>Scholastic</t>
  </si>
  <si>
    <t>Potter</t>
  </si>
  <si>
    <t>North America</t>
  </si>
  <si>
    <t>President Donald Trump has pledged his full support for the AHCA, an effort led by House Speaker Paul Ryan, while conservative Republicans are calling it "Obamacare lite.</t>
  </si>
  <si>
    <t>AHCA</t>
  </si>
  <si>
    <t>Maduro has repeatedly accused the United States generally, and former Vice President Joe Biden specifically, of organizing a coup against him.</t>
  </si>
  <si>
    <t>Maduro</t>
  </si>
  <si>
    <t>Van Gogh Museum's Director Axel Ruger presents the research results and condition of the restoration of Van Gogh's painting "Sunflowers" in Amsterdam, Netherlands January 24, 2019.</t>
  </si>
  <si>
    <t>Axel Ruger</t>
  </si>
  <si>
    <t>Van Gogh Museum</t>
  </si>
  <si>
    <t>Van Gogh's</t>
  </si>
  <si>
    <t>Qatar Airways Chief Executive Akbar Al Baker said on Monday the carrier plans to expand its fleet, stepping up orders for Boeing Co (BA.N) aircraft and accepting four Airbus (AIR.PA) aircraft that it had canceled in July because of delays due to supplier problems.</t>
  </si>
  <si>
    <t>Qatar Airways</t>
  </si>
  <si>
    <t>Akbar Al Baker</t>
  </si>
  <si>
    <t>Airbu</t>
  </si>
  <si>
    <t>Trump again repeated the debunked claim that Mexico is â€œtaking all of our jobs, most of our jobs,â€ and preened about causing the resignation of a Mexican government official as proof of his toughness.</t>
  </si>
  <si>
    <t xml:space="preserve"> A Syrian refugee in Germany who took a viral selfie with Chancellor Angela Merkel is now taking Facebook to court because he keeps being accused of terrorism in posts on the social network.</t>
  </si>
  <si>
    <t>Angela Merkel</t>
  </si>
  <si>
    <t>Chancellor Angela Merkel</t>
  </si>
  <si>
    <t>The Democratic minority leader of the house, Nancy Pelosi, said the relationship was strong and she would contact Hockey to express support.</t>
  </si>
  <si>
    <t>Hockey</t>
  </si>
  <si>
    <t>In our time, people irresponsibly throw around the word fascist, but Pound was the real deal, an energetic servant of Benito Mussolinis government who might justly have been sentenced to life in prison for treason, a fate he avoided only by being declared insane and incarcerated in a mental hospital, where he eventually grew quite comfortable.</t>
  </si>
  <si>
    <t>Pound</t>
  </si>
  <si>
    <t>Benito Mussolinis</t>
  </si>
  <si>
    <t>Benito Mussolini</t>
  </si>
  <si>
    <t>Mr Scotts shooting sparked controversy after his daughter, Lyric, claimed her father was unarmed, but police insist the victim had a gun.</t>
  </si>
  <si>
    <t>Scotts</t>
  </si>
  <si>
    <t>Mr Scott</t>
  </si>
  <si>
    <t>Lyric</t>
  </si>
  <si>
    <t>Rather, by giving him the most money ever ($3 million) for a reliever, the Yankees, Levine reasoned, were appreciating Betances.</t>
  </si>
  <si>
    <t>Levine</t>
  </si>
  <si>
    <t>Betances</t>
  </si>
  <si>
    <t>Betance</t>
  </si>
  <si>
    <t>Instagram 7 Chloe Ferry sparked rumours that she had got engaged to her boyfriend Sam Gowland when she flashed a ring on her wedding fingerChloe,23, caused quite the stir when she uploaded a selfie that appeared to flash a diamond ring on her left hand.</t>
  </si>
  <si>
    <t>Chloe Ferry</t>
  </si>
  <si>
    <t>Instagram 7 Chloe Ferry</t>
  </si>
  <si>
    <t>Sam Gowland</t>
  </si>
  <si>
    <t>We live in a country that we must support law enforcement, but law enforcement must support justice.In reality, Obama and Holder have overseen a vast intensification of the attack on democratic rights, from domestic spying to assassinating American citizens without due process.</t>
  </si>
  <si>
    <t>Holder</t>
  </si>
  <si>
    <t>That was followed by the German attack on Gdansk and then by Russia's thrust into eastern Poland.</t>
  </si>
  <si>
    <t>Gdansk</t>
  </si>
  <si>
    <t>Poland</t>
  </si>
  <si>
    <t>Walker Stapleton is running as the highly respected Republican Candidate for Governor of the Great State of Colorado.</t>
  </si>
  <si>
    <t>Walker Stapleton</t>
  </si>
  <si>
    <t>Governor</t>
  </si>
  <si>
    <t>Comparatively, The Post estimated that 6 to 12 percent of Sanders supporters voted for Trump in the general.</t>
  </si>
  <si>
    <t>In December the US defense secretary, James Mattis, called Maduro an irresponsible despot who would ultimately have to go.Maduro vowed to resist what he called the neo-fascist madness of his foreign foes and called on the international community to denounce the alleged plot against him.</t>
  </si>
  <si>
    <t>James Mattis</t>
  </si>
  <si>
    <t>He is scared to death.The 250 pages of emails will interest Jacksons family, who are pursuing awrongful-death suit, accusing AEG of pressuring the singer into high-profilecomeback despite indications he was ill.</t>
  </si>
  <si>
    <t>Jacksons</t>
  </si>
  <si>
    <t>AEG</t>
  </si>
  <si>
    <t>Trump earlier in the week had declined to endorse Ryan and McCain, as well as</t>
  </si>
  <si>
    <t>Brits antics 'put rock stars to shame', says Whitehall NINE TO THIGH Amber Davies wows in a red corset as Dolly Parton calls her 'beautiful'Danielle and Jamie were married in May 2012</t>
  </si>
  <si>
    <t>Amber Davies</t>
  </si>
  <si>
    <t>THIGH Amber Davie</t>
  </si>
  <si>
    <t>Dolly Parton</t>
  </si>
  <si>
    <t>The inquirys top counsel, Robert Jay, picked up on Murdochs admission of a cover-up, causing consternation among Murdochs legal team, and forcing Judge Brian Leveson to ask one of the party to sit down.</t>
  </si>
  <si>
    <t>Robert Jay</t>
  </si>
  <si>
    <t>Brian Leveson</t>
  </si>
  <si>
    <t>Pointing out that many popular groups from various Islamic countries had expressed their willingness to fight the occupiers in the troubled areas, Mr Asad said that Israel would face a fierce response should it decide to commit another mistake and attack Syria.</t>
  </si>
  <si>
    <t>Asad</t>
  </si>
  <si>
    <t>â€ U. S. Chamber of Commerce senior vice president Neil Bradley praised the Trump administration for â€tackling the regulatory state head on.</t>
  </si>
  <si>
    <t>Neil Bradley</t>
  </si>
  <si>
    <t>â€ U. S. Chamber of Commerce</t>
  </si>
  <si>
    <t>Washington's main European allies stood by reports blaming Assad.</t>
  </si>
  <si>
    <t>Trumpâ€™s lies are failing him, and it is making him deeply frustrated Eugene Robinson:</t>
  </si>
  <si>
    <t>Eugene Robinson</t>
  </si>
  <si>
    <t>More than 1,500 Bradley Manning supporters have offered to serve part of the WikiLeaks source's potential 132.5-year sentence.</t>
  </si>
  <si>
    <t>Bradley Manning</t>
  </si>
  <si>
    <t>WikiLeaks</t>
  </si>
  <si>
    <t>Russia also voiced abiding support for the Paris accord, regardless of the U. S. withdrawal.</t>
  </si>
  <si>
    <t>A True Batman Story) is joined by his good friend David Mandel (writer/executive producer, Veep, Seinfeld; co-author, Star Wars Art: Ralph McQuarrie) for a lively discussion on the many facets of Paul's career, ranging from comics to Star Wars to Harley Quinn and maybe even to their short time working together on the Clerks animated series.</t>
  </si>
  <si>
    <t>David Mandel</t>
  </si>
  <si>
    <t>Seinfeld</t>
  </si>
  <si>
    <t>Ralph McQuarrie</t>
  </si>
  <si>
    <t>By Ryan Browne, CNN, Christie also hammered Clinton with a series of charges about her failures while serving as secretary of state.</t>
  </si>
  <si>
    <t>Ryan Browne</t>
  </si>
  <si>
    <t>Christie</t>
  </si>
  <si>
    <t>The Angels, who will now remain on the hook for about $90 million to a player who has not been as productive as they hoped, hardly celebrated the news that Hamilton would not be suspended.It defies logic that Joshs reported behavior is not a violation of his drug program, club president John Carpino said through a team spokesman.</t>
  </si>
  <si>
    <t>Joshs</t>
  </si>
  <si>
    <t>John Carpino</t>
  </si>
  <si>
    <t>But unlike Mr. Clinton and President George W. Bush, he arrives without the burden of having to explain what he was doing during the war by the time he turned 18, Saigon, now Ho Chi Minh City, had fallen.</t>
  </si>
  <si>
    <t>Saigon</t>
  </si>
  <si>
    <t>Speculation that Ivanka Trump would take on the post mounted after Haley praised her and her husband, Jared Kushner, in discussing her resignation in the Oval Office on Tuesday morning.</t>
  </si>
  <si>
    <t>Ivanka Trump</t>
  </si>
  <si>
    <t>â€ Sen. Bernie Sanders of Vermont, who ran for the Democratic presidential nomination, accused Trump of reversing course on a pledge to punish companies that outsource manufacturing jobs.</t>
  </si>
  <si>
    <t>patch."Barry Ferguson and Rangers' French manager Paul Le Guen did not always see eye to eyeReports emerged during the week that Caixinha had an angry meeting with his players at their Auchenhowie training base in the wake of the Old Firm defeat.</t>
  </si>
  <si>
    <t>"Barry Ferguson</t>
  </si>
  <si>
    <t>Ferguson</t>
  </si>
  <si>
    <t>Paul Le Guen</t>
  </si>
  <si>
    <t>After major airlines jumped to suspend flights and take other precautions in response to the Ebola outbreak, the U.S. government is starting to catch up -- ramping up efforts to keep the deadly virus from spreading.</t>
  </si>
  <si>
    <t>Ebola</t>
  </si>
  <si>
    <t>Democrats have once again begun beating the drum on breaking up big banks, claiming that Wells Fargo is too large to manage, given that the practice of opening unauthorized accounts has gone on for years.</t>
  </si>
  <si>
    <t>Wells Fargo</t>
  </si>
  <si>
    <t>Autonomy officials have always maintained that it was HPâ€™s own mismanagement of the company after the acquisition that caused the .</t>
  </si>
  <si>
    <t>Autonomy</t>
  </si>
  <si>
    <t>HP</t>
  </si>
  <si>
    <t>HPâ€™</t>
  </si>
  <si>
    <t xml:space="preserve">Tensions have long simmered between the two countries following Japans colonization of the Korean peninsula between 1910 and 1945.Japanese fans started chants of </t>
  </si>
  <si>
    <t>Japans</t>
  </si>
  <si>
    <t>Japan</t>
  </si>
  <si>
    <t>Lattin said officers fired stun guns at least twice but failed to stop Zambrano-Montes before using their weapons.</t>
  </si>
  <si>
    <t>Lattin</t>
  </si>
  <si>
    <t>Zambrano-Montes</t>
  </si>
  <si>
    <t>Zambrano-Monte</t>
  </si>
  <si>
    <t>REUTERS/Sergio PerezBarca defender Sergi Roberto had been sent off right at the end of the first half for clashing with Marcelo, provoking fury among the home sides players and supporters as moments earlier Real forward Gareth Bale had gotten away with a studs-up challenge on Samuel Umtiti.</t>
  </si>
  <si>
    <t>Sergio PerezBarca</t>
  </si>
  <si>
    <t>Sergi Roberto</t>
  </si>
  <si>
    <t>Marcelo</t>
  </si>
  <si>
    <t>De Kerchove praised the Home Office's emphasis on countering the extremists' message through the media. '</t>
  </si>
  <si>
    <t>De Kerchove</t>
  </si>
  <si>
    <t>the Home Office's</t>
  </si>
  <si>
    <t>the Home Office</t>
  </si>
  <si>
    <t>Siddiqees criticism of Israeli Prime Minister Benjamin Netanyahu</t>
  </si>
  <si>
    <t>Siddiqees</t>
  </si>
  <si>
    <t>Siddiqee</t>
  </si>
  <si>
    <t>Abdul Ghani Hendi, a religious affairs adviser in the Egyptian parliament, thinks Al-Azhar should be completely restructured to allow for self-criticism.</t>
  </si>
  <si>
    <t>Abdul Ghani Hendi</t>
  </si>
  <si>
    <t>Al-Azhar</t>
  </si>
  <si>
    <t>after the Dallas murders â€” by blaming â€œsystemic racismâ€ and declaring: â€œWhite Americans need to do a better job of listening.</t>
  </si>
  <si>
    <t>White Americans</t>
  </si>
  <si>
    <t>White American</t>
  </si>
  <si>
    <t>Conscious that support for independence remains at about 32%, Salmond said the party had to convert the popularity of his devolved government at Holyrood into support for independence."In six years, we have taken trust in the Scottish government to a high of 71%  four times more than trust in Westminster.</t>
  </si>
  <si>
    <t>Salmond</t>
  </si>
  <si>
    <t>Holyrood</t>
  </si>
  <si>
    <t>Westminster</t>
  </si>
  <si>
    <t xml:space="preserve"> Fox News anchor Megyn Kelly had a heated exchange with Trump supporter and former Speaker of the House Newt Gingrich on Tuesday about Trumpâ€™s flagging poll numbers, and about the women who have accused Trump of sexually assaulting them. </t>
  </si>
  <si>
    <t>Newt Gingrich</t>
  </si>
  <si>
    <t>PSNI reopened an investigation into the attack after the collapse of the Old Bailey trial, leading to this weeks joint operation with the Garda Sochna in Donegal.</t>
  </si>
  <si>
    <t>PSNI</t>
  </si>
  <si>
    <t>Bailey</t>
  </si>
  <si>
    <t>Old Bailey</t>
  </si>
  <si>
    <t>Donegal</t>
  </si>
  <si>
    <t xml:space="preserve"> Prime Minister Theresa May criticized Britainâ€™s finance industry for failing to promote and retain women on Tuesday as the government revealed that some of the biggest players have committed to having at least 30 percent in senior roles by 2021.</t>
  </si>
  <si>
    <t>Putinâ€™s even been accused of cultivating one of the candidates in the election Trump as an unwitting agent to further his quest to strangle US global power.</t>
  </si>
  <si>
    <t>President Barack Obama's Republican critics have suggested that the administration's handling of the incident raises questions about its truthfulness and competence, even as Obama and his Democratic supporters are touting his success in cracking down on Islamic militants, including the killing of al Qaeda leader Osama bin Laden.</t>
  </si>
  <si>
    <t>Osama bin Laden</t>
  </si>
  <si>
    <t>On Sunday's tape, bin Laden cited Washington's support for Israel as a motivator for more attacks on the United States, and vowed to keep on as long as Palestinians cannot live in peace."Our attacks against you will continue as long as U.S. support for Israel continues," bin Laden said.</t>
  </si>
  <si>
    <t>bin Laden</t>
  </si>
  <si>
    <t>Palestinians</t>
  </si>
  <si>
    <t>The Tata group, in partnership with South Africas Sasol Ltd (SOLJ.J), was planning to invest $10 billion in a project to convert low-quality coal into oil starting 2018.</t>
  </si>
  <si>
    <t>Tata</t>
  </si>
  <si>
    <t>South Africas Sasol Ltd</t>
  </si>
  <si>
    <t>South Africa</t>
  </si>
  <si>
    <t>She is committed to supporting all of UC students, and to this university and this country which she loves, said Regent Bonnie Reiss, who chaired the student regent selection committee.</t>
  </si>
  <si>
    <t>UC</t>
  </si>
  <si>
    <t>Bonnie Reiss</t>
  </si>
  <si>
    <t>Regent Bonnie Rei</t>
  </si>
  <si>
    <t>Twickenham and the crowd is a massive factor for us and we wanted to do a longer walk to experience even more the support we get before the game, said Robshaw.</t>
  </si>
  <si>
    <t>Robshaw</t>
  </si>
  <si>
    <t>Twickenham</t>
  </si>
  <si>
    <t>s version of events was quite different, alleging that Evertons players had deliberately targeted Costa to provoke him into a row.</t>
  </si>
  <si>
    <t>Evertons</t>
  </si>
  <si>
    <t>Everton</t>
  </si>
  <si>
    <t>Costa</t>
  </si>
  <si>
    <t>Hillary made it clear last night she supports Obamaâ€™s version of America.</t>
  </si>
  <si>
    <t>Obamaâ€™</t>
  </si>
  <si>
    <t xml:space="preserve">Republicans, including Trump, intensified their criticism of the process on Thursday after news emerged of Lynchâ€™s meeting with Bill Clinton. </t>
  </si>
  <si>
    <t>Lynch</t>
  </si>
  <si>
    <t>Lynchâ€™</t>
  </si>
  <si>
    <t>Earlier that day, former Secretary of Defense Robert Gates had gone on television and obliquely attacked Cruz, saying that anyone who calls for â€œcarpet bombingâ€ doesnâ€™t know what they are talking about and shows disregard for civilian lives.</t>
  </si>
  <si>
    <t>Robert Gates</t>
  </si>
  <si>
    <t>Defense Robert Gate</t>
  </si>
  <si>
    <t>Thursdays construction PMI also showed some Brexit worries and higher costs for steel used in construction  a possible reflection of European Union tariffs imposed on steel imports to the bloc in response to U.S. tariffs.</t>
  </si>
  <si>
    <t>European Union</t>
  </si>
  <si>
    <t>DE) and address Chinese customers complaints about belated product delivery.The deal represents our biggest investment so far in charging facilities in China</t>
  </si>
  <si>
    <t>DE</t>
  </si>
  <si>
    <t>But with the MSCI International EM Price index down more than 15 percent this year, Gaffney said she is betting there is little room left for emerging-market currencies to fall.</t>
  </si>
  <si>
    <t>Gaffney</t>
  </si>
  <si>
    <t>the MSCI International EM Price</t>
  </si>
  <si>
    <t>And Russias Black Hole submarine, based in the Mediterranean launched missiles to destroy Daesh targets as part of the early December raids These attacks were part of a series of daily bombing raids which have so far taken out thousands of terrorists facilities.</t>
  </si>
  <si>
    <t>Russias</t>
  </si>
  <si>
    <t>Daesh</t>
  </si>
  <si>
    <t>Sandersâ€™s staff criticized Thorpe for predicting their plan would cost $25 trillion over a decade, about twice what they had projected.</t>
  </si>
  <si>
    <t>Thorpe</t>
  </si>
  <si>
    <t>In response to Newman's criticism of his support for the move, Andrews stated that "one of the things that I value is open access of citizens in a free society to their government.</t>
  </si>
  <si>
    <t>Newman</t>
  </si>
  <si>
    <t>Andrews</t>
  </si>
  <si>
    <t>Andrew</t>
  </si>
  <si>
    <t xml:space="preserve"> While dozens of women have leveled sexual assault allegations at comedian Bill Cosby, destroying his reputation as â€Americaâ€™s dad,â€ the question of whether he will be imprisoned will hang on the words of a single woman when his trial starts this week.</t>
  </si>
  <si>
    <t>Bill Cosby</t>
  </si>
  <si>
    <t>The decision to release the 57-year-old Al-Megrahi, who continues to proclaim his innocence, sparked outrage from victims' families and drew a condemnation from the Obama Administration, which warned Libyan officials not to grant al-Megrahi "a hero's welcome" upon his return.</t>
  </si>
  <si>
    <t>Al-Megrahi</t>
  </si>
  <si>
    <t>Libyan</t>
  </si>
  <si>
    <t>the Obama Administration</t>
  </si>
  <si>
    <t>Judging from its track record, Deutsche Bank seems to have an inability to cut net costs and generate operating leverage independent of management in charge," JP Morgan analyst Kian Abouhossein said in a note late last month.</t>
  </si>
  <si>
    <t>Deutsche Bank</t>
  </si>
  <si>
    <t>JP Morgan</t>
  </si>
  <si>
    <t>Morgan</t>
  </si>
  <si>
    <t>Stein has never voted for a Democrat, but he is appalled by Trumpâ€™s trade rhetoric that he says could lead to a trade war.</t>
  </si>
  <si>
    <t>Stein</t>
  </si>
  <si>
    <t>And this week, Eric Schwartz, the president of Refugees International, wrote in the Post that Isaacss regrettable statements must be disqualifying.The IOM, which was set up in the aftermath of World War II, coordinates the global response to worldwide migration, including that of refugees, and became a UN agency in 2016.</t>
  </si>
  <si>
    <t>Eric Schwartz</t>
  </si>
  <si>
    <t>Isaacss</t>
  </si>
  <si>
    <t>IOM</t>
  </si>
  <si>
    <t>The New York Times editorial board officially endorsed Hillary Clinton on Saturday, in an that explicitly states its intent to fire up voters who are indifferent to the Democratic nominee.</t>
  </si>
  <si>
    <t>Zappos CEO Tony Hsieh has been praised for his ability to create a great company culture and his e-commerce endeavor has made its way onto lists that celebrate the best places to work.</t>
  </si>
  <si>
    <t>Zappos</t>
  </si>
  <si>
    <t>Zappo</t>
  </si>
  <si>
    <t>Tony Hsieh</t>
  </si>
  <si>
    <t>Essendon's equal games record-holder Dustin Fletcher faces a two-match ban by the AFL's match review panel on a rough conduct charge.</t>
  </si>
  <si>
    <t>Essendon</t>
  </si>
  <si>
    <t>Dustin Fletcher</t>
  </si>
  <si>
    <t>AFL</t>
  </si>
  <si>
    <t>Thomas White/IllustrationFitch assigns a stable outlook to its U.S. rating.</t>
  </si>
  <si>
    <t>Thomas White/IllustrationFitch</t>
  </si>
  <si>
    <t>IllustrationFitch</t>
  </si>
  <si>
    <t>Yuval Levin, taking aim at Lindsey Graham:For members of Congress in particular to fail to do so, let alone to encourage the president to go around Congress and spend money that has not been appropriated, is a dereliction of Congresss duty.</t>
  </si>
  <si>
    <t>Yuval Levin</t>
  </si>
  <si>
    <t xml:space="preserve">Some young supporters of Bernie Sanders, who are justifiably upset about the information revealed by WikiLeaks, told the Daily Beastâ€™s Tim Mak that they donâ€™t care what role Russia might have played. </t>
  </si>
  <si>
    <t>Tim Mak</t>
  </si>
  <si>
    <t>But the Spanish boss has hit back and insisted Nevilles criticism means nothing to him because hes a failed manager.</t>
  </si>
  <si>
    <t>Spanish</t>
  </si>
  <si>
    <t>Nevilles</t>
  </si>
  <si>
    <t>Neville</t>
  </si>
  <si>
    <t>The western sicko leaders all became friends with him, the French then President Nicolas Sarkozy on top, who is now accused in French Courts of receiving up to  50 million</t>
  </si>
  <si>
    <t>western</t>
  </si>
  <si>
    <t>Nicolas Sarkozy</t>
  </si>
  <si>
    <t>Kevin Ring, vice president of Families Against Mandatory Minimums, a group that has pushed for sentencing reform and clemency for drug offenders for more than 20 years, praised Obama for â€œdoing the right thing.</t>
  </si>
  <si>
    <t>Kevin Ring</t>
  </si>
  <si>
    <t>Families Against Mandatory Minimum</t>
  </si>
  <si>
    <t>but I have always taken on the road to help other Democrats win because I think its critical facing what we are today with this president that we win back the House of Representatives at all costs," Crowley said.</t>
  </si>
  <si>
    <t>Crowley</t>
  </si>
  <si>
    <t>Like all other European airlines, easyJet wants European governments to take necessary measures to reduce unnecessary passenger disruption.The intermittent delays follow the introduction in March of new EU regulations in the wake of the Paris and Brussels terror attacks.</t>
  </si>
  <si>
    <t>easyJet</t>
  </si>
  <si>
    <t>The announcement makes Ukip the first major party to commit to the Nato target of 2% spending of GDPUkip economics spokesman Patrick O'Flynn accused the Prime Minister of neglecting the country's defences while pouring taxpayers' cash into overseas aid.</t>
  </si>
  <si>
    <t>Patrick O'Flynn</t>
  </si>
  <si>
    <t>Ukip</t>
  </si>
  <si>
    <t>Nato</t>
  </si>
  <si>
    <t>Also, the University of Texas at Austinâ€™s Arabic Flagship Program supports Austin ISD</t>
  </si>
  <si>
    <t>the University of Texas at Austinâ€™s Arabic Flagship Program</t>
  </si>
  <si>
    <t>the University of Texa</t>
  </si>
  <si>
    <t>Austin ISD</t>
  </si>
  <si>
    <t>While Mr Bowler's comments have received a mixed reception in the local community, WA Nationals MLC David Grills said he could not support corporal punishment of young offenders."I</t>
  </si>
  <si>
    <t>Bowler</t>
  </si>
  <si>
    <t>Mr Bowler</t>
  </si>
  <si>
    <t>David Grills</t>
  </si>
  <si>
    <t>David Grill</t>
  </si>
  <si>
    <t>Unperturbed by the massive Turkish presence in the 75,000 crowd, thanks to the large immigrant population in Berlin, Joachim Loew's team showed greater attacking endeavour to see off the visitors 3-0 thanks to two Miroslav Klose goals either side of a Mesut Ozil effort.</t>
  </si>
  <si>
    <t>Joachim Loew's</t>
  </si>
  <si>
    <t>Miroslav Klose</t>
  </si>
  <si>
    <t>Mesut Ozil</t>
  </si>
  <si>
    <t>A victory in that state, which Clinton represented for two terms in the Senate, would deal a significant psychological blow to her campaign, rattling Democrats already worried about her high national disapproval ratings.</t>
  </si>
  <si>
    <t>Bank of America said its provision for credit losses declined to the lowest level since the third quarter of 2007 and sales and trading revenue, excluding an accounting charge, was the highest since the 2008 acquisition of Merrill Lynch."In general it shows nice improvement across the board," said Joe Terril, president of Terril &amp;</t>
  </si>
  <si>
    <t>Joe Terril</t>
  </si>
  <si>
    <t>Merrill Lynch."In</t>
  </si>
  <si>
    <t>And Secretary of State John Kerry said Sunday that the U.S. will accept 85,000 refugees from around the world next year, and up to 100,000 in 2017.Al Roustom's three brothers and a sister are in Jordan, and his wife has a sister in Lebanon.</t>
  </si>
  <si>
    <t>Roustom</t>
  </si>
  <si>
    <t>Ignatius surveyed the Iraqi response and found reason for optimism:</t>
  </si>
  <si>
    <t>Ignatius</t>
  </si>
  <si>
    <t>Ignatiu</t>
  </si>
  <si>
    <t>On Thursday, Rowland commended Democratic House Speaker Moira Lyons (search) and Republican House Minority Leader Robert Ward for selecting a bipartisan committee."These individuals are all well respected and are regarded as fair and open-minded members.</t>
  </si>
  <si>
    <t>Rowland</t>
  </si>
  <si>
    <t>Moira Lyons</t>
  </si>
  <si>
    <t>Robert Ward</t>
  </si>
  <si>
    <t>MiningWatch Canadas Jen Moore says that, in Escobals case, both Tahoe and Guatemalas government have received the tacit support of the Canadian embassy too.</t>
  </si>
  <si>
    <t>Jen Moore</t>
  </si>
  <si>
    <t>MiningWatch Canada</t>
  </si>
  <si>
    <t>Escobals</t>
  </si>
  <si>
    <t>Guatemala</t>
  </si>
  <si>
    <t>Duke and her husband, Joseph, also provided support to preserve 50 acres of Hill &amp; Dale in September 2014."We love the gorgeous views from the top of the Hill &amp; Dale Preserve and want to make sure this vista stays unchanged for all to enjoy," said Duke.</t>
  </si>
  <si>
    <t>Duke</t>
  </si>
  <si>
    <t>Joseph</t>
  </si>
  <si>
    <t>the Hill &amp; Dale Preserve</t>
  </si>
  <si>
    <t>David Luiz had put Brazil ahead after 18 minutes but Alexis Sanchez equalized for battling Chile before halftime and the host nation watched with bated breath as Brazil were on the brink of elimination after Willian and Hulk had failed to convert their spot-kicks.</t>
  </si>
  <si>
    <t>David Luiz</t>
  </si>
  <si>
    <t>Alexis Sanchez</t>
  </si>
  <si>
    <t>Republican senator Jim Inhofe, from Oklahoma, said it was time for Jaczko to go, given his "failed leadership".Jaczko, a nuclear expert, was originally appointed to the commission by George Bush in 2005, and rose to the post of chairman after Barack Obama became president.</t>
  </si>
  <si>
    <t>Jim Inhofe</t>
  </si>
  <si>
    <t>Jaczko</t>
  </si>
  <si>
    <t>George Bush</t>
  </si>
  <si>
    <t>Tomaselli was arrested in April on 11 warrants charging gross sexual assault, tampering with a victim, two counts of unlawful sexual contact, five counts of visual sexual aggression against a child and unlawful sexual touching and unlawful sexual contact, Lewiston police said on Sunday.</t>
  </si>
  <si>
    <t>Tomaselli</t>
  </si>
  <si>
    <t>Lewiston</t>
  </si>
  <si>
    <t>Chinese officials have blamed Taiwan for creating trouble rather than Trump, and many of them believe he will be more accommodating to China once in office.</t>
  </si>
  <si>
    <t>The English-language Chinese press has been attacking the United States for interference, but I guess this is normal.</t>
  </si>
  <si>
    <t>The purge, which has led to the detention of many journalists and caused the closure of some 130 media outlets, has alarmed Turkeys Western allies and rights groups, who say Erdogan is using the coup as a pretext to muzzle dissent.</t>
  </si>
  <si>
    <t>Turkeys</t>
  </si>
  <si>
    <t>Politico reported, citing documents and partial transcripts of tapes it obtained, that an FHFA staff member accused Watt of making inappropriate sexual advances when she tried to discuss career and salary matters.</t>
  </si>
  <si>
    <t>Politico</t>
  </si>
  <si>
    <t>FHFA</t>
  </si>
  <si>
    <t>Watt</t>
  </si>
  <si>
    <t>Despite forcing eight saves from Jon Busch, the leagues best attack was on track for a second shutout in a row, with close calls in the second half for Gonzalo Pineda and Chad Barrett thwarted by Busch and Wondolowskis goalline clearance.</t>
  </si>
  <si>
    <t>Jon Busch</t>
  </si>
  <si>
    <t>Chad Barrett</t>
  </si>
  <si>
    <t>Gonzalo Pineda</t>
  </si>
  <si>
    <t>Wondolowski</t>
  </si>
  <si>
    <t>PA:Press Association Klopp says Southampton paid his side a compliment by playing so defensivelyWe knew before this season started that we had to work on this and be prepared for everything.Saints midfielder Oriol Romeu confirmed Klopps assessment when he said:</t>
  </si>
  <si>
    <t>Klopp</t>
  </si>
  <si>
    <t>Press Association Klopp</t>
  </si>
  <si>
    <t>Oriol Romeu</t>
  </si>
  <si>
    <t>Southampton</t>
  </si>
  <si>
    <t>Bush would play hard on the "I am my own man" line and paint himself as a low key former effective reform governor who would emphasize fiscal conservatism, bipartisanship, modest immigration reform, and the ability to connect with Hispanic voters, and even some effort to get an uptick in African-American voter support.</t>
  </si>
  <si>
    <t>African-American</t>
  </si>
  <si>
    <t>Trump also expects to receive a major new financial contribution from the gulf states to what the United States considers its costly defense of these countries and the fight against the Islamic State.</t>
  </si>
  <si>
    <t>Jack Nicklaus offered sympathy to Jordan Spieth after the blew a considerable lead on the last day of the Masters.</t>
  </si>
  <si>
    <t>Jack Nicklaus</t>
  </si>
  <si>
    <t>Jack Nicklau</t>
  </si>
  <si>
    <t>Jordan Spieth</t>
  </si>
  <si>
    <t>Gen. Vincent R. Stewart, says, with an eye on the future of U.S.-Russian relations."Within the next decade, an even more confident and capable Russia could emerge," Stewart wrote in a preface to the report.</t>
  </si>
  <si>
    <t>Vincent R. Stewart</t>
  </si>
  <si>
    <t>Stewart</t>
  </si>
  <si>
    <t xml:space="preserve">Trumpâ€™s core supporters believe in his basic message about shutting out certain immigrants, making it harder for foreign companies to sell their products here and being ruthless in fighting Islamists overseas. </t>
  </si>
  <si>
    <t>Proving that fellas are just as much in danger to fall victim to a clothing fail as females, Kanye West reveals the perils of trying to steal Kim Kardashian's thunder.</t>
  </si>
  <si>
    <t>Kanye West</t>
  </si>
  <si>
    <t>Kim Kardashian's</t>
  </si>
  <si>
    <t>Kim Kardashian</t>
  </si>
  <si>
    <t>Reserve Bank of Australia Governor Glenn Stevens last week said the unemployment rate could edge higher right through this year, before nudging lower in 2015.The central bank has been counting on record low interest rates to support demand as a long boom in mining investment cools, and there have been signs of progress.</t>
  </si>
  <si>
    <t>Reserve Bank of Australia Governor Glenn Stevens</t>
  </si>
  <si>
    <t>Reserve Bank of Australia</t>
  </si>
  <si>
    <t>Glenn Steven</t>
  </si>
  <si>
    <t>-Mogg is leading the European Research Group against May's planThe MP for North East Somerset praised the resignation of David Davis and Boris Johnson and said they had courage in giving up their Cabinet seats.</t>
  </si>
  <si>
    <t>North East Somerset</t>
  </si>
  <si>
    <t>David Davis</t>
  </si>
  <si>
    <t>Boris Johnson</t>
  </si>
  <si>
    <t>The Republican National Committee will support Roy Moore's bid for the U.S. Senate, AL.com has confirmed.</t>
  </si>
  <si>
    <t>The Republican National Committee</t>
  </si>
  <si>
    <t>Roy Moore's</t>
  </si>
  <si>
    <t>Roy Moore</t>
  </si>
  <si>
    <t xml:space="preserve">The United States has long accused Iran of being the worldâ€™s biggest state sponsor of terrorism, saying Tehran supported conflicts in Syria, Iraq and Yemen, and backed groups such as </t>
  </si>
  <si>
    <t>Instagram 6 Kim emerges from a pool and into a shower in flashback snapsBut times have changed a lot since then and Kim made a much less graceful public appearance recently - on telly with James Corden.</t>
  </si>
  <si>
    <t>James Corden</t>
  </si>
  <si>
    <t>Cabinet Office minister Francis Maude said it would be a "big mistake" for teachers and civil servants to go on strike while negotiations are going on and the Department for Education has said a strike "will only damage pupils' learning and inconvenience their busy working parents".The teaching unions</t>
  </si>
  <si>
    <t>Cabinet Office minister Francis Maude</t>
  </si>
  <si>
    <t>Francis Maude</t>
  </si>
  <si>
    <t>the Department for Education</t>
  </si>
  <si>
    <t>People admire and respect the decision that Barack and Michelle Obama made as parents to minimize the disruption to their children,â€ former vice president Al Gore told The Washington Post.</t>
  </si>
  <si>
    <t>The Washington Post</t>
  </si>
  <si>
    <t>I want to welcome to the show John Andrews, co-sponsor of Senate Bill 02-010.</t>
  </si>
  <si>
    <t>John Andrew</t>
  </si>
  <si>
    <t>John Andrews</t>
  </si>
  <si>
    <t>Bill 02-010</t>
  </si>
  <si>
    <t>Yaakov Amidror, a former national security adviser to Netanyahu, praised Badreddineâ€™s elimination but did not say that Israel was involved.</t>
  </si>
  <si>
    <t>Yaakov Amidror</t>
  </si>
  <si>
    <t>Badreddine</t>
  </si>
  <si>
    <t>Moore and Brooks have both vocally supported Trump but openly questioned his decision to back Strange.</t>
  </si>
  <si>
    <t>Moore</t>
  </si>
  <si>
    <t>Brook</t>
  </si>
  <si>
    <t>Brooks</t>
  </si>
  <si>
    <t>Takachs endorsement came on the day that leadership candidate Marc Garneau challenged Trudeau to a one-on-one debate, casting the contest as a two-horse race.</t>
  </si>
  <si>
    <t>Marc Garneau</t>
  </si>
  <si>
    <t>Takach</t>
  </si>
  <si>
    <t>New Orleans Saints tight end Benjamin Watson said Tuesday on Fox &amp; Friends that a new Gillette ad targeting toxic masculinity could lead to positive change.</t>
  </si>
  <si>
    <t>New Orleans Saints</t>
  </si>
  <si>
    <t>Fox &amp; Friend</t>
  </si>
  <si>
    <t>Benjamin Watson</t>
  </si>
  <si>
    <t>Gillette</t>
  </si>
  <si>
    <t>He adds that the UN is committed to a continued long-term presence in Afghanistan, noting that this is a critical year in the countrys transition, and states that it is incumbent on the UN mission (UNAMA) to focus its efforts on a limited set of priority tasks where it can bring the greatest added value and deliver effectively.</t>
  </si>
  <si>
    <t>UNAMA</t>
  </si>
  <si>
    <t>However, he said he had originally gone to the hotel to inform Mr McDonald that one of their friends - and fellow footballer Javan Vidal - had been arrested.</t>
  </si>
  <si>
    <t>McDonald</t>
  </si>
  <si>
    <t>Mr McDonald</t>
  </si>
  <si>
    <t>Javan Vidal</t>
  </si>
  <si>
    <t>Javan Vidal - had</t>
  </si>
  <si>
    <t>A precinct captain, Jerome Lehtola, confirmed to BuzzFeed News that the campaign has trained precinct captains to release supporters to Oâ€™Malley if the move can make him â€œviableâ€ without hurting Clinton.</t>
  </si>
  <si>
    <t>Jerome Lehtola</t>
  </si>
  <si>
    <t>Oâ€™Malley</t>
  </si>
  <si>
    <t>Serbia, in turn, accused ethnic Albanians of laying mines along the railway tracks and planning a bombing campaign of Serbs and their holy sites.</t>
  </si>
  <si>
    <t>Albanians</t>
  </si>
  <si>
    <t>Serbia</t>
  </si>
  <si>
    <t>Serbs</t>
  </si>
  <si>
    <t>Albanian</t>
  </si>
  <si>
    <t>elections."Particularly if Barrett wins the recall election, there will be a demonstration that Wisconsin voters want to see us move forward with an agenda that is respectful of the entire state and to have an end to the sort of deep, partisan, divisive politics that Gov. Walker has pursued," he said.</t>
  </si>
  <si>
    <t>Barrett</t>
  </si>
  <si>
    <t>Wisconsin</t>
  </si>
  <si>
    <t>Walker</t>
  </si>
  <si>
    <t>President Benigno Aquino III and disaster-response agencies have warned that Koppu's rain and wind may potentially bring more damage with its slow speed.</t>
  </si>
  <si>
    <t>President Benigno Aquino III</t>
  </si>
  <si>
    <t>Benigno Aquino III</t>
  </si>
  <si>
    <t>Koppu</t>
  </si>
  <si>
    <t>Read moreSpeaking to reporters in Beijing, the foreign ministry spokesperson Lu Kang attacked Johnsons comment as incorrect and misplaced.</t>
  </si>
  <si>
    <t>Lu Kang</t>
  </si>
  <si>
    <t>Johnsons</t>
  </si>
  <si>
    <t>Your friends are our friends, and your enemies are our enemies.Prime Minister Ashraf thanked British premier for his country</t>
  </si>
  <si>
    <t>Minister Ashraf</t>
  </si>
  <si>
    <t>Ashraf</t>
  </si>
  <si>
    <t>Canada simply said the support had been "extraordinary" and "spontaneous."Canada testified that he agreed to guarantee Raj's $100 million bond when he was arrested back in 2009, and considered the Galleon chief to be a "dear friend."Don't miss our earlier coverage of the trial &gt;</t>
  </si>
  <si>
    <t>Raj</t>
  </si>
  <si>
    <t>Galleon</t>
  </si>
  <si>
    <t>The scene featuring Wonkas grand entrance is one of the most memorable in the film, thanks to Wilders imagination and creativity.</t>
  </si>
  <si>
    <t>Wonkas</t>
  </si>
  <si>
    <t>Wonka</t>
  </si>
  <si>
    <t>Wilders</t>
  </si>
  <si>
    <t>Wilder</t>
  </si>
  <si>
    <t>Mr. Sanders has started running commercials in New York criticizing Mrs. Clinton for accepting speaking fees from Wall Street banks but not supporting a federal $15 minimum wage.</t>
  </si>
  <si>
    <t>The viciousness of Boehnerâ€™s attack is the clearest signal yet that the Republican establishment is falling in line behind Trump in a big way.</t>
  </si>
  <si>
    <t>Boehnerâ€™</t>
  </si>
  <si>
    <t>Vigorous Prosecution RemarkCooper said that Sharpton, with his questionable past and volatile style, is not the man to help race relations, but the one to blow them up and halt any progress that could potentially be made.</t>
  </si>
  <si>
    <t>Sharpton</t>
  </si>
  <si>
    <t>RemarkCooper</t>
  </si>
  <si>
    <t>The German male can be heard castigating police for standing back and taking no action, and then direct his anger at the Muslim males.</t>
  </si>
  <si>
    <t>â€ Remington had praised the Texas senator as a political figure who â€œrepresented Godâ€ and would â€protect the Constitutionâ€ during his invocation at the Coeur dâ€™Alene rally.</t>
  </si>
  <si>
    <t>Remington</t>
  </si>
  <si>
    <t>All of those traditionally Democratic strongholds supported Trump over Clinton.</t>
  </si>
  <si>
    <t>Cap and trade is an environmental system that hardcore liberals including former Vice President Al Gore support.</t>
  </si>
  <si>
    <t>President Al Gore</t>
  </si>
  <si>
    <t>Cap</t>
  </si>
  <si>
    <t>Al Gore</t>
  </si>
  <si>
    <t xml:space="preserve"> Fox New projects that Democratic presidential frontrunner Hillary Clinton will win the Ohio primary Tuesday night </t>
  </si>
  <si>
    <t>Republicans, meanwhile, blamed Democrats, who rejected a version of the repeal that would have included a moratorium on cities passing nondiscrimination ordinances to protect gay and transgender people.</t>
  </si>
  <si>
    <t>Model Chrissy Teigen blames Donald Trump for what she claims is her declining health and mental state, and wants the president to pay her resultant medical bills.</t>
  </si>
  <si>
    <t>Chrissy Teigen</t>
  </si>
  <si>
    <t>Model Chrissy Teigen</t>
  </si>
  <si>
    <t>Clintonâ€™s campaign dismissed Trumpâ€™s criticisms, likening him to a â€schoolyard bully.</t>
  </si>
  <si>
    <t>Japanâ€™s atomic regulator declared three nuclear plants in the region safe, giving a degree of comfort to a country deeply scarred by the Fukushima nuclear disaster of 2011 that was sparked by an earthquake and tsunami.</t>
  </si>
  <si>
    <t>Fukushima</t>
  </si>
  <si>
    <t>In comments indicating support for the governmentâ€™s position, Judge Judith Rogers, appointed to the court by former President Bill Clinton, said the EPA should not close its eyes to trends in the electric sector which have seen utilities diversify their energy mix.</t>
  </si>
  <si>
    <t>Judith Rogers</t>
  </si>
  <si>
    <t>Judith Roger</t>
  </si>
  <si>
    <t>Mrs. Clintonâ€™s campaign has repeatedly sought to yoke Mr. Trump to Mr. Putin, citing Mr. Trumpâ€™s praise for the Russian leader.</t>
  </si>
  <si>
    <t>The United States once again condemns the brutality of the North Korean regime as we mourn its latest victim.</t>
  </si>
  <si>
    <t>â€Sen. Jeff Sessions of Alabama endorsed Republican presidential frontrunner Donald Trumpâ€™s campaign on Sunday.</t>
  </si>
  <si>
    <t>Bigelow, who dominated the 2009 Los Angeles critics awards with best-picture and director wins for "The Hurt Locker," was chosen this time as directing runner-up for "Zero Dark Thirty.""The Hurt Locker" went on to a best-picture win at the Oscars and made Bigelow the first woman ever to earn the best-director Oscar.</t>
  </si>
  <si>
    <t>Bigelow</t>
  </si>
  <si>
    <t>The European Ombudsman rebuked European Union regulators on Wednesday for procedural errors in their antitrust probe of Intel but the censure will not affect a 1.06 billion euro ($1.58 billion) fine against the U.S. chipmaker.</t>
  </si>
  <si>
    <t>The European Ombudsman</t>
  </si>
  <si>
    <t>Iranian and Iraqi central government forces are to hold joint military exercises near their borders, Irans state television reported on Saturday, as part of Tehrans effort to support Baghdad after the Kurdish independence referendum.</t>
  </si>
  <si>
    <t>Is Houthi attack on Saudi ship dress rehearsal for Iran attack in Gulf?Third,</t>
  </si>
  <si>
    <t>Houthi</t>
  </si>
  <si>
    <t>Gulf?Third</t>
  </si>
  <si>
    <t>Pierre Rigaud, staying in the St. Pierre camp, said:I appreciate people coming here to give us a little encouragement.</t>
  </si>
  <si>
    <t>Pierre Rigaud</t>
  </si>
  <si>
    <t>St. Pierre</t>
  </si>
  <si>
    <t>I think that is a great vulnerability.Today, though, Rudy Giuliani is "proud" to support this Mitt Romney.</t>
  </si>
  <si>
    <t>Rudy Giuliani</t>
  </si>
  <si>
    <t>this Mitt Romney</t>
  </si>
  <si>
    <t>Taliban insurgents on Sunday killed 10 Afghan soldiers and wounded four in an attack on a checkpoint in volatile southern Helmand province, provincial officials said.</t>
  </si>
  <si>
    <t>Helmand</t>
  </si>
  <si>
    <t xml:space="preserve"> Asset management giant BlackRock and chemical major Dow Chemical praised Saudi Arabia on Thursday as the kingdom said it was pressing ahead with reforms and investments beyond oil.</t>
  </si>
  <si>
    <t>BlackRock</t>
  </si>
  <si>
    <t>Dow Chemical</t>
  </si>
  <si>
    <t xml:space="preserve">Former Republican presidential nominee Mitt Romney is ready to support Ted Cruz and is urging his party to follow in his foot steps. </t>
  </si>
  <si>
    <t>Samsung Electronics Co Ltd, the flagship unit of Samsung Group, named heir Jay Y. Lee as director in 2016 after his father, the firms chairman, suffered a heart attack.</t>
  </si>
  <si>
    <t>Samsung Electronics Co Ltd</t>
  </si>
  <si>
    <t>Samsung Group</t>
  </si>
  <si>
    <t>Jay Y. Lee</t>
  </si>
  <si>
    <t>Republican leaders have accused Democrats of giving terrorism issues short shrift in Philadelphia.</t>
  </si>
  <si>
    <t>His supporters, including the Jamaican sprint star Usain Bolt, swear by him and call him Healing Hans.</t>
  </si>
  <si>
    <t>Usain Bolt</t>
  </si>
  <si>
    <t>Healing Hans</t>
  </si>
  <si>
    <t>Healing Han</t>
  </si>
  <si>
    <t>Rights groups and some of Turkeyâ€™s Western allies fear Erdogan is using the coup as a pretext to stifle dissent, but he says mass sackings and arrests in the police army and judiciary are needed to protect democracy and root out Gulen supporters.</t>
  </si>
  <si>
    <t>Gulen</t>
  </si>
  <si>
    <t>Hillary Clintonâ€™s campaign seized on Trumpâ€™s handling of the situation to prosecute its most successful recent tactic, saying he canâ€™t be trusted to stay calm in a crisis or put the nation</t>
  </si>
  <si>
    <t>The Myanmar government was incensed by Najibs criticism.</t>
  </si>
  <si>
    <t>Myanmar</t>
  </si>
  <si>
    <t>Najibs</t>
  </si>
  <si>
    <t>Najib</t>
  </si>
  <si>
    <t>As with welfare, we should want fewer Americans to need Medicaid."While conservative Republicans support large cuts to Medicaid, more moderate GOP leaders, particularly lawmakers from states where Medicaid expansion under Obamacare has been popular, have been critical of cuts.</t>
  </si>
  <si>
    <t>Legendary writer Philip Roth  author of Portnoy's Complaint, The Plot Against America and many other novels  had to publish a letter in The New Yorker in order to correct an entry explaining his motive in writing his novel The Human Stain, so that Wikipedians would believe him.</t>
  </si>
  <si>
    <t>Philip Roth</t>
  </si>
  <si>
    <t>The New Yorker</t>
  </si>
  <si>
    <t>Wikipedian</t>
  </si>
  <si>
    <t>Most immediately, Turkey is agonizing over the fast-changing dynamics along its southern border with Syria, where Russia is bombing, Kurds are advancing and the rebels it has supported against President Bashar al-Assad for the past five years are facing defeat.</t>
  </si>
  <si>
    <t>Kurds</t>
  </si>
  <si>
    <t>Kurd</t>
  </si>
  <si>
    <t>President Bashar al-Assad</t>
  </si>
  <si>
    <t>Bashar al-Assad</t>
  </si>
  <si>
    <t>The Ohio Society for the Prevention of Cruelty to Animals wants animal cruelty charges to be pressed against Officer Bob Accorti, WKYC reported.</t>
  </si>
  <si>
    <t>The Ohio Society for the Prevention of Cruelty to Animals</t>
  </si>
  <si>
    <t>The Ohio Society for the Prevention of Cruelty to Animal</t>
  </si>
  <si>
    <t>Bob Accorti</t>
  </si>
  <si>
    <t>In 1988, Spy Magazine famously called Trump a short-fingered vulgarian, sparking a feud that drove the real estate tycoon to threaten lawsuits and send a copy of The Art of the Deal with his hand outlined in gold to the Spy office.</t>
  </si>
  <si>
    <t>Spy Magazine</t>
  </si>
  <si>
    <t>Spy</t>
  </si>
  <si>
    <t>Premier Jay Weatherill says the 'No Body, No Parole' policy would provide a strong incentive for criminals to cooperate with authorities."They stay inside until they provide information about where the body or where the remains are," he said."This causes massive suffering to the families of the victims of murders.</t>
  </si>
  <si>
    <t>Jay Weatherill</t>
  </si>
  <si>
    <t>Parole</t>
  </si>
  <si>
    <t>It was Labour who introduced these highly damaging and addictive gaming machines that have wreaked so much damage to people's lives, in the face of Liberal Democrat warnings at the time."We are pleased that Labour has finally woken up to the damage that their policies have caused on deprived High Streets up and down the country.</t>
  </si>
  <si>
    <t>Liberal Democrat</t>
  </si>
  <si>
    <t>s Mike Milbury didnt see anything wrong with Crosbys play though, and didnt just defend it, but applauded it.It was cagey, Milbury said.</t>
  </si>
  <si>
    <t>Mike Milbury</t>
  </si>
  <si>
    <t>Milbury</t>
  </si>
  <si>
    <t>Crosby</t>
  </si>
  <si>
    <t>New York Times writer James B. Stewart isn't convinced they should have been prosecuted in the first</t>
  </si>
  <si>
    <t>New York Times</t>
  </si>
  <si>
    <t>James B. Stewart</t>
  </si>
  <si>
    <t>From another Pew survey: If youâ€™d like to see those differences playing themselves out, I invite you to check out (warily) the comments section of Debâ€™s latest post, in which some people lambaste the menace of outsiders and others welcome them.</t>
  </si>
  <si>
    <t>Pew</t>
  </si>
  <si>
    <t>Deb</t>
  </si>
  <si>
    <t>Debâ€™</t>
  </si>
  <si>
    <t>â€ Sanders is also trying to play a role in shaping the Democratic National Committee, endorsing progressive Rep. Keith Ellison for chair.</t>
  </si>
  <si>
    <t xml:space="preserve"> President Donald Trump outlined a plan on Monday to privatize the U. S. air traffic control system to modernize it and lower flying costs, but his proposal drew immediate criticism from Democrats who said it would hand control of a key asset to special interests and big airlines.</t>
  </si>
  <si>
    <t>And although the Obama administration hasnt threatened to veto the bill, House Majority Leader Kevin McCarthy says he thinks Congress could garner the support to quash a presidential veto.</t>
  </si>
  <si>
    <t>Man-of-the-match Robben said he was proud of the Dutch defence, an aspect of their play that has been overshadowed so far by a fearsome attack that had to do without Robin van Persie, who was suspended after receiving two yellow cards."It was a very good game to watch, there was a lot of passion on the pitch, we defended really well.</t>
  </si>
  <si>
    <t>Robben</t>
  </si>
  <si>
    <t>Robin van Persie</t>
  </si>
  <si>
    <t>Dutch</t>
  </si>
  <si>
    <t>Initially, most Indonesians joyfully welcomed the Japanese, as liberators from their Dutch colonial masters.</t>
  </si>
  <si>
    <t>Indonesians</t>
  </si>
  <si>
    <t>Indonesian</t>
  </si>
  <si>
    <t>Japanese</t>
  </si>
  <si>
    <t>Ignoring the rising threat of Islamist ideology in a misguided belief that we hope to defend Muslims only makes anti-Muslim sentiment worse, because it risks the average non-Muslim being persuaded to blame those Muslims over there.</t>
  </si>
  <si>
    <t>anti-Muslim</t>
  </si>
  <si>
    <t>Muslims</t>
  </si>
  <si>
    <t>non-Muslim</t>
  </si>
  <si>
    <t>That year, Rubio also praised Obamaâ€™s hire of Arne Duncan as education secretary, calling him an â€˜innovatorâ€™ while praising the federal governmentâ€™s effort â€˜encouragingâ€™ states to adopt curriculums</t>
  </si>
  <si>
    <t>Arne Duncan</t>
  </si>
  <si>
    <t>As a retired USAF veteran of the Korean and Vietnam Wars, I would like to offer my kudos to James Fallows for his admirable contributions.</t>
  </si>
  <si>
    <t>USAF</t>
  </si>
  <si>
    <t>James Fallows</t>
  </si>
  <si>
    <t>James Fallow</t>
  </si>
  <si>
    <t>Kathy Griffinâ€™s Facebook page was inundated with calls for a boycott of her nationwide comedy tour after a photo of her holding a severed head of President Donald Trump went viral on Tuesday.</t>
  </si>
  <si>
    <t>Kathy Griffinâ€™s</t>
  </si>
  <si>
    <t>Kathy Griffinâ€™s Facebook</t>
  </si>
  <si>
    <t>Lt Col Herrera, the assigned military spokesman for Marawi, said soldiers were bogged down in the urban terrain, familiar to the Maute gunmen who are believed to have grown up in the area.</t>
  </si>
  <si>
    <t>Herrera</t>
  </si>
  <si>
    <t>Lt Col Herrera</t>
  </si>
  <si>
    <t>Maute</t>
  </si>
  <si>
    <t>Global Times, a nationalist newspaper, used harsher language in an editorial chastising the Trump administration for â€œbrazenly shirking its responsibility on climate change.</t>
  </si>
  <si>
    <t>Global Times</t>
  </si>
  <si>
    <t>Global Time</t>
  </si>
  <si>
    <t>The Clinton campaign quickly condemned Trumpâ€™s comments.</t>
  </si>
  <si>
    <t>Jared Kushner or his supporters appear to want to take credit for Bannonâ€™s demotion.</t>
  </si>
  <si>
    <t>Bannonâ€™</t>
  </si>
  <si>
    <t>The California Chamber of Commerces recently aborted issue advocacy campaign attacking Democrat Jerry Brown has been getting a lot of attention.</t>
  </si>
  <si>
    <t>Chamber of Commerces</t>
  </si>
  <si>
    <t>The California Chamber of Commerce</t>
  </si>
  <si>
    <t>Democrat Jerry Brown</t>
  </si>
  <si>
    <t>Jerry Brown</t>
  </si>
  <si>
    <t>Fox News contributor Tammy Bruce used outrage over an alleged "Christmas tree tax" to claim that Obama was displaying "contempt for Christianity" by levying a tax on Christians that she said was rooted in Muslim tradition.</t>
  </si>
  <si>
    <t>Tammy Bruce</t>
  </si>
  <si>
    <t>But US officials have said that either Syrian or Russian jets, or a combination of both, launched the attacks, echoing the initial reports of monitoring groups tracking the conflict.</t>
  </si>
  <si>
    <t>The major exception is Raqqa, the group's self-declared capital in Syria, which the U.S. and allied rebel groups are preparing to attack in coming weeks.</t>
  </si>
  <si>
    <t>Raqqa</t>
  </si>
  <si>
    <t>, Trumpâ€™s latest attack ad claims former President Bill Clinton sexually assaulted several women while president during the 1990s.</t>
  </si>
  <si>
    <t>Bush II â€” released a statement opposing Donald Trump and saying that he would be â€œthe most reckless President in American history.</t>
  </si>
  <si>
    <t>Bush II</t>
  </si>
  <si>
    <t>While Trumps Syria policy has not been fully spelled out, he has suggested Washington could re-examine its longstanding opposition to Russias support for Assad.</t>
  </si>
  <si>
    <t>Trumps Syria</t>
  </si>
  <si>
    <t>GETTY * Reuters Twitter users have responded with anger to Dame Margaret's viewDame Margaret said Mr Corbyn should resign because the historic EU referendum had been a test of leadership and he had failed.</t>
  </si>
  <si>
    <t>Dame Margaret</t>
  </si>
  <si>
    <t>Margaret</t>
  </si>
  <si>
    <t>Mr Corbyn</t>
  </si>
  <si>
    <t>The U.N. Security Council on Thursday condemned North Korea's latest failed missile test and demanded it not conduct any more nuclear tests.</t>
  </si>
  <si>
    <t>The U.N. Security Council Council</t>
  </si>
  <si>
    <t>The U.N. Security Council</t>
  </si>
  <si>
    <t>North Korea's</t>
  </si>
  <si>
    <t>Defense attorneys opened the trial last week by admitting that Tsarnaev committed the crimes of which he is accused.</t>
  </si>
  <si>
    <t>Tsarnaev</t>
  </si>
  <si>
    <t>Defense</t>
  </si>
  <si>
    <t>It is a stance which prompted the followers of the Lubavitcher Rebbe to publish a lengthy open letter condemning Yatsenyuk for denying his Jewishness.</t>
  </si>
  <si>
    <t>Lubavitcher</t>
  </si>
  <si>
    <t>Yatsenyuk</t>
  </si>
  <si>
    <t>Jewishne</t>
  </si>
  <si>
    <t>Strauss-Kahn, 62, had been confined for weeks to a luxury New York City townhouse on $6 million bail after his arrest on attempted-rape charges that forced his resignation as head of the International Monetary Fund and appeared to destroy any hope he had of running for president of France next year.</t>
  </si>
  <si>
    <t>Strauss-Kahn</t>
  </si>
  <si>
    <t>Mrs. Cat reacted in anger to the amateur hypnosis by attacking the tool of the hypnosis, Marias finger.</t>
  </si>
  <si>
    <t>Cat</t>
  </si>
  <si>
    <t>Marias</t>
  </si>
  <si>
    <t>Christie reportedly wrote a letter in 2009 allying himself with anti-vaccine advocates who opposed "New Jersey's highest-in-the nation vaccine mandates.""I have met with families affected by autism from across the state and have been struck by their incredible grace and courage," Christie reportedly said then.</t>
  </si>
  <si>
    <t>New Jersey's</t>
  </si>
  <si>
    <t>The governments treatment of Mr. Manning reinforces for us sadly that Assange is in severe legal jeopardy in the United States," Pollack added.</t>
  </si>
  <si>
    <t>Manning</t>
  </si>
  <si>
    <t>Assange</t>
  </si>
  <si>
    <t>Conway was also criticized for using her position during a Feb. 9 interview on Fox News to endorse Ivanka Trumpâ€™s fashion products.</t>
  </si>
  <si>
    <t>Conway</t>
  </si>
  <si>
    <t>Ivanka Trumpâ€™s</t>
  </si>
  <si>
    <t xml:space="preserve"> Like shipwrecked mariners clinging to a floating mast, many Republicans rationalize supporting Donald Trump because of â€œthe court.</t>
  </si>
  <si>
    <t>Democratic strategists involved in House and Senate races said they envisioned Mr. Trumpâ€™s collapse precipitating a broad shift in the political landscape, with tossup races moving firmly into their hands, and campaigns that were once long shots suddenly becoming competitive.</t>
  </si>
  <si>
    <t>Trumpâ€™s failing presidency has the GOP in a free fall Michael Gerson:</t>
  </si>
  <si>
    <t>Michael Gerson</t>
  </si>
  <si>
    <t>all the Irish squad, Gilroy has been impressed with the coaching philosophy of Schmidt who is about to head into his first Six Nations in charge of the national team."Joe's been very impressive so far, the detail he goes into one-on-one with the guys," said Gilroy."He doesn't miss anything, he's a real perfectionist and the level of detail is</t>
  </si>
  <si>
    <t>Gilroy</t>
  </si>
  <si>
    <t>Trump initially praised Mattis for his service in a tweet, writing that he would be retiring with distinction and that he was responsible for making tremendous progress toward Trumps objectives during his two-year tenure.</t>
  </si>
  <si>
    <t>Mattis</t>
  </si>
  <si>
    <t>Matti</t>
  </si>
  <si>
    <t>But McConnell said Obama could ultimately win broad Republican support if Republicans are provided a fair opportunity to shape</t>
  </si>
  <si>
    <t>Reps. Bradley Byrne ( .) and Virginia Foxx ( . C.) are leading the charge to kill Labor Department regulations using the CRA.</t>
  </si>
  <si>
    <t>Bradley Byrne</t>
  </si>
  <si>
    <t>Virginia Foxx</t>
  </si>
  <si>
    <t>Labor Department</t>
  </si>
  <si>
    <t>That may be the difference in comparing media coverage, Tapper suggests, but agrees with Hewitt that the media has pressed Chris Christie much harder as the man at the top than they have Hillary Clinton as the woman at the top of the State Department when the attack on Benghazi succeeded.</t>
  </si>
  <si>
    <t>Tapper</t>
  </si>
  <si>
    <t>Hewitt</t>
  </si>
  <si>
    <t>During an emergency debate, pro-Brexit Tory MPs claimed the Heywood ruling could compromise the civil service</t>
  </si>
  <si>
    <t>pro-Brexit Tory MP</t>
  </si>
  <si>
    <t>Heywood</t>
  </si>
  <si>
    <t>Fact 1: The troops implicated in the abuse were French troops -- the SANGARIS operation -- deployed to the CAR in response to UN Security Council Resolution 2127.</t>
  </si>
  <si>
    <t>UN Security Council</t>
  </si>
  <si>
    <t>Piers Morgan sharply criticized Meryl Streepâ€™s Trump Lifetime Achievement Award acceptance speech at the Golden Globes Sunday night, calling it â€œhypocriticalâ€ and â€œthe worst performance of her career.</t>
  </si>
  <si>
    <t>Piers Morgan</t>
  </si>
  <si>
    <t>Meryl Streepâ€™s Trump</t>
  </si>
  <si>
    <t>Meryl Streepâ€™</t>
  </si>
  <si>
    <t>Diane Townes, a 62-year-old African American working in education, said the comments were another example of Trump shaming the victims.Pouting and blaming is not the way to show an example to young people, she said.</t>
  </si>
  <si>
    <t>Diane Townes</t>
  </si>
  <si>
    <t>African American</t>
  </si>
  <si>
    <t>The banks outgoing CFO, Bertrand Badre, last month warned analysts that a combination of rising loan losses in France, accounting losses on the banks own debt and a writedown on the value of brokerage joint-venture Newedge would eat up profits.</t>
  </si>
  <si>
    <t>Bertrand Badre</t>
  </si>
  <si>
    <t>Newedge</t>
  </si>
  <si>
    <t>the west will buy them, accusing with a bland PowerPoint presentation Iran of not adhering to the nuclear agreement and of running a secret nuclear program; he has allegedly</t>
  </si>
  <si>
    <t>PowerPoint</t>
  </si>
  <si>
    <t>Chief of Army Staff Raheel Sharif held a meeting with US ambassador David Hale and termed the attack detrimental to Pak-US relations.We never ever allowed Taliban and other militant groups to use Iranian soil, he said, adding Iran openly opposed rise of Taliban even 16 years ago.</t>
  </si>
  <si>
    <t>Raheel Sharif</t>
  </si>
  <si>
    <t>David Hale</t>
  </si>
  <si>
    <t>Ivory Coast is Francophone West Africa's economic powerhouse as well as being the world's top cocoa producer and it exports power to Ghana, Burkina Faso, Togo and Mali.</t>
  </si>
  <si>
    <t>Ivory Coast</t>
  </si>
  <si>
    <t>Ghana</t>
  </si>
  <si>
    <t>Mali</t>
  </si>
  <si>
    <t>Panamas delegate to the IWC conference, Tomas Guardia, denounced the South Korean proposal because it goes against the ban ...</t>
  </si>
  <si>
    <t>Panamas</t>
  </si>
  <si>
    <t>Tomas Guardia</t>
  </si>
  <si>
    <t>The sources, who asked not to be named, said Temer would no longer handle Rousseffs political relations with coalition allies, which have been tense due to corruption allegations and disagreement over budget cuts aimed at saving the countrys investment-grade credit rating.This will reinforce market worries about the government</t>
  </si>
  <si>
    <t>Temer</t>
  </si>
  <si>
    <t>Rousseffs</t>
  </si>
  <si>
    <t>Israel, which has previously accused Hamas militants of hiding in the hospital, again blamed an errant missile.</t>
  </si>
  <si>
    <t>During an appearance on Fox News "On the Record" Tuesday, Graham accused Obama of bypassing the intelligence community and the Department of Defense in making the swap.</t>
  </si>
  <si>
    <t>Graham</t>
  </si>
  <si>
    <t>the Department of Defense</t>
  </si>
  <si>
    <t>Ahmad Jannati, 90, is a an outspoken critic of President Hassan Rouhani and his attempts to end Irans global isolation by normalising ties with the West.</t>
  </si>
  <si>
    <t>Ahmad Jannati</t>
  </si>
  <si>
    <t>Hassan Rouhani</t>
  </si>
  <si>
    <t>The Environmental Working Group, which has argued that the Udall-Vitter bill "will only make things worse," praised the Boxer-Markey effort.</t>
  </si>
  <si>
    <t>Udall</t>
  </si>
  <si>
    <t>The Environmental Working Group</t>
  </si>
  <si>
    <t>Boxer</t>
  </si>
  <si>
    <t>Udall-Vitter</t>
  </si>
  <si>
    <t>Natalie Portman scooped the award for best actress and The Fighter was triumphant with two wins for best supporting actor for Christian Bale and best supporting actress for Melissa Leo.</t>
  </si>
  <si>
    <t>Natalie Portman</t>
  </si>
  <si>
    <t>Christian Bale</t>
  </si>
  <si>
    <t>Melissa Leo</t>
  </si>
  <si>
    <t>Having rolled to victory on Election Day with a promise of change after eight turbulent years under Republican President George W. Bush, Democrats are under pressure to produce.</t>
  </si>
  <si>
    <t>Republican President George W. Bush</t>
  </si>
  <si>
    <t>The British-led offensive in Flanders aimed to break out of the Ypres Salient, capture the vital German rail hub of Roulers and ultimately take Ostend and Zeebrugge from where German submarines operated.</t>
  </si>
  <si>
    <t>Ostend and Zeebrugge</t>
  </si>
  <si>
    <t>The Israeli daily Haaretz wrote in an editorial that the attack could put Israel on a "steep and slippery slope" to increased tensions with Syria.</t>
  </si>
  <si>
    <t>Haaretz</t>
  </si>
  <si>
    <t>Even by the CBIs standards, this must count as a low point.The main opposition Congress party has attacked Prime Minister Narendra Modi for not doing enough to ensure the CBI remained a credible, unbiased and independent police agency.</t>
  </si>
  <si>
    <t>Minister Narendra Modi</t>
  </si>
  <si>
    <t>Narendra Modi</t>
  </si>
  <si>
    <t>They cited a debate within the Obama administration about striking the right balance between a limited cruise missile attack aimed at delivering a message about chemical weapons, and a broader attack that could be seen as a strong insertion of the United States into the Syrian civil war.</t>
  </si>
  <si>
    <t>The Trump administration is likely to start dismantling Obamaâ€™s federal climate policies, from the Clean Power Plan to methane rules, and that will be difficult to stop.</t>
  </si>
  <si>
    <t>Well, we do have challenges, but were not stupid.According to a McClatchy-Marist poll released Friday, only 3 percent of black voters nationally support Trump for president.</t>
  </si>
  <si>
    <t>McClatchy-Marist</t>
  </si>
  <si>
    <t>He was also fired from a season of "The Celebrity Apprentice."Hulk Hogan TMZ asked Hogan last year which 2016 Republican presidential candidate he would want to face in the ring, but instead of answering the question, he said he wanted to be Trump's running mate.</t>
  </si>
  <si>
    <t>"Hulk Hogan</t>
  </si>
  <si>
    <t>Hogan</t>
  </si>
  <si>
    <t>Mr. Band and an associate introduced top corporate executives to the former president, on the golf course and elsewhere, and then asked them to contribute money to the Clinton Foundation or attend the Clinton Global Initiative, an annual foundation event.</t>
  </si>
  <si>
    <t>Band</t>
  </si>
  <si>
    <t>the Clinton Foundation</t>
  </si>
  <si>
    <t>same_1</t>
  </si>
  <si>
    <t>same_2</t>
  </si>
  <si>
    <t>same_all</t>
  </si>
  <si>
    <t>their_in_mine_1</t>
  </si>
  <si>
    <t>their_in_mine_2</t>
  </si>
  <si>
    <t>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</si>
</sst>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
    <xf numFmtId="0" fontId="0" fillId="0" borderId="0" xfId="0"/>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0887E9A-E675-4EFB-BB74-085250F66F4C}" name="Table1" displayName="Table1" ref="A1:L1206" totalsRowShown="0">
  <autoFilter ref="A1:L1206" xr:uid="{20887E9A-E675-4EFB-BB74-085250F66F4C}">
    <filterColumn colId="10">
      <filters>
        <filter val="1"/>
      </filters>
    </filterColumn>
    <filterColumn colId="11">
      <filters>
        <filter val="1"/>
      </filters>
    </filterColumn>
  </autoFilter>
  <tableColumns count="12">
    <tableColumn id="1" xr3:uid="{B58C9F84-1414-46BC-A167-3E38A91D93C6}" name="sentense_clean"/>
    <tableColumn id="2" xr3:uid="{6A0CD965-3CBC-4340-8C40-A3F6FC7E3D1A}" name="my_ent_1"/>
    <tableColumn id="3" xr3:uid="{16AE841D-53F3-47D8-AA44-1906F4E936CA}" name="their_ent_1"/>
    <tableColumn id="4" xr3:uid="{7315D6EB-7E14-4ADA-B4D0-2E05E21F8575}" name="my_ent_2"/>
    <tableColumn id="5" xr3:uid="{CC1B2B1C-60ED-49FF-BF1C-28534147D834}" name="their_ent_2"/>
    <tableColumn id="6" xr3:uid="{6FA492A5-577B-422B-B3DD-E3CBAB66D55D}" name="label"/>
    <tableColumn id="10" xr3:uid="{83F6F1FD-1003-4C7E-88B7-0E391AA8C496}" name="index"/>
    <tableColumn id="7" xr3:uid="{E036ECE5-8814-47B4-8F4F-15A45146E344}" name="same_1" dataDxfId="4">
      <calculatedColumnFormula>IF(Table1[[#This Row],[my_ent_1]]=Table1[[#This Row],[their_ent_1]], 1, 0)</calculatedColumnFormula>
    </tableColumn>
    <tableColumn id="8" xr3:uid="{B1CCC3A2-4E6C-463E-B87A-821BCF13CCAF}" name="same_2" dataDxfId="3">
      <calculatedColumnFormula>IF(Table1[[#This Row],[my_ent_2]]=Table1[[#This Row],[their_ent_2]], 1, 0)</calculatedColumnFormula>
    </tableColumn>
    <tableColumn id="9" xr3:uid="{6D768923-83C3-493F-A02F-BBAC1219EEBF}" name="same_all" dataDxfId="2">
      <calculatedColumnFormula>IF(Table1[[#This Row],[same_1]]=1 &amp; Table1[[#This Row],[same_2]]=1, 1, 0)</calculatedColumnFormula>
    </tableColumn>
    <tableColumn id="11" xr3:uid="{7336CE3B-1610-462A-B232-414F40389968}" name="their_in_mine_1" dataDxfId="1">
      <calculatedColumnFormula>IF(ISNUMBER(SEARCH(Table1[[#This Row],[their_ent_1]],Table1[[#This Row],[my_ent_1]])), 1, 0)</calculatedColumnFormula>
    </tableColumn>
    <tableColumn id="12" xr3:uid="{38289BAE-706C-450F-B31B-8369B90C2747}" name="their_in_mine_2" dataDxfId="0">
      <calculatedColumnFormula>IF(ISNUMBER(SEARCH(Table1[[#This Row],[their_ent_2]],Table1[[#This Row],[my_ent_2]])), 1, 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7F5CB-77DA-4073-BDBF-6F2B75454851}">
  <dimension ref="A1:L1206"/>
  <sheetViews>
    <sheetView topLeftCell="C1" workbookViewId="0">
      <pane ySplit="1" topLeftCell="A1067" activePane="bottomLeft" state="frozen"/>
      <selection activeCell="B1" sqref="B1"/>
      <selection pane="bottomLeft" activeCell="G1" sqref="G1:G1198"/>
    </sheetView>
  </sheetViews>
  <sheetFormatPr defaultRowHeight="14.4" x14ac:dyDescent="0.3"/>
  <cols>
    <col min="1" max="1" width="129.5546875" customWidth="1"/>
    <col min="2" max="2" width="60.44140625" bestFit="1" customWidth="1"/>
    <col min="3" max="3" width="59.44140625" bestFit="1" customWidth="1"/>
    <col min="4" max="5" width="58.33203125" bestFit="1" customWidth="1"/>
    <col min="6" max="6" width="7.44140625" bestFit="1" customWidth="1"/>
    <col min="7" max="7" width="7.44140625" customWidth="1"/>
    <col min="8" max="9" width="9.6640625" bestFit="1" customWidth="1"/>
    <col min="10" max="10" width="10.77734375" customWidth="1"/>
    <col min="11" max="12" width="17.109375" bestFit="1" customWidth="1"/>
  </cols>
  <sheetData>
    <row r="1" spans="1:12" x14ac:dyDescent="0.3">
      <c r="A1" t="s">
        <v>0</v>
      </c>
      <c r="B1" t="s">
        <v>1</v>
      </c>
      <c r="C1" t="s">
        <v>2</v>
      </c>
      <c r="D1" t="s">
        <v>3</v>
      </c>
      <c r="E1" t="s">
        <v>4</v>
      </c>
      <c r="F1" t="s">
        <v>5</v>
      </c>
      <c r="G1" t="s">
        <v>3527</v>
      </c>
      <c r="H1" t="s">
        <v>3522</v>
      </c>
      <c r="I1" t="s">
        <v>3523</v>
      </c>
      <c r="J1" t="s">
        <v>3524</v>
      </c>
      <c r="K1" t="s">
        <v>3525</v>
      </c>
      <c r="L1" t="s">
        <v>3526</v>
      </c>
    </row>
    <row r="2" spans="1:12" hidden="1" x14ac:dyDescent="0.3">
      <c r="A2" t="s">
        <v>6</v>
      </c>
      <c r="B2" t="s">
        <v>7</v>
      </c>
      <c r="C2" t="s">
        <v>8</v>
      </c>
      <c r="D2" t="s">
        <v>9</v>
      </c>
      <c r="E2" t="s">
        <v>7</v>
      </c>
      <c r="F2">
        <v>0</v>
      </c>
      <c r="G2">
        <v>0</v>
      </c>
      <c r="H2">
        <f>IF(Table1[[#This Row],[my_ent_1]]=Table1[[#This Row],[their_ent_1]], 1, 0)</f>
        <v>0</v>
      </c>
      <c r="I2">
        <f>IF(Table1[[#This Row],[my_ent_2]]=Table1[[#This Row],[their_ent_2]], 1, 0)</f>
        <v>0</v>
      </c>
      <c r="J2">
        <f>IF(Table1[[#This Row],[same_1]]=1 &amp; Table1[[#This Row],[same_2]]=1, 1, 0)</f>
        <v>0</v>
      </c>
      <c r="K2">
        <f>IF(ISNUMBER(SEARCH(Table1[[#This Row],[their_ent_1]],Table1[[#This Row],[my_ent_1]])), 1, 0)</f>
        <v>0</v>
      </c>
      <c r="L2">
        <f>IF(ISNUMBER(SEARCH(Table1[[#This Row],[their_ent_2]],Table1[[#This Row],[my_ent_2]])), 1, 0)</f>
        <v>0</v>
      </c>
    </row>
    <row r="3" spans="1:12" hidden="1" x14ac:dyDescent="0.3">
      <c r="A3" t="s">
        <v>10</v>
      </c>
      <c r="B3" t="s">
        <v>11</v>
      </c>
      <c r="C3" t="s">
        <v>12</v>
      </c>
      <c r="D3" t="s">
        <v>12</v>
      </c>
      <c r="E3" t="s">
        <v>13</v>
      </c>
      <c r="F3">
        <v>0</v>
      </c>
      <c r="G3">
        <v>1</v>
      </c>
      <c r="H3">
        <f>IF(Table1[[#This Row],[my_ent_1]]=Table1[[#This Row],[their_ent_1]], 1, 0)</f>
        <v>0</v>
      </c>
      <c r="I3">
        <f>IF(Table1[[#This Row],[my_ent_2]]=Table1[[#This Row],[their_ent_2]], 1, 0)</f>
        <v>0</v>
      </c>
      <c r="J3">
        <f>IF(Table1[[#This Row],[same_1]]=1 &amp; Table1[[#This Row],[same_2]]=1, 1, 0)</f>
        <v>0</v>
      </c>
      <c r="K3">
        <f>IF(ISNUMBER(SEARCH(Table1[[#This Row],[their_ent_1]],Table1[[#This Row],[my_ent_1]])), 1, 0)</f>
        <v>0</v>
      </c>
      <c r="L3">
        <f>IF(ISNUMBER(SEARCH(Table1[[#This Row],[their_ent_2]],Table1[[#This Row],[my_ent_2]])), 1, 0)</f>
        <v>0</v>
      </c>
    </row>
    <row r="4" spans="1:12" hidden="1" x14ac:dyDescent="0.3">
      <c r="A4" t="s">
        <v>14</v>
      </c>
      <c r="B4" t="s">
        <v>15</v>
      </c>
      <c r="C4" t="s">
        <v>16</v>
      </c>
      <c r="D4" t="s">
        <v>17</v>
      </c>
      <c r="E4" t="s">
        <v>17</v>
      </c>
      <c r="F4">
        <v>0</v>
      </c>
      <c r="G4">
        <v>2</v>
      </c>
      <c r="H4">
        <f>IF(Table1[[#This Row],[my_ent_1]]=Table1[[#This Row],[their_ent_1]], 1, 0)</f>
        <v>0</v>
      </c>
      <c r="I4">
        <f>IF(Table1[[#This Row],[my_ent_2]]=Table1[[#This Row],[their_ent_2]], 1, 0)</f>
        <v>1</v>
      </c>
      <c r="J4">
        <f>IF(Table1[[#This Row],[same_1]]=1 &amp; Table1[[#This Row],[same_2]]=1, 1, 0)</f>
        <v>0</v>
      </c>
      <c r="K4">
        <f>IF(ISNUMBER(SEARCH(Table1[[#This Row],[their_ent_1]],Table1[[#This Row],[my_ent_1]])), 1, 0)</f>
        <v>0</v>
      </c>
      <c r="L4">
        <f>IF(ISNUMBER(SEARCH(Table1[[#This Row],[their_ent_2]],Table1[[#This Row],[my_ent_2]])), 1, 0)</f>
        <v>1</v>
      </c>
    </row>
    <row r="5" spans="1:12" hidden="1" x14ac:dyDescent="0.3">
      <c r="A5" t="s">
        <v>18</v>
      </c>
      <c r="B5" t="s">
        <v>19</v>
      </c>
      <c r="C5" t="s">
        <v>20</v>
      </c>
      <c r="D5" t="s">
        <v>21</v>
      </c>
      <c r="E5" t="s">
        <v>22</v>
      </c>
      <c r="F5">
        <v>0</v>
      </c>
      <c r="G5">
        <v>3</v>
      </c>
      <c r="H5">
        <f>IF(Table1[[#This Row],[my_ent_1]]=Table1[[#This Row],[their_ent_1]], 1, 0)</f>
        <v>0</v>
      </c>
      <c r="I5">
        <f>IF(Table1[[#This Row],[my_ent_2]]=Table1[[#This Row],[their_ent_2]], 1, 0)</f>
        <v>0</v>
      </c>
      <c r="J5">
        <f>IF(Table1[[#This Row],[same_1]]=1 &amp; Table1[[#This Row],[same_2]]=1, 1, 0)</f>
        <v>0</v>
      </c>
      <c r="K5">
        <f>IF(ISNUMBER(SEARCH(Table1[[#This Row],[their_ent_1]],Table1[[#This Row],[my_ent_1]])), 1, 0)</f>
        <v>0</v>
      </c>
      <c r="L5">
        <f>IF(ISNUMBER(SEARCH(Table1[[#This Row],[their_ent_2]],Table1[[#This Row],[my_ent_2]])), 1, 0)</f>
        <v>0</v>
      </c>
    </row>
    <row r="6" spans="1:12" hidden="1" x14ac:dyDescent="0.3">
      <c r="A6" t="s">
        <v>23</v>
      </c>
      <c r="B6" t="s">
        <v>24</v>
      </c>
      <c r="C6" t="s">
        <v>24</v>
      </c>
      <c r="D6" t="s">
        <v>25</v>
      </c>
      <c r="E6" t="s">
        <v>26</v>
      </c>
      <c r="F6">
        <v>0</v>
      </c>
      <c r="G6">
        <v>4</v>
      </c>
      <c r="H6">
        <f>IF(Table1[[#This Row],[my_ent_1]]=Table1[[#This Row],[their_ent_1]], 1, 0)</f>
        <v>1</v>
      </c>
      <c r="I6">
        <f>IF(Table1[[#This Row],[my_ent_2]]=Table1[[#This Row],[their_ent_2]], 1, 0)</f>
        <v>0</v>
      </c>
      <c r="J6">
        <f>IF(Table1[[#This Row],[same_1]]=1 &amp; Table1[[#This Row],[same_2]]=1, 1, 0)</f>
        <v>0</v>
      </c>
      <c r="K6">
        <f>IF(ISNUMBER(SEARCH(Table1[[#This Row],[their_ent_1]],Table1[[#This Row],[my_ent_1]])), 1, 0)</f>
        <v>1</v>
      </c>
      <c r="L6">
        <f>IF(ISNUMBER(SEARCH(Table1[[#This Row],[their_ent_2]],Table1[[#This Row],[my_ent_2]])), 1, 0)</f>
        <v>0</v>
      </c>
    </row>
    <row r="7" spans="1:12" hidden="1" x14ac:dyDescent="0.3">
      <c r="A7" t="s">
        <v>27</v>
      </c>
      <c r="B7" t="s">
        <v>28</v>
      </c>
      <c r="C7" t="s">
        <v>29</v>
      </c>
      <c r="D7" t="s">
        <v>30</v>
      </c>
      <c r="E7" t="s">
        <v>31</v>
      </c>
      <c r="F7">
        <v>0</v>
      </c>
      <c r="G7">
        <v>5</v>
      </c>
      <c r="H7">
        <f>IF(Table1[[#This Row],[my_ent_1]]=Table1[[#This Row],[their_ent_1]], 1, 0)</f>
        <v>0</v>
      </c>
      <c r="I7">
        <f>IF(Table1[[#This Row],[my_ent_2]]=Table1[[#This Row],[their_ent_2]], 1, 0)</f>
        <v>0</v>
      </c>
      <c r="J7">
        <f>IF(Table1[[#This Row],[same_1]]=1 &amp; Table1[[#This Row],[same_2]]=1, 1, 0)</f>
        <v>0</v>
      </c>
      <c r="K7">
        <f>IF(ISNUMBER(SEARCH(Table1[[#This Row],[their_ent_1]],Table1[[#This Row],[my_ent_1]])), 1, 0)</f>
        <v>0</v>
      </c>
      <c r="L7">
        <f>IF(ISNUMBER(SEARCH(Table1[[#This Row],[their_ent_2]],Table1[[#This Row],[my_ent_2]])), 1, 0)</f>
        <v>0</v>
      </c>
    </row>
    <row r="8" spans="1:12" hidden="1" x14ac:dyDescent="0.3">
      <c r="A8" t="s">
        <v>32</v>
      </c>
      <c r="B8" t="s">
        <v>33</v>
      </c>
      <c r="C8" t="s">
        <v>33</v>
      </c>
      <c r="D8" t="s">
        <v>30</v>
      </c>
      <c r="E8" t="s">
        <v>34</v>
      </c>
      <c r="F8">
        <v>0</v>
      </c>
      <c r="G8">
        <v>6</v>
      </c>
      <c r="H8">
        <f>IF(Table1[[#This Row],[my_ent_1]]=Table1[[#This Row],[their_ent_1]], 1, 0)</f>
        <v>1</v>
      </c>
      <c r="I8">
        <f>IF(Table1[[#This Row],[my_ent_2]]=Table1[[#This Row],[their_ent_2]], 1, 0)</f>
        <v>0</v>
      </c>
      <c r="J8">
        <f>IF(Table1[[#This Row],[same_1]]=1 &amp; Table1[[#This Row],[same_2]]=1, 1, 0)</f>
        <v>0</v>
      </c>
      <c r="K8">
        <f>IF(ISNUMBER(SEARCH(Table1[[#This Row],[their_ent_1]],Table1[[#This Row],[my_ent_1]])), 1, 0)</f>
        <v>1</v>
      </c>
      <c r="L8">
        <f>IF(ISNUMBER(SEARCH(Table1[[#This Row],[their_ent_2]],Table1[[#This Row],[my_ent_2]])), 1, 0)</f>
        <v>0</v>
      </c>
    </row>
    <row r="9" spans="1:12" hidden="1" x14ac:dyDescent="0.3">
      <c r="A9" t="s">
        <v>35</v>
      </c>
      <c r="B9" t="s">
        <v>36</v>
      </c>
      <c r="C9" t="s">
        <v>36</v>
      </c>
      <c r="D9" t="s">
        <v>37</v>
      </c>
      <c r="E9" t="s">
        <v>38</v>
      </c>
      <c r="F9">
        <v>0</v>
      </c>
      <c r="G9">
        <v>7</v>
      </c>
      <c r="H9">
        <f>IF(Table1[[#This Row],[my_ent_1]]=Table1[[#This Row],[their_ent_1]], 1, 0)</f>
        <v>1</v>
      </c>
      <c r="I9">
        <f>IF(Table1[[#This Row],[my_ent_2]]=Table1[[#This Row],[their_ent_2]], 1, 0)</f>
        <v>0</v>
      </c>
      <c r="J9">
        <f>IF(Table1[[#This Row],[same_1]]=1 &amp; Table1[[#This Row],[same_2]]=1, 1, 0)</f>
        <v>0</v>
      </c>
      <c r="K9">
        <f>IF(ISNUMBER(SEARCH(Table1[[#This Row],[their_ent_1]],Table1[[#This Row],[my_ent_1]])), 1, 0)</f>
        <v>1</v>
      </c>
      <c r="L9">
        <f>IF(ISNUMBER(SEARCH(Table1[[#This Row],[their_ent_2]],Table1[[#This Row],[my_ent_2]])), 1, 0)</f>
        <v>0</v>
      </c>
    </row>
    <row r="10" spans="1:12" hidden="1" x14ac:dyDescent="0.3">
      <c r="A10" t="s">
        <v>39</v>
      </c>
      <c r="B10" t="s">
        <v>40</v>
      </c>
      <c r="C10" t="s">
        <v>40</v>
      </c>
      <c r="D10" t="s">
        <v>41</v>
      </c>
      <c r="E10" t="s">
        <v>42</v>
      </c>
      <c r="F10">
        <v>0</v>
      </c>
      <c r="G10">
        <v>8</v>
      </c>
      <c r="H10">
        <f>IF(Table1[[#This Row],[my_ent_1]]=Table1[[#This Row],[their_ent_1]], 1, 0)</f>
        <v>1</v>
      </c>
      <c r="I10">
        <f>IF(Table1[[#This Row],[my_ent_2]]=Table1[[#This Row],[their_ent_2]], 1, 0)</f>
        <v>0</v>
      </c>
      <c r="J10">
        <f>IF(Table1[[#This Row],[same_1]]=1 &amp; Table1[[#This Row],[same_2]]=1, 1, 0)</f>
        <v>0</v>
      </c>
      <c r="K10">
        <f>IF(ISNUMBER(SEARCH(Table1[[#This Row],[their_ent_1]],Table1[[#This Row],[my_ent_1]])), 1, 0)</f>
        <v>1</v>
      </c>
      <c r="L10">
        <f>IF(ISNUMBER(SEARCH(Table1[[#This Row],[their_ent_2]],Table1[[#This Row],[my_ent_2]])), 1, 0)</f>
        <v>0</v>
      </c>
    </row>
    <row r="11" spans="1:12" hidden="1" x14ac:dyDescent="0.3">
      <c r="A11" t="s">
        <v>43</v>
      </c>
      <c r="B11" t="s">
        <v>44</v>
      </c>
      <c r="C11" t="s">
        <v>45</v>
      </c>
      <c r="D11" t="s">
        <v>46</v>
      </c>
      <c r="E11" t="s">
        <v>47</v>
      </c>
      <c r="F11">
        <v>0</v>
      </c>
      <c r="G11">
        <v>9</v>
      </c>
      <c r="H11">
        <f>IF(Table1[[#This Row],[my_ent_1]]=Table1[[#This Row],[their_ent_1]], 1, 0)</f>
        <v>0</v>
      </c>
      <c r="I11">
        <f>IF(Table1[[#This Row],[my_ent_2]]=Table1[[#This Row],[their_ent_2]], 1, 0)</f>
        <v>0</v>
      </c>
      <c r="J11">
        <f>IF(Table1[[#This Row],[same_1]]=1 &amp; Table1[[#This Row],[same_2]]=1, 1, 0)</f>
        <v>0</v>
      </c>
      <c r="K11">
        <f>IF(ISNUMBER(SEARCH(Table1[[#This Row],[their_ent_1]],Table1[[#This Row],[my_ent_1]])), 1, 0)</f>
        <v>0</v>
      </c>
      <c r="L11">
        <f>IF(ISNUMBER(SEARCH(Table1[[#This Row],[their_ent_2]],Table1[[#This Row],[my_ent_2]])), 1, 0)</f>
        <v>0</v>
      </c>
    </row>
    <row r="12" spans="1:12" hidden="1" x14ac:dyDescent="0.3">
      <c r="A12" t="s">
        <v>48</v>
      </c>
      <c r="B12" t="s">
        <v>49</v>
      </c>
      <c r="C12" t="s">
        <v>50</v>
      </c>
      <c r="D12" t="s">
        <v>51</v>
      </c>
      <c r="E12" t="s">
        <v>52</v>
      </c>
      <c r="F12">
        <v>0</v>
      </c>
      <c r="G12">
        <v>10</v>
      </c>
      <c r="H12">
        <f>IF(Table1[[#This Row],[my_ent_1]]=Table1[[#This Row],[their_ent_1]], 1, 0)</f>
        <v>0</v>
      </c>
      <c r="I12">
        <f>IF(Table1[[#This Row],[my_ent_2]]=Table1[[#This Row],[their_ent_2]], 1, 0)</f>
        <v>0</v>
      </c>
      <c r="J12">
        <f>IF(Table1[[#This Row],[same_1]]=1 &amp; Table1[[#This Row],[same_2]]=1, 1, 0)</f>
        <v>0</v>
      </c>
      <c r="K12">
        <f>IF(ISNUMBER(SEARCH(Table1[[#This Row],[their_ent_1]],Table1[[#This Row],[my_ent_1]])), 1, 0)</f>
        <v>0</v>
      </c>
      <c r="L12">
        <f>IF(ISNUMBER(SEARCH(Table1[[#This Row],[their_ent_2]],Table1[[#This Row],[my_ent_2]])), 1, 0)</f>
        <v>0</v>
      </c>
    </row>
    <row r="13" spans="1:12" hidden="1" x14ac:dyDescent="0.3">
      <c r="A13" t="s">
        <v>53</v>
      </c>
      <c r="B13" t="s">
        <v>54</v>
      </c>
      <c r="C13" t="s">
        <v>55</v>
      </c>
      <c r="D13" t="s">
        <v>54</v>
      </c>
      <c r="E13" t="s">
        <v>56</v>
      </c>
      <c r="F13">
        <v>0</v>
      </c>
      <c r="G13">
        <v>11</v>
      </c>
      <c r="H13">
        <f>IF(Table1[[#This Row],[my_ent_1]]=Table1[[#This Row],[their_ent_1]], 1, 0)</f>
        <v>0</v>
      </c>
      <c r="I13">
        <f>IF(Table1[[#This Row],[my_ent_2]]=Table1[[#This Row],[their_ent_2]], 1, 0)</f>
        <v>0</v>
      </c>
      <c r="J13">
        <f>IF(Table1[[#This Row],[same_1]]=1 &amp; Table1[[#This Row],[same_2]]=1, 1, 0)</f>
        <v>0</v>
      </c>
      <c r="K13">
        <f>IF(ISNUMBER(SEARCH(Table1[[#This Row],[their_ent_1]],Table1[[#This Row],[my_ent_1]])), 1, 0)</f>
        <v>0</v>
      </c>
      <c r="L13">
        <f>IF(ISNUMBER(SEARCH(Table1[[#This Row],[their_ent_2]],Table1[[#This Row],[my_ent_2]])), 1, 0)</f>
        <v>0</v>
      </c>
    </row>
    <row r="14" spans="1:12" hidden="1" x14ac:dyDescent="0.3">
      <c r="A14" t="s">
        <v>57</v>
      </c>
      <c r="B14" t="s">
        <v>58</v>
      </c>
      <c r="C14" t="s">
        <v>58</v>
      </c>
      <c r="D14" t="s">
        <v>59</v>
      </c>
      <c r="E14" t="s">
        <v>60</v>
      </c>
      <c r="F14">
        <v>0</v>
      </c>
      <c r="G14">
        <v>12</v>
      </c>
      <c r="H14">
        <f>IF(Table1[[#This Row],[my_ent_1]]=Table1[[#This Row],[their_ent_1]], 1, 0)</f>
        <v>1</v>
      </c>
      <c r="I14">
        <f>IF(Table1[[#This Row],[my_ent_2]]=Table1[[#This Row],[their_ent_2]], 1, 0)</f>
        <v>0</v>
      </c>
      <c r="J14">
        <f>IF(Table1[[#This Row],[same_1]]=1 &amp; Table1[[#This Row],[same_2]]=1, 1, 0)</f>
        <v>0</v>
      </c>
      <c r="K14">
        <f>IF(ISNUMBER(SEARCH(Table1[[#This Row],[their_ent_1]],Table1[[#This Row],[my_ent_1]])), 1, 0)</f>
        <v>1</v>
      </c>
      <c r="L14">
        <f>IF(ISNUMBER(SEARCH(Table1[[#This Row],[their_ent_2]],Table1[[#This Row],[my_ent_2]])), 1, 0)</f>
        <v>0</v>
      </c>
    </row>
    <row r="15" spans="1:12" hidden="1" x14ac:dyDescent="0.3">
      <c r="A15" t="s">
        <v>61</v>
      </c>
      <c r="B15" t="s">
        <v>62</v>
      </c>
      <c r="C15" t="s">
        <v>63</v>
      </c>
      <c r="D15" t="s">
        <v>7</v>
      </c>
      <c r="E15" t="s">
        <v>7</v>
      </c>
      <c r="F15">
        <v>0</v>
      </c>
      <c r="G15">
        <v>13</v>
      </c>
      <c r="H15">
        <f>IF(Table1[[#This Row],[my_ent_1]]=Table1[[#This Row],[their_ent_1]], 1, 0)</f>
        <v>0</v>
      </c>
      <c r="I15">
        <f>IF(Table1[[#This Row],[my_ent_2]]=Table1[[#This Row],[their_ent_2]], 1, 0)</f>
        <v>1</v>
      </c>
      <c r="J15">
        <f>IF(Table1[[#This Row],[same_1]]=1 &amp; Table1[[#This Row],[same_2]]=1, 1, 0)</f>
        <v>0</v>
      </c>
      <c r="K15">
        <f>IF(ISNUMBER(SEARCH(Table1[[#This Row],[their_ent_1]],Table1[[#This Row],[my_ent_1]])), 1, 0)</f>
        <v>0</v>
      </c>
      <c r="L15">
        <f>IF(ISNUMBER(SEARCH(Table1[[#This Row],[their_ent_2]],Table1[[#This Row],[my_ent_2]])), 1, 0)</f>
        <v>1</v>
      </c>
    </row>
    <row r="16" spans="1:12" hidden="1" x14ac:dyDescent="0.3">
      <c r="A16" t="s">
        <v>64</v>
      </c>
      <c r="B16" t="s">
        <v>65</v>
      </c>
      <c r="C16" t="s">
        <v>66</v>
      </c>
      <c r="D16" t="s">
        <v>7</v>
      </c>
      <c r="E16" t="s">
        <v>7</v>
      </c>
      <c r="F16">
        <v>0</v>
      </c>
      <c r="G16">
        <v>14</v>
      </c>
      <c r="H16">
        <f>IF(Table1[[#This Row],[my_ent_1]]=Table1[[#This Row],[their_ent_1]], 1, 0)</f>
        <v>0</v>
      </c>
      <c r="I16">
        <f>IF(Table1[[#This Row],[my_ent_2]]=Table1[[#This Row],[their_ent_2]], 1, 0)</f>
        <v>1</v>
      </c>
      <c r="J16">
        <f>IF(Table1[[#This Row],[same_1]]=1 &amp; Table1[[#This Row],[same_2]]=1, 1, 0)</f>
        <v>0</v>
      </c>
      <c r="K16">
        <f>IF(ISNUMBER(SEARCH(Table1[[#This Row],[their_ent_1]],Table1[[#This Row],[my_ent_1]])), 1, 0)</f>
        <v>0</v>
      </c>
      <c r="L16">
        <f>IF(ISNUMBER(SEARCH(Table1[[#This Row],[their_ent_2]],Table1[[#This Row],[my_ent_2]])), 1, 0)</f>
        <v>1</v>
      </c>
    </row>
    <row r="17" spans="1:12" hidden="1" x14ac:dyDescent="0.3">
      <c r="A17" t="s">
        <v>67</v>
      </c>
      <c r="B17" t="s">
        <v>68</v>
      </c>
      <c r="C17" t="s">
        <v>68</v>
      </c>
      <c r="D17" t="s">
        <v>69</v>
      </c>
      <c r="E17" t="s">
        <v>70</v>
      </c>
      <c r="F17">
        <v>0</v>
      </c>
      <c r="G17">
        <v>15</v>
      </c>
      <c r="H17">
        <f>IF(Table1[[#This Row],[my_ent_1]]=Table1[[#This Row],[their_ent_1]], 1, 0)</f>
        <v>1</v>
      </c>
      <c r="I17">
        <f>IF(Table1[[#This Row],[my_ent_2]]=Table1[[#This Row],[their_ent_2]], 1, 0)</f>
        <v>0</v>
      </c>
      <c r="J17">
        <f>IF(Table1[[#This Row],[same_1]]=1 &amp; Table1[[#This Row],[same_2]]=1, 1, 0)</f>
        <v>0</v>
      </c>
      <c r="K17">
        <f>IF(ISNUMBER(SEARCH(Table1[[#This Row],[their_ent_1]],Table1[[#This Row],[my_ent_1]])), 1, 0)</f>
        <v>1</v>
      </c>
      <c r="L17">
        <f>IF(ISNUMBER(SEARCH(Table1[[#This Row],[their_ent_2]],Table1[[#This Row],[my_ent_2]])), 1, 0)</f>
        <v>0</v>
      </c>
    </row>
    <row r="18" spans="1:12" hidden="1" x14ac:dyDescent="0.3">
      <c r="A18" t="s">
        <v>71</v>
      </c>
      <c r="B18" t="s">
        <v>7</v>
      </c>
      <c r="C18" t="s">
        <v>72</v>
      </c>
      <c r="D18" t="s">
        <v>73</v>
      </c>
      <c r="E18" t="s">
        <v>73</v>
      </c>
      <c r="F18">
        <v>0</v>
      </c>
      <c r="G18">
        <v>16</v>
      </c>
      <c r="H18">
        <f>IF(Table1[[#This Row],[my_ent_1]]=Table1[[#This Row],[their_ent_1]], 1, 0)</f>
        <v>0</v>
      </c>
      <c r="I18">
        <f>IF(Table1[[#This Row],[my_ent_2]]=Table1[[#This Row],[their_ent_2]], 1, 0)</f>
        <v>1</v>
      </c>
      <c r="J18">
        <f>IF(Table1[[#This Row],[same_1]]=1 &amp; Table1[[#This Row],[same_2]]=1, 1, 0)</f>
        <v>0</v>
      </c>
      <c r="K18">
        <f>IF(ISNUMBER(SEARCH(Table1[[#This Row],[their_ent_1]],Table1[[#This Row],[my_ent_1]])), 1, 0)</f>
        <v>0</v>
      </c>
      <c r="L18">
        <f>IF(ISNUMBER(SEARCH(Table1[[#This Row],[their_ent_2]],Table1[[#This Row],[my_ent_2]])), 1, 0)</f>
        <v>1</v>
      </c>
    </row>
    <row r="19" spans="1:12" hidden="1" x14ac:dyDescent="0.3">
      <c r="A19" t="s">
        <v>74</v>
      </c>
      <c r="B19" t="s">
        <v>75</v>
      </c>
      <c r="C19" t="s">
        <v>76</v>
      </c>
      <c r="D19" t="s">
        <v>76</v>
      </c>
      <c r="E19" t="s">
        <v>77</v>
      </c>
      <c r="F19">
        <v>0</v>
      </c>
      <c r="G19">
        <v>17</v>
      </c>
      <c r="H19">
        <f>IF(Table1[[#This Row],[my_ent_1]]=Table1[[#This Row],[their_ent_1]], 1, 0)</f>
        <v>0</v>
      </c>
      <c r="I19">
        <f>IF(Table1[[#This Row],[my_ent_2]]=Table1[[#This Row],[their_ent_2]], 1, 0)</f>
        <v>0</v>
      </c>
      <c r="J19">
        <f>IF(Table1[[#This Row],[same_1]]=1 &amp; Table1[[#This Row],[same_2]]=1, 1, 0)</f>
        <v>0</v>
      </c>
      <c r="K19">
        <f>IF(ISNUMBER(SEARCH(Table1[[#This Row],[their_ent_1]],Table1[[#This Row],[my_ent_1]])), 1, 0)</f>
        <v>0</v>
      </c>
      <c r="L19">
        <f>IF(ISNUMBER(SEARCH(Table1[[#This Row],[their_ent_2]],Table1[[#This Row],[my_ent_2]])), 1, 0)</f>
        <v>0</v>
      </c>
    </row>
    <row r="20" spans="1:12" hidden="1" x14ac:dyDescent="0.3">
      <c r="A20" t="s">
        <v>78</v>
      </c>
      <c r="B20" t="s">
        <v>79</v>
      </c>
      <c r="C20" t="s">
        <v>80</v>
      </c>
      <c r="D20" t="s">
        <v>81</v>
      </c>
      <c r="E20" t="s">
        <v>82</v>
      </c>
      <c r="F20">
        <v>0</v>
      </c>
      <c r="G20">
        <v>18</v>
      </c>
      <c r="H20">
        <f>IF(Table1[[#This Row],[my_ent_1]]=Table1[[#This Row],[their_ent_1]], 1, 0)</f>
        <v>0</v>
      </c>
      <c r="I20">
        <f>IF(Table1[[#This Row],[my_ent_2]]=Table1[[#This Row],[their_ent_2]], 1, 0)</f>
        <v>0</v>
      </c>
      <c r="J20">
        <f>IF(Table1[[#This Row],[same_1]]=1 &amp; Table1[[#This Row],[same_2]]=1, 1, 0)</f>
        <v>0</v>
      </c>
      <c r="K20">
        <f>IF(ISNUMBER(SEARCH(Table1[[#This Row],[their_ent_1]],Table1[[#This Row],[my_ent_1]])), 1, 0)</f>
        <v>0</v>
      </c>
      <c r="L20">
        <f>IF(ISNUMBER(SEARCH(Table1[[#This Row],[their_ent_2]],Table1[[#This Row],[my_ent_2]])), 1, 0)</f>
        <v>0</v>
      </c>
    </row>
    <row r="21" spans="1:12" x14ac:dyDescent="0.3">
      <c r="A21" t="s">
        <v>83</v>
      </c>
      <c r="B21" t="s">
        <v>84</v>
      </c>
      <c r="C21" t="s">
        <v>84</v>
      </c>
      <c r="D21" t="s">
        <v>85</v>
      </c>
      <c r="E21" t="s">
        <v>86</v>
      </c>
      <c r="F21">
        <v>0</v>
      </c>
      <c r="G21">
        <v>19</v>
      </c>
      <c r="H21">
        <f>IF(Table1[[#This Row],[my_ent_1]]=Table1[[#This Row],[their_ent_1]], 1, 0)</f>
        <v>1</v>
      </c>
      <c r="I21">
        <f>IF(Table1[[#This Row],[my_ent_2]]=Table1[[#This Row],[their_ent_2]], 1, 0)</f>
        <v>0</v>
      </c>
      <c r="J21">
        <f>IF(Table1[[#This Row],[same_1]]=1 &amp; Table1[[#This Row],[same_2]]=1, 1, 0)</f>
        <v>0</v>
      </c>
      <c r="K21">
        <f>IF(ISNUMBER(SEARCH(Table1[[#This Row],[their_ent_1]],Table1[[#This Row],[my_ent_1]])), 1, 0)</f>
        <v>1</v>
      </c>
      <c r="L21">
        <f>IF(ISNUMBER(SEARCH(Table1[[#This Row],[their_ent_2]],Table1[[#This Row],[my_ent_2]])), 1, 0)</f>
        <v>1</v>
      </c>
    </row>
    <row r="22" spans="1:12" hidden="1" x14ac:dyDescent="0.3">
      <c r="A22" t="s">
        <v>87</v>
      </c>
      <c r="B22" t="s">
        <v>88</v>
      </c>
      <c r="C22" t="s">
        <v>88</v>
      </c>
      <c r="D22" t="s">
        <v>89</v>
      </c>
      <c r="E22" t="s">
        <v>90</v>
      </c>
      <c r="F22">
        <v>0</v>
      </c>
      <c r="G22">
        <v>20</v>
      </c>
      <c r="H22">
        <f>IF(Table1[[#This Row],[my_ent_1]]=Table1[[#This Row],[their_ent_1]], 1, 0)</f>
        <v>1</v>
      </c>
      <c r="I22">
        <f>IF(Table1[[#This Row],[my_ent_2]]=Table1[[#This Row],[their_ent_2]], 1, 0)</f>
        <v>0</v>
      </c>
      <c r="J22">
        <f>IF(Table1[[#This Row],[same_1]]=1 &amp; Table1[[#This Row],[same_2]]=1, 1, 0)</f>
        <v>0</v>
      </c>
      <c r="K22">
        <f>IF(ISNUMBER(SEARCH(Table1[[#This Row],[their_ent_1]],Table1[[#This Row],[my_ent_1]])), 1, 0)</f>
        <v>1</v>
      </c>
      <c r="L22">
        <f>IF(ISNUMBER(SEARCH(Table1[[#This Row],[their_ent_2]],Table1[[#This Row],[my_ent_2]])), 1, 0)</f>
        <v>0</v>
      </c>
    </row>
    <row r="23" spans="1:12" hidden="1" x14ac:dyDescent="0.3">
      <c r="A23" t="s">
        <v>91</v>
      </c>
      <c r="B23" t="s">
        <v>92</v>
      </c>
      <c r="C23" t="s">
        <v>93</v>
      </c>
      <c r="D23" t="s">
        <v>94</v>
      </c>
      <c r="E23" t="s">
        <v>95</v>
      </c>
      <c r="F23">
        <v>0</v>
      </c>
      <c r="G23">
        <v>21</v>
      </c>
      <c r="H23">
        <f>IF(Table1[[#This Row],[my_ent_1]]=Table1[[#This Row],[their_ent_1]], 1, 0)</f>
        <v>0</v>
      </c>
      <c r="I23">
        <f>IF(Table1[[#This Row],[my_ent_2]]=Table1[[#This Row],[their_ent_2]], 1, 0)</f>
        <v>0</v>
      </c>
      <c r="J23">
        <f>IF(Table1[[#This Row],[same_1]]=1 &amp; Table1[[#This Row],[same_2]]=1, 1, 0)</f>
        <v>0</v>
      </c>
      <c r="K23">
        <f>IF(ISNUMBER(SEARCH(Table1[[#This Row],[their_ent_1]],Table1[[#This Row],[my_ent_1]])), 1, 0)</f>
        <v>0</v>
      </c>
      <c r="L23">
        <f>IF(ISNUMBER(SEARCH(Table1[[#This Row],[their_ent_2]],Table1[[#This Row],[my_ent_2]])), 1, 0)</f>
        <v>0</v>
      </c>
    </row>
    <row r="24" spans="1:12" hidden="1" x14ac:dyDescent="0.3">
      <c r="A24" t="s">
        <v>96</v>
      </c>
      <c r="B24" t="s">
        <v>97</v>
      </c>
      <c r="C24" t="s">
        <v>97</v>
      </c>
      <c r="D24" t="s">
        <v>98</v>
      </c>
      <c r="E24" t="s">
        <v>99</v>
      </c>
      <c r="F24">
        <v>0</v>
      </c>
      <c r="G24">
        <v>22</v>
      </c>
      <c r="H24">
        <f>IF(Table1[[#This Row],[my_ent_1]]=Table1[[#This Row],[their_ent_1]], 1, 0)</f>
        <v>1</v>
      </c>
      <c r="I24">
        <f>IF(Table1[[#This Row],[my_ent_2]]=Table1[[#This Row],[their_ent_2]], 1, 0)</f>
        <v>0</v>
      </c>
      <c r="J24">
        <f>IF(Table1[[#This Row],[same_1]]=1 &amp; Table1[[#This Row],[same_2]]=1, 1, 0)</f>
        <v>0</v>
      </c>
      <c r="K24">
        <f>IF(ISNUMBER(SEARCH(Table1[[#This Row],[their_ent_1]],Table1[[#This Row],[my_ent_1]])), 1, 0)</f>
        <v>1</v>
      </c>
      <c r="L24">
        <f>IF(ISNUMBER(SEARCH(Table1[[#This Row],[their_ent_2]],Table1[[#This Row],[my_ent_2]])), 1, 0)</f>
        <v>0</v>
      </c>
    </row>
    <row r="25" spans="1:12" hidden="1" x14ac:dyDescent="0.3">
      <c r="A25" t="s">
        <v>100</v>
      </c>
      <c r="B25" t="s">
        <v>101</v>
      </c>
      <c r="C25" t="s">
        <v>102</v>
      </c>
      <c r="D25" t="s">
        <v>103</v>
      </c>
      <c r="E25" t="s">
        <v>104</v>
      </c>
      <c r="F25">
        <v>0</v>
      </c>
      <c r="G25">
        <v>23</v>
      </c>
      <c r="H25">
        <f>IF(Table1[[#This Row],[my_ent_1]]=Table1[[#This Row],[their_ent_1]], 1, 0)</f>
        <v>0</v>
      </c>
      <c r="I25">
        <f>IF(Table1[[#This Row],[my_ent_2]]=Table1[[#This Row],[their_ent_2]], 1, 0)</f>
        <v>0</v>
      </c>
      <c r="J25">
        <f>IF(Table1[[#This Row],[same_1]]=1 &amp; Table1[[#This Row],[same_2]]=1, 1, 0)</f>
        <v>0</v>
      </c>
      <c r="K25">
        <f>IF(ISNUMBER(SEARCH(Table1[[#This Row],[their_ent_1]],Table1[[#This Row],[my_ent_1]])), 1, 0)</f>
        <v>0</v>
      </c>
      <c r="L25">
        <f>IF(ISNUMBER(SEARCH(Table1[[#This Row],[their_ent_2]],Table1[[#This Row],[my_ent_2]])), 1, 0)</f>
        <v>0</v>
      </c>
    </row>
    <row r="26" spans="1:12" hidden="1" x14ac:dyDescent="0.3">
      <c r="A26" t="s">
        <v>105</v>
      </c>
      <c r="B26" t="s">
        <v>29</v>
      </c>
      <c r="C26" t="s">
        <v>29</v>
      </c>
      <c r="D26" t="s">
        <v>106</v>
      </c>
      <c r="E26" t="s">
        <v>107</v>
      </c>
      <c r="F26">
        <v>0</v>
      </c>
      <c r="G26">
        <v>24</v>
      </c>
      <c r="H26">
        <f>IF(Table1[[#This Row],[my_ent_1]]=Table1[[#This Row],[their_ent_1]], 1, 0)</f>
        <v>1</v>
      </c>
      <c r="I26">
        <f>IF(Table1[[#This Row],[my_ent_2]]=Table1[[#This Row],[their_ent_2]], 1, 0)</f>
        <v>0</v>
      </c>
      <c r="J26">
        <f>IF(Table1[[#This Row],[same_1]]=1 &amp; Table1[[#This Row],[same_2]]=1, 1, 0)</f>
        <v>0</v>
      </c>
      <c r="K26">
        <f>IF(ISNUMBER(SEARCH(Table1[[#This Row],[their_ent_1]],Table1[[#This Row],[my_ent_1]])), 1, 0)</f>
        <v>1</v>
      </c>
      <c r="L26">
        <f>IF(ISNUMBER(SEARCH(Table1[[#This Row],[their_ent_2]],Table1[[#This Row],[my_ent_2]])), 1, 0)</f>
        <v>0</v>
      </c>
    </row>
    <row r="27" spans="1:12" hidden="1" x14ac:dyDescent="0.3">
      <c r="A27" t="s">
        <v>108</v>
      </c>
      <c r="B27" t="s">
        <v>109</v>
      </c>
      <c r="C27" t="s">
        <v>109</v>
      </c>
      <c r="D27" t="s">
        <v>54</v>
      </c>
      <c r="E27" t="s">
        <v>110</v>
      </c>
      <c r="F27">
        <v>0</v>
      </c>
      <c r="G27">
        <v>25</v>
      </c>
      <c r="H27">
        <f>IF(Table1[[#This Row],[my_ent_1]]=Table1[[#This Row],[their_ent_1]], 1, 0)</f>
        <v>1</v>
      </c>
      <c r="I27">
        <f>IF(Table1[[#This Row],[my_ent_2]]=Table1[[#This Row],[their_ent_2]], 1, 0)</f>
        <v>0</v>
      </c>
      <c r="J27">
        <f>IF(Table1[[#This Row],[same_1]]=1 &amp; Table1[[#This Row],[same_2]]=1, 1, 0)</f>
        <v>0</v>
      </c>
      <c r="K27">
        <f>IF(ISNUMBER(SEARCH(Table1[[#This Row],[their_ent_1]],Table1[[#This Row],[my_ent_1]])), 1, 0)</f>
        <v>1</v>
      </c>
      <c r="L27">
        <f>IF(ISNUMBER(SEARCH(Table1[[#This Row],[their_ent_2]],Table1[[#This Row],[my_ent_2]])), 1, 0)</f>
        <v>0</v>
      </c>
    </row>
    <row r="28" spans="1:12" hidden="1" x14ac:dyDescent="0.3">
      <c r="A28" t="s">
        <v>111</v>
      </c>
      <c r="B28" t="s">
        <v>112</v>
      </c>
      <c r="C28" t="s">
        <v>113</v>
      </c>
      <c r="D28" t="s">
        <v>114</v>
      </c>
      <c r="E28" t="s">
        <v>112</v>
      </c>
      <c r="F28">
        <v>0</v>
      </c>
      <c r="G28">
        <v>26</v>
      </c>
      <c r="H28">
        <f>IF(Table1[[#This Row],[my_ent_1]]=Table1[[#This Row],[their_ent_1]], 1, 0)</f>
        <v>0</v>
      </c>
      <c r="I28">
        <f>IF(Table1[[#This Row],[my_ent_2]]=Table1[[#This Row],[their_ent_2]], 1, 0)</f>
        <v>0</v>
      </c>
      <c r="J28">
        <f>IF(Table1[[#This Row],[same_1]]=1 &amp; Table1[[#This Row],[same_2]]=1, 1, 0)</f>
        <v>0</v>
      </c>
      <c r="K28">
        <f>IF(ISNUMBER(SEARCH(Table1[[#This Row],[their_ent_1]],Table1[[#This Row],[my_ent_1]])), 1, 0)</f>
        <v>0</v>
      </c>
      <c r="L28">
        <f>IF(ISNUMBER(SEARCH(Table1[[#This Row],[their_ent_2]],Table1[[#This Row],[my_ent_2]])), 1, 0)</f>
        <v>0</v>
      </c>
    </row>
    <row r="29" spans="1:12" hidden="1" x14ac:dyDescent="0.3">
      <c r="A29" t="s">
        <v>115</v>
      </c>
      <c r="B29" t="s">
        <v>116</v>
      </c>
      <c r="C29" t="s">
        <v>116</v>
      </c>
      <c r="D29" t="s">
        <v>36</v>
      </c>
      <c r="E29" t="s">
        <v>117</v>
      </c>
      <c r="F29">
        <v>0</v>
      </c>
      <c r="G29">
        <v>27</v>
      </c>
      <c r="H29">
        <f>IF(Table1[[#This Row],[my_ent_1]]=Table1[[#This Row],[their_ent_1]], 1, 0)</f>
        <v>1</v>
      </c>
      <c r="I29">
        <f>IF(Table1[[#This Row],[my_ent_2]]=Table1[[#This Row],[their_ent_2]], 1, 0)</f>
        <v>0</v>
      </c>
      <c r="J29">
        <f>IF(Table1[[#This Row],[same_1]]=1 &amp; Table1[[#This Row],[same_2]]=1, 1, 0)</f>
        <v>0</v>
      </c>
      <c r="K29">
        <f>IF(ISNUMBER(SEARCH(Table1[[#This Row],[their_ent_1]],Table1[[#This Row],[my_ent_1]])), 1, 0)</f>
        <v>1</v>
      </c>
      <c r="L29">
        <f>IF(ISNUMBER(SEARCH(Table1[[#This Row],[their_ent_2]],Table1[[#This Row],[my_ent_2]])), 1, 0)</f>
        <v>0</v>
      </c>
    </row>
    <row r="30" spans="1:12" hidden="1" x14ac:dyDescent="0.3">
      <c r="A30" t="s">
        <v>118</v>
      </c>
      <c r="B30" t="s">
        <v>119</v>
      </c>
      <c r="C30" t="s">
        <v>120</v>
      </c>
      <c r="D30" t="s">
        <v>121</v>
      </c>
      <c r="E30" t="s">
        <v>122</v>
      </c>
      <c r="F30">
        <v>0</v>
      </c>
      <c r="G30">
        <v>28</v>
      </c>
      <c r="H30">
        <f>IF(Table1[[#This Row],[my_ent_1]]=Table1[[#This Row],[their_ent_1]], 1, 0)</f>
        <v>0</v>
      </c>
      <c r="I30">
        <f>IF(Table1[[#This Row],[my_ent_2]]=Table1[[#This Row],[their_ent_2]], 1, 0)</f>
        <v>0</v>
      </c>
      <c r="J30">
        <f>IF(Table1[[#This Row],[same_1]]=1 &amp; Table1[[#This Row],[same_2]]=1, 1, 0)</f>
        <v>0</v>
      </c>
      <c r="K30">
        <f>IF(ISNUMBER(SEARCH(Table1[[#This Row],[their_ent_1]],Table1[[#This Row],[my_ent_1]])), 1, 0)</f>
        <v>0</v>
      </c>
      <c r="L30">
        <f>IF(ISNUMBER(SEARCH(Table1[[#This Row],[their_ent_2]],Table1[[#This Row],[my_ent_2]])), 1, 0)</f>
        <v>0</v>
      </c>
    </row>
    <row r="31" spans="1:12" hidden="1" x14ac:dyDescent="0.3">
      <c r="A31" t="s">
        <v>123</v>
      </c>
      <c r="B31" t="s">
        <v>124</v>
      </c>
      <c r="C31" t="s">
        <v>125</v>
      </c>
      <c r="D31" t="s">
        <v>126</v>
      </c>
      <c r="E31" t="s">
        <v>124</v>
      </c>
      <c r="F31">
        <v>0</v>
      </c>
      <c r="G31">
        <v>29</v>
      </c>
      <c r="H31">
        <f>IF(Table1[[#This Row],[my_ent_1]]=Table1[[#This Row],[their_ent_1]], 1, 0)</f>
        <v>0</v>
      </c>
      <c r="I31">
        <f>IF(Table1[[#This Row],[my_ent_2]]=Table1[[#This Row],[their_ent_2]], 1, 0)</f>
        <v>0</v>
      </c>
      <c r="J31">
        <f>IF(Table1[[#This Row],[same_1]]=1 &amp; Table1[[#This Row],[same_2]]=1, 1, 0)</f>
        <v>0</v>
      </c>
      <c r="K31">
        <f>IF(ISNUMBER(SEARCH(Table1[[#This Row],[their_ent_1]],Table1[[#This Row],[my_ent_1]])), 1, 0)</f>
        <v>0</v>
      </c>
      <c r="L31">
        <f>IF(ISNUMBER(SEARCH(Table1[[#This Row],[their_ent_2]],Table1[[#This Row],[my_ent_2]])), 1, 0)</f>
        <v>0</v>
      </c>
    </row>
    <row r="32" spans="1:12" hidden="1" x14ac:dyDescent="0.3">
      <c r="A32" t="s">
        <v>127</v>
      </c>
      <c r="B32" t="s">
        <v>128</v>
      </c>
      <c r="C32" t="s">
        <v>128</v>
      </c>
      <c r="D32" t="s">
        <v>129</v>
      </c>
      <c r="E32" t="s">
        <v>130</v>
      </c>
      <c r="F32">
        <v>0</v>
      </c>
      <c r="G32">
        <v>30</v>
      </c>
      <c r="H32">
        <f>IF(Table1[[#This Row],[my_ent_1]]=Table1[[#This Row],[their_ent_1]], 1, 0)</f>
        <v>1</v>
      </c>
      <c r="I32">
        <f>IF(Table1[[#This Row],[my_ent_2]]=Table1[[#This Row],[their_ent_2]], 1, 0)</f>
        <v>0</v>
      </c>
      <c r="J32">
        <f>IF(Table1[[#This Row],[same_1]]=1 &amp; Table1[[#This Row],[same_2]]=1, 1, 0)</f>
        <v>0</v>
      </c>
      <c r="K32">
        <f>IF(ISNUMBER(SEARCH(Table1[[#This Row],[their_ent_1]],Table1[[#This Row],[my_ent_1]])), 1, 0)</f>
        <v>1</v>
      </c>
      <c r="L32">
        <f>IF(ISNUMBER(SEARCH(Table1[[#This Row],[their_ent_2]],Table1[[#This Row],[my_ent_2]])), 1, 0)</f>
        <v>0</v>
      </c>
    </row>
    <row r="33" spans="1:12" hidden="1" x14ac:dyDescent="0.3">
      <c r="A33" t="s">
        <v>131</v>
      </c>
      <c r="B33" t="s">
        <v>132</v>
      </c>
      <c r="C33" t="s">
        <v>133</v>
      </c>
      <c r="D33" t="s">
        <v>134</v>
      </c>
      <c r="E33" t="s">
        <v>135</v>
      </c>
      <c r="F33">
        <v>0</v>
      </c>
      <c r="G33">
        <v>31</v>
      </c>
      <c r="H33">
        <f>IF(Table1[[#This Row],[my_ent_1]]=Table1[[#This Row],[their_ent_1]], 1, 0)</f>
        <v>0</v>
      </c>
      <c r="I33">
        <f>IF(Table1[[#This Row],[my_ent_2]]=Table1[[#This Row],[their_ent_2]], 1, 0)</f>
        <v>0</v>
      </c>
      <c r="J33">
        <f>IF(Table1[[#This Row],[same_1]]=1 &amp; Table1[[#This Row],[same_2]]=1, 1, 0)</f>
        <v>0</v>
      </c>
      <c r="K33">
        <f>IF(ISNUMBER(SEARCH(Table1[[#This Row],[their_ent_1]],Table1[[#This Row],[my_ent_1]])), 1, 0)</f>
        <v>0</v>
      </c>
      <c r="L33">
        <f>IF(ISNUMBER(SEARCH(Table1[[#This Row],[their_ent_2]],Table1[[#This Row],[my_ent_2]])), 1, 0)</f>
        <v>0</v>
      </c>
    </row>
    <row r="34" spans="1:12" hidden="1" x14ac:dyDescent="0.3">
      <c r="A34" t="s">
        <v>136</v>
      </c>
      <c r="B34" t="s">
        <v>137</v>
      </c>
      <c r="C34" t="s">
        <v>138</v>
      </c>
      <c r="D34" t="s">
        <v>139</v>
      </c>
      <c r="E34" t="s">
        <v>140</v>
      </c>
      <c r="F34">
        <v>0</v>
      </c>
      <c r="G34">
        <v>32</v>
      </c>
      <c r="H34">
        <f>IF(Table1[[#This Row],[my_ent_1]]=Table1[[#This Row],[their_ent_1]], 1, 0)</f>
        <v>0</v>
      </c>
      <c r="I34">
        <f>IF(Table1[[#This Row],[my_ent_2]]=Table1[[#This Row],[their_ent_2]], 1, 0)</f>
        <v>0</v>
      </c>
      <c r="J34">
        <f>IF(Table1[[#This Row],[same_1]]=1 &amp; Table1[[#This Row],[same_2]]=1, 1, 0)</f>
        <v>0</v>
      </c>
      <c r="K34">
        <f>IF(ISNUMBER(SEARCH(Table1[[#This Row],[their_ent_1]],Table1[[#This Row],[my_ent_1]])), 1, 0)</f>
        <v>1</v>
      </c>
      <c r="L34">
        <f>IF(ISNUMBER(SEARCH(Table1[[#This Row],[their_ent_2]],Table1[[#This Row],[my_ent_2]])), 1, 0)</f>
        <v>0</v>
      </c>
    </row>
    <row r="35" spans="1:12" x14ac:dyDescent="0.3">
      <c r="A35" t="s">
        <v>141</v>
      </c>
      <c r="B35" t="s">
        <v>142</v>
      </c>
      <c r="C35" t="s">
        <v>143</v>
      </c>
      <c r="D35" t="s">
        <v>144</v>
      </c>
      <c r="E35" t="s">
        <v>144</v>
      </c>
      <c r="F35">
        <v>0</v>
      </c>
      <c r="G35">
        <v>33</v>
      </c>
      <c r="H35">
        <f>IF(Table1[[#This Row],[my_ent_1]]=Table1[[#This Row],[their_ent_1]], 1, 0)</f>
        <v>0</v>
      </c>
      <c r="I35">
        <f>IF(Table1[[#This Row],[my_ent_2]]=Table1[[#This Row],[their_ent_2]], 1, 0)</f>
        <v>1</v>
      </c>
      <c r="J35">
        <f>IF(Table1[[#This Row],[same_1]]=1 &amp; Table1[[#This Row],[same_2]]=1, 1, 0)</f>
        <v>0</v>
      </c>
      <c r="K35">
        <f>IF(ISNUMBER(SEARCH(Table1[[#This Row],[their_ent_1]],Table1[[#This Row],[my_ent_1]])), 1, 0)</f>
        <v>1</v>
      </c>
      <c r="L35">
        <f>IF(ISNUMBER(SEARCH(Table1[[#This Row],[their_ent_2]],Table1[[#This Row],[my_ent_2]])), 1, 0)</f>
        <v>1</v>
      </c>
    </row>
    <row r="36" spans="1:12" hidden="1" x14ac:dyDescent="0.3">
      <c r="A36" t="s">
        <v>145</v>
      </c>
      <c r="B36" t="s">
        <v>7</v>
      </c>
      <c r="C36" t="s">
        <v>7</v>
      </c>
      <c r="D36" t="s">
        <v>106</v>
      </c>
      <c r="E36" t="s">
        <v>15</v>
      </c>
      <c r="F36">
        <v>0</v>
      </c>
      <c r="G36">
        <v>34</v>
      </c>
      <c r="H36">
        <f>IF(Table1[[#This Row],[my_ent_1]]=Table1[[#This Row],[their_ent_1]], 1, 0)</f>
        <v>1</v>
      </c>
      <c r="I36">
        <f>IF(Table1[[#This Row],[my_ent_2]]=Table1[[#This Row],[their_ent_2]], 1, 0)</f>
        <v>0</v>
      </c>
      <c r="J36">
        <f>IF(Table1[[#This Row],[same_1]]=1 &amp; Table1[[#This Row],[same_2]]=1, 1, 0)</f>
        <v>0</v>
      </c>
      <c r="K36">
        <f>IF(ISNUMBER(SEARCH(Table1[[#This Row],[their_ent_1]],Table1[[#This Row],[my_ent_1]])), 1, 0)</f>
        <v>1</v>
      </c>
      <c r="L36">
        <f>IF(ISNUMBER(SEARCH(Table1[[#This Row],[their_ent_2]],Table1[[#This Row],[my_ent_2]])), 1, 0)</f>
        <v>0</v>
      </c>
    </row>
    <row r="37" spans="1:12" hidden="1" x14ac:dyDescent="0.3">
      <c r="A37" t="s">
        <v>146</v>
      </c>
      <c r="B37" t="s">
        <v>147</v>
      </c>
      <c r="C37" t="s">
        <v>148</v>
      </c>
      <c r="D37" t="s">
        <v>149</v>
      </c>
      <c r="E37" t="s">
        <v>150</v>
      </c>
      <c r="F37">
        <v>0</v>
      </c>
      <c r="G37">
        <v>35</v>
      </c>
      <c r="H37">
        <f>IF(Table1[[#This Row],[my_ent_1]]=Table1[[#This Row],[their_ent_1]], 1, 0)</f>
        <v>0</v>
      </c>
      <c r="I37">
        <f>IF(Table1[[#This Row],[my_ent_2]]=Table1[[#This Row],[their_ent_2]], 1, 0)</f>
        <v>0</v>
      </c>
      <c r="J37">
        <f>IF(Table1[[#This Row],[same_1]]=1 &amp; Table1[[#This Row],[same_2]]=1, 1, 0)</f>
        <v>0</v>
      </c>
      <c r="K37">
        <f>IF(ISNUMBER(SEARCH(Table1[[#This Row],[their_ent_1]],Table1[[#This Row],[my_ent_1]])), 1, 0)</f>
        <v>0</v>
      </c>
      <c r="L37">
        <f>IF(ISNUMBER(SEARCH(Table1[[#This Row],[their_ent_2]],Table1[[#This Row],[my_ent_2]])), 1, 0)</f>
        <v>1</v>
      </c>
    </row>
    <row r="38" spans="1:12" hidden="1" x14ac:dyDescent="0.3">
      <c r="A38" t="s">
        <v>151</v>
      </c>
      <c r="B38" t="s">
        <v>152</v>
      </c>
      <c r="C38" t="s">
        <v>153</v>
      </c>
      <c r="D38" t="s">
        <v>154</v>
      </c>
      <c r="E38" t="s">
        <v>154</v>
      </c>
      <c r="F38">
        <v>0</v>
      </c>
      <c r="G38">
        <v>36</v>
      </c>
      <c r="H38">
        <f>IF(Table1[[#This Row],[my_ent_1]]=Table1[[#This Row],[their_ent_1]], 1, 0)</f>
        <v>0</v>
      </c>
      <c r="I38">
        <f>IF(Table1[[#This Row],[my_ent_2]]=Table1[[#This Row],[their_ent_2]], 1, 0)</f>
        <v>1</v>
      </c>
      <c r="J38">
        <f>IF(Table1[[#This Row],[same_1]]=1 &amp; Table1[[#This Row],[same_2]]=1, 1, 0)</f>
        <v>0</v>
      </c>
      <c r="K38">
        <f>IF(ISNUMBER(SEARCH(Table1[[#This Row],[their_ent_1]],Table1[[#This Row],[my_ent_1]])), 1, 0)</f>
        <v>0</v>
      </c>
      <c r="L38">
        <f>IF(ISNUMBER(SEARCH(Table1[[#This Row],[their_ent_2]],Table1[[#This Row],[my_ent_2]])), 1, 0)</f>
        <v>1</v>
      </c>
    </row>
    <row r="39" spans="1:12" hidden="1" x14ac:dyDescent="0.3">
      <c r="A39" t="s">
        <v>155</v>
      </c>
      <c r="B39" t="s">
        <v>156</v>
      </c>
      <c r="C39" t="s">
        <v>157</v>
      </c>
      <c r="D39" t="s">
        <v>158</v>
      </c>
      <c r="E39" t="s">
        <v>159</v>
      </c>
      <c r="F39">
        <v>0</v>
      </c>
      <c r="G39">
        <v>37</v>
      </c>
      <c r="H39">
        <f>IF(Table1[[#This Row],[my_ent_1]]=Table1[[#This Row],[their_ent_1]], 1, 0)</f>
        <v>0</v>
      </c>
      <c r="I39">
        <f>IF(Table1[[#This Row],[my_ent_2]]=Table1[[#This Row],[their_ent_2]], 1, 0)</f>
        <v>0</v>
      </c>
      <c r="J39">
        <f>IF(Table1[[#This Row],[same_1]]=1 &amp; Table1[[#This Row],[same_2]]=1, 1, 0)</f>
        <v>0</v>
      </c>
      <c r="K39">
        <f>IF(ISNUMBER(SEARCH(Table1[[#This Row],[their_ent_1]],Table1[[#This Row],[my_ent_1]])), 1, 0)</f>
        <v>0</v>
      </c>
      <c r="L39">
        <f>IF(ISNUMBER(SEARCH(Table1[[#This Row],[their_ent_2]],Table1[[#This Row],[my_ent_2]])), 1, 0)</f>
        <v>0</v>
      </c>
    </row>
    <row r="40" spans="1:12" hidden="1" x14ac:dyDescent="0.3">
      <c r="A40" t="s">
        <v>160</v>
      </c>
      <c r="B40" t="s">
        <v>161</v>
      </c>
      <c r="C40" t="s">
        <v>161</v>
      </c>
      <c r="D40" t="s">
        <v>54</v>
      </c>
      <c r="E40" t="s">
        <v>162</v>
      </c>
      <c r="F40">
        <v>0</v>
      </c>
      <c r="G40">
        <v>38</v>
      </c>
      <c r="H40">
        <f>IF(Table1[[#This Row],[my_ent_1]]=Table1[[#This Row],[their_ent_1]], 1, 0)</f>
        <v>1</v>
      </c>
      <c r="I40">
        <f>IF(Table1[[#This Row],[my_ent_2]]=Table1[[#This Row],[their_ent_2]], 1, 0)</f>
        <v>0</v>
      </c>
      <c r="J40">
        <f>IF(Table1[[#This Row],[same_1]]=1 &amp; Table1[[#This Row],[same_2]]=1, 1, 0)</f>
        <v>0</v>
      </c>
      <c r="K40">
        <f>IF(ISNUMBER(SEARCH(Table1[[#This Row],[their_ent_1]],Table1[[#This Row],[my_ent_1]])), 1, 0)</f>
        <v>1</v>
      </c>
      <c r="L40">
        <f>IF(ISNUMBER(SEARCH(Table1[[#This Row],[their_ent_2]],Table1[[#This Row],[my_ent_2]])), 1, 0)</f>
        <v>0</v>
      </c>
    </row>
    <row r="41" spans="1:12" hidden="1" x14ac:dyDescent="0.3">
      <c r="A41" t="s">
        <v>163</v>
      </c>
      <c r="B41" t="s">
        <v>164</v>
      </c>
      <c r="C41" t="s">
        <v>165</v>
      </c>
      <c r="D41" t="s">
        <v>166</v>
      </c>
      <c r="E41" t="s">
        <v>167</v>
      </c>
      <c r="F41">
        <v>0</v>
      </c>
      <c r="G41">
        <v>39</v>
      </c>
      <c r="H41">
        <f>IF(Table1[[#This Row],[my_ent_1]]=Table1[[#This Row],[their_ent_1]], 1, 0)</f>
        <v>0</v>
      </c>
      <c r="I41">
        <f>IF(Table1[[#This Row],[my_ent_2]]=Table1[[#This Row],[their_ent_2]], 1, 0)</f>
        <v>0</v>
      </c>
      <c r="J41">
        <f>IF(Table1[[#This Row],[same_1]]=1 &amp; Table1[[#This Row],[same_2]]=1, 1, 0)</f>
        <v>0</v>
      </c>
      <c r="K41">
        <f>IF(ISNUMBER(SEARCH(Table1[[#This Row],[their_ent_1]],Table1[[#This Row],[my_ent_1]])), 1, 0)</f>
        <v>0</v>
      </c>
      <c r="L41">
        <f>IF(ISNUMBER(SEARCH(Table1[[#This Row],[their_ent_2]],Table1[[#This Row],[my_ent_2]])), 1, 0)</f>
        <v>0</v>
      </c>
    </row>
    <row r="42" spans="1:12" hidden="1" x14ac:dyDescent="0.3">
      <c r="A42" t="s">
        <v>168</v>
      </c>
      <c r="B42" t="s">
        <v>169</v>
      </c>
      <c r="C42" t="s">
        <v>170</v>
      </c>
      <c r="D42" t="s">
        <v>171</v>
      </c>
      <c r="E42" t="s">
        <v>172</v>
      </c>
      <c r="F42">
        <v>0</v>
      </c>
      <c r="G42">
        <v>40</v>
      </c>
      <c r="H42">
        <f>IF(Table1[[#This Row],[my_ent_1]]=Table1[[#This Row],[their_ent_1]], 1, 0)</f>
        <v>0</v>
      </c>
      <c r="I42">
        <f>IF(Table1[[#This Row],[my_ent_2]]=Table1[[#This Row],[their_ent_2]], 1, 0)</f>
        <v>0</v>
      </c>
      <c r="J42">
        <f>IF(Table1[[#This Row],[same_1]]=1 &amp; Table1[[#This Row],[same_2]]=1, 1, 0)</f>
        <v>0</v>
      </c>
      <c r="K42">
        <f>IF(ISNUMBER(SEARCH(Table1[[#This Row],[their_ent_1]],Table1[[#This Row],[my_ent_1]])), 1, 0)</f>
        <v>0</v>
      </c>
      <c r="L42">
        <f>IF(ISNUMBER(SEARCH(Table1[[#This Row],[their_ent_2]],Table1[[#This Row],[my_ent_2]])), 1, 0)</f>
        <v>0</v>
      </c>
    </row>
    <row r="43" spans="1:12" hidden="1" x14ac:dyDescent="0.3">
      <c r="A43" t="s">
        <v>173</v>
      </c>
      <c r="B43" t="s">
        <v>174</v>
      </c>
      <c r="C43" t="s">
        <v>175</v>
      </c>
      <c r="D43" t="s">
        <v>176</v>
      </c>
      <c r="E43" t="s">
        <v>98</v>
      </c>
      <c r="F43">
        <v>0</v>
      </c>
      <c r="G43">
        <v>41</v>
      </c>
      <c r="H43">
        <f>IF(Table1[[#This Row],[my_ent_1]]=Table1[[#This Row],[their_ent_1]], 1, 0)</f>
        <v>0</v>
      </c>
      <c r="I43">
        <f>IF(Table1[[#This Row],[my_ent_2]]=Table1[[#This Row],[their_ent_2]], 1, 0)</f>
        <v>0</v>
      </c>
      <c r="J43">
        <f>IF(Table1[[#This Row],[same_1]]=1 &amp; Table1[[#This Row],[same_2]]=1, 1, 0)</f>
        <v>0</v>
      </c>
      <c r="K43">
        <f>IF(ISNUMBER(SEARCH(Table1[[#This Row],[their_ent_1]],Table1[[#This Row],[my_ent_1]])), 1, 0)</f>
        <v>0</v>
      </c>
      <c r="L43">
        <f>IF(ISNUMBER(SEARCH(Table1[[#This Row],[their_ent_2]],Table1[[#This Row],[my_ent_2]])), 1, 0)</f>
        <v>0</v>
      </c>
    </row>
    <row r="44" spans="1:12" hidden="1" x14ac:dyDescent="0.3">
      <c r="A44" t="s">
        <v>177</v>
      </c>
      <c r="B44" t="s">
        <v>178</v>
      </c>
      <c r="C44" t="s">
        <v>179</v>
      </c>
      <c r="D44" t="s">
        <v>179</v>
      </c>
      <c r="E44" t="s">
        <v>180</v>
      </c>
      <c r="F44">
        <v>0</v>
      </c>
      <c r="G44">
        <v>42</v>
      </c>
      <c r="H44">
        <f>IF(Table1[[#This Row],[my_ent_1]]=Table1[[#This Row],[their_ent_1]], 1, 0)</f>
        <v>0</v>
      </c>
      <c r="I44">
        <f>IF(Table1[[#This Row],[my_ent_2]]=Table1[[#This Row],[their_ent_2]], 1, 0)</f>
        <v>0</v>
      </c>
      <c r="J44">
        <f>IF(Table1[[#This Row],[same_1]]=1 &amp; Table1[[#This Row],[same_2]]=1, 1, 0)</f>
        <v>0</v>
      </c>
      <c r="K44">
        <f>IF(ISNUMBER(SEARCH(Table1[[#This Row],[their_ent_1]],Table1[[#This Row],[my_ent_1]])), 1, 0)</f>
        <v>0</v>
      </c>
      <c r="L44">
        <f>IF(ISNUMBER(SEARCH(Table1[[#This Row],[their_ent_2]],Table1[[#This Row],[my_ent_2]])), 1, 0)</f>
        <v>0</v>
      </c>
    </row>
    <row r="45" spans="1:12" hidden="1" x14ac:dyDescent="0.3">
      <c r="A45" t="s">
        <v>181</v>
      </c>
      <c r="B45" t="s">
        <v>182</v>
      </c>
      <c r="C45" t="s">
        <v>183</v>
      </c>
      <c r="D45" t="s">
        <v>184</v>
      </c>
      <c r="E45" t="s">
        <v>30</v>
      </c>
      <c r="F45">
        <v>0</v>
      </c>
      <c r="G45">
        <v>43</v>
      </c>
      <c r="H45">
        <f>IF(Table1[[#This Row],[my_ent_1]]=Table1[[#This Row],[their_ent_1]], 1, 0)</f>
        <v>0</v>
      </c>
      <c r="I45">
        <f>IF(Table1[[#This Row],[my_ent_2]]=Table1[[#This Row],[their_ent_2]], 1, 0)</f>
        <v>0</v>
      </c>
      <c r="J45">
        <f>IF(Table1[[#This Row],[same_1]]=1 &amp; Table1[[#This Row],[same_2]]=1, 1, 0)</f>
        <v>0</v>
      </c>
      <c r="K45">
        <f>IF(ISNUMBER(SEARCH(Table1[[#This Row],[their_ent_1]],Table1[[#This Row],[my_ent_1]])), 1, 0)</f>
        <v>0</v>
      </c>
      <c r="L45">
        <f>IF(ISNUMBER(SEARCH(Table1[[#This Row],[their_ent_2]],Table1[[#This Row],[my_ent_2]])), 1, 0)</f>
        <v>0</v>
      </c>
    </row>
    <row r="46" spans="1:12" hidden="1" x14ac:dyDescent="0.3">
      <c r="A46" t="s">
        <v>185</v>
      </c>
      <c r="B46" t="s">
        <v>186</v>
      </c>
      <c r="C46" t="s">
        <v>30</v>
      </c>
      <c r="D46" t="s">
        <v>187</v>
      </c>
      <c r="E46" t="s">
        <v>186</v>
      </c>
      <c r="F46">
        <v>0</v>
      </c>
      <c r="G46">
        <v>44</v>
      </c>
      <c r="H46">
        <f>IF(Table1[[#This Row],[my_ent_1]]=Table1[[#This Row],[their_ent_1]], 1, 0)</f>
        <v>0</v>
      </c>
      <c r="I46">
        <f>IF(Table1[[#This Row],[my_ent_2]]=Table1[[#This Row],[their_ent_2]], 1, 0)</f>
        <v>0</v>
      </c>
      <c r="J46">
        <f>IF(Table1[[#This Row],[same_1]]=1 &amp; Table1[[#This Row],[same_2]]=1, 1, 0)</f>
        <v>0</v>
      </c>
      <c r="K46">
        <f>IF(ISNUMBER(SEARCH(Table1[[#This Row],[their_ent_1]],Table1[[#This Row],[my_ent_1]])), 1, 0)</f>
        <v>0</v>
      </c>
      <c r="L46">
        <f>IF(ISNUMBER(SEARCH(Table1[[#This Row],[their_ent_2]],Table1[[#This Row],[my_ent_2]])), 1, 0)</f>
        <v>0</v>
      </c>
    </row>
    <row r="47" spans="1:12" hidden="1" x14ac:dyDescent="0.3">
      <c r="A47" t="s">
        <v>188</v>
      </c>
      <c r="B47" t="s">
        <v>189</v>
      </c>
      <c r="C47" t="s">
        <v>36</v>
      </c>
      <c r="D47" t="s">
        <v>103</v>
      </c>
      <c r="E47" t="s">
        <v>190</v>
      </c>
      <c r="F47">
        <v>0</v>
      </c>
      <c r="G47">
        <v>45</v>
      </c>
      <c r="H47">
        <f>IF(Table1[[#This Row],[my_ent_1]]=Table1[[#This Row],[their_ent_1]], 1, 0)</f>
        <v>0</v>
      </c>
      <c r="I47">
        <f>IF(Table1[[#This Row],[my_ent_2]]=Table1[[#This Row],[their_ent_2]], 1, 0)</f>
        <v>0</v>
      </c>
      <c r="J47">
        <f>IF(Table1[[#This Row],[same_1]]=1 &amp; Table1[[#This Row],[same_2]]=1, 1, 0)</f>
        <v>0</v>
      </c>
      <c r="K47">
        <f>IF(ISNUMBER(SEARCH(Table1[[#This Row],[their_ent_1]],Table1[[#This Row],[my_ent_1]])), 1, 0)</f>
        <v>0</v>
      </c>
      <c r="L47">
        <f>IF(ISNUMBER(SEARCH(Table1[[#This Row],[their_ent_2]],Table1[[#This Row],[my_ent_2]])), 1, 0)</f>
        <v>0</v>
      </c>
    </row>
    <row r="48" spans="1:12" hidden="1" x14ac:dyDescent="0.3">
      <c r="A48" t="s">
        <v>191</v>
      </c>
      <c r="B48" t="s">
        <v>58</v>
      </c>
      <c r="C48" t="s">
        <v>30</v>
      </c>
      <c r="D48" t="s">
        <v>192</v>
      </c>
      <c r="E48" t="s">
        <v>193</v>
      </c>
      <c r="F48">
        <v>0</v>
      </c>
      <c r="G48">
        <v>46</v>
      </c>
      <c r="H48">
        <f>IF(Table1[[#This Row],[my_ent_1]]=Table1[[#This Row],[their_ent_1]], 1, 0)</f>
        <v>0</v>
      </c>
      <c r="I48">
        <f>IF(Table1[[#This Row],[my_ent_2]]=Table1[[#This Row],[their_ent_2]], 1, 0)</f>
        <v>0</v>
      </c>
      <c r="J48">
        <f>IF(Table1[[#This Row],[same_1]]=1 &amp; Table1[[#This Row],[same_2]]=1, 1, 0)</f>
        <v>0</v>
      </c>
      <c r="K48">
        <f>IF(ISNUMBER(SEARCH(Table1[[#This Row],[their_ent_1]],Table1[[#This Row],[my_ent_1]])), 1, 0)</f>
        <v>0</v>
      </c>
      <c r="L48">
        <f>IF(ISNUMBER(SEARCH(Table1[[#This Row],[their_ent_2]],Table1[[#This Row],[my_ent_2]])), 1, 0)</f>
        <v>0</v>
      </c>
    </row>
    <row r="49" spans="1:12" hidden="1" x14ac:dyDescent="0.3">
      <c r="A49" t="s">
        <v>194</v>
      </c>
      <c r="B49" t="s">
        <v>195</v>
      </c>
      <c r="C49" t="s">
        <v>183</v>
      </c>
      <c r="D49" t="s">
        <v>183</v>
      </c>
      <c r="E49" t="s">
        <v>196</v>
      </c>
      <c r="F49">
        <v>0</v>
      </c>
      <c r="G49">
        <v>47</v>
      </c>
      <c r="H49">
        <f>IF(Table1[[#This Row],[my_ent_1]]=Table1[[#This Row],[their_ent_1]], 1, 0)</f>
        <v>0</v>
      </c>
      <c r="I49">
        <f>IF(Table1[[#This Row],[my_ent_2]]=Table1[[#This Row],[their_ent_2]], 1, 0)</f>
        <v>0</v>
      </c>
      <c r="J49">
        <f>IF(Table1[[#This Row],[same_1]]=1 &amp; Table1[[#This Row],[same_2]]=1, 1, 0)</f>
        <v>0</v>
      </c>
      <c r="K49">
        <f>IF(ISNUMBER(SEARCH(Table1[[#This Row],[their_ent_1]],Table1[[#This Row],[my_ent_1]])), 1, 0)</f>
        <v>0</v>
      </c>
      <c r="L49">
        <f>IF(ISNUMBER(SEARCH(Table1[[#This Row],[their_ent_2]],Table1[[#This Row],[my_ent_2]])), 1, 0)</f>
        <v>0</v>
      </c>
    </row>
    <row r="50" spans="1:12" hidden="1" x14ac:dyDescent="0.3">
      <c r="A50" t="s">
        <v>197</v>
      </c>
      <c r="B50" t="s">
        <v>198</v>
      </c>
      <c r="C50" t="s">
        <v>198</v>
      </c>
      <c r="D50" t="s">
        <v>199</v>
      </c>
      <c r="E50" t="s">
        <v>200</v>
      </c>
      <c r="F50">
        <v>0</v>
      </c>
      <c r="G50">
        <v>48</v>
      </c>
      <c r="H50">
        <f>IF(Table1[[#This Row],[my_ent_1]]=Table1[[#This Row],[their_ent_1]], 1, 0)</f>
        <v>1</v>
      </c>
      <c r="I50">
        <f>IF(Table1[[#This Row],[my_ent_2]]=Table1[[#This Row],[their_ent_2]], 1, 0)</f>
        <v>0</v>
      </c>
      <c r="J50">
        <f>IF(Table1[[#This Row],[same_1]]=1 &amp; Table1[[#This Row],[same_2]]=1, 1, 0)</f>
        <v>0</v>
      </c>
      <c r="K50">
        <f>IF(ISNUMBER(SEARCH(Table1[[#This Row],[their_ent_1]],Table1[[#This Row],[my_ent_1]])), 1, 0)</f>
        <v>1</v>
      </c>
      <c r="L50">
        <f>IF(ISNUMBER(SEARCH(Table1[[#This Row],[their_ent_2]],Table1[[#This Row],[my_ent_2]])), 1, 0)</f>
        <v>0</v>
      </c>
    </row>
    <row r="51" spans="1:12" hidden="1" x14ac:dyDescent="0.3">
      <c r="A51" t="s">
        <v>201</v>
      </c>
      <c r="B51" t="s">
        <v>202</v>
      </c>
      <c r="C51" t="s">
        <v>203</v>
      </c>
      <c r="D51" t="s">
        <v>204</v>
      </c>
      <c r="E51" t="s">
        <v>205</v>
      </c>
      <c r="F51">
        <v>0</v>
      </c>
      <c r="G51">
        <v>49</v>
      </c>
      <c r="H51">
        <f>IF(Table1[[#This Row],[my_ent_1]]=Table1[[#This Row],[their_ent_1]], 1, 0)</f>
        <v>0</v>
      </c>
      <c r="I51">
        <f>IF(Table1[[#This Row],[my_ent_2]]=Table1[[#This Row],[their_ent_2]], 1, 0)</f>
        <v>0</v>
      </c>
      <c r="J51">
        <f>IF(Table1[[#This Row],[same_1]]=1 &amp; Table1[[#This Row],[same_2]]=1, 1, 0)</f>
        <v>0</v>
      </c>
      <c r="K51">
        <f>IF(ISNUMBER(SEARCH(Table1[[#This Row],[their_ent_1]],Table1[[#This Row],[my_ent_1]])), 1, 0)</f>
        <v>0</v>
      </c>
      <c r="L51">
        <f>IF(ISNUMBER(SEARCH(Table1[[#This Row],[their_ent_2]],Table1[[#This Row],[my_ent_2]])), 1, 0)</f>
        <v>0</v>
      </c>
    </row>
    <row r="52" spans="1:12" hidden="1" x14ac:dyDescent="0.3">
      <c r="A52" t="s">
        <v>206</v>
      </c>
      <c r="B52" t="s">
        <v>207</v>
      </c>
      <c r="C52" t="s">
        <v>207</v>
      </c>
      <c r="D52" t="s">
        <v>208</v>
      </c>
      <c r="E52" t="s">
        <v>209</v>
      </c>
      <c r="F52">
        <v>0</v>
      </c>
      <c r="G52">
        <v>50</v>
      </c>
      <c r="H52">
        <f>IF(Table1[[#This Row],[my_ent_1]]=Table1[[#This Row],[their_ent_1]], 1, 0)</f>
        <v>1</v>
      </c>
      <c r="I52">
        <f>IF(Table1[[#This Row],[my_ent_2]]=Table1[[#This Row],[their_ent_2]], 1, 0)</f>
        <v>0</v>
      </c>
      <c r="J52">
        <f>IF(Table1[[#This Row],[same_1]]=1 &amp; Table1[[#This Row],[same_2]]=1, 1, 0)</f>
        <v>0</v>
      </c>
      <c r="K52">
        <f>IF(ISNUMBER(SEARCH(Table1[[#This Row],[their_ent_1]],Table1[[#This Row],[my_ent_1]])), 1, 0)</f>
        <v>1</v>
      </c>
      <c r="L52">
        <f>IF(ISNUMBER(SEARCH(Table1[[#This Row],[their_ent_2]],Table1[[#This Row],[my_ent_2]])), 1, 0)</f>
        <v>0</v>
      </c>
    </row>
    <row r="53" spans="1:12" hidden="1" x14ac:dyDescent="0.3">
      <c r="A53" t="s">
        <v>210</v>
      </c>
      <c r="B53" t="s">
        <v>211</v>
      </c>
      <c r="C53" t="s">
        <v>212</v>
      </c>
      <c r="D53" t="s">
        <v>213</v>
      </c>
      <c r="E53" t="s">
        <v>214</v>
      </c>
      <c r="F53">
        <v>0</v>
      </c>
      <c r="G53">
        <v>51</v>
      </c>
      <c r="H53">
        <f>IF(Table1[[#This Row],[my_ent_1]]=Table1[[#This Row],[their_ent_1]], 1, 0)</f>
        <v>0</v>
      </c>
      <c r="I53">
        <f>IF(Table1[[#This Row],[my_ent_2]]=Table1[[#This Row],[their_ent_2]], 1, 0)</f>
        <v>0</v>
      </c>
      <c r="J53">
        <f>IF(Table1[[#This Row],[same_1]]=1 &amp; Table1[[#This Row],[same_2]]=1, 1, 0)</f>
        <v>0</v>
      </c>
      <c r="K53">
        <f>IF(ISNUMBER(SEARCH(Table1[[#This Row],[their_ent_1]],Table1[[#This Row],[my_ent_1]])), 1, 0)</f>
        <v>1</v>
      </c>
      <c r="L53">
        <f>IF(ISNUMBER(SEARCH(Table1[[#This Row],[their_ent_2]],Table1[[#This Row],[my_ent_2]])), 1, 0)</f>
        <v>0</v>
      </c>
    </row>
    <row r="54" spans="1:12" hidden="1" x14ac:dyDescent="0.3">
      <c r="A54" t="s">
        <v>215</v>
      </c>
      <c r="B54" t="s">
        <v>216</v>
      </c>
      <c r="C54" t="s">
        <v>217</v>
      </c>
      <c r="D54" t="s">
        <v>218</v>
      </c>
      <c r="E54" t="s">
        <v>218</v>
      </c>
      <c r="F54">
        <v>0</v>
      </c>
      <c r="G54">
        <v>52</v>
      </c>
      <c r="H54">
        <f>IF(Table1[[#This Row],[my_ent_1]]=Table1[[#This Row],[their_ent_1]], 1, 0)</f>
        <v>0</v>
      </c>
      <c r="I54">
        <f>IF(Table1[[#This Row],[my_ent_2]]=Table1[[#This Row],[their_ent_2]], 1, 0)</f>
        <v>1</v>
      </c>
      <c r="J54">
        <f>IF(Table1[[#This Row],[same_1]]=1 &amp; Table1[[#This Row],[same_2]]=1, 1, 0)</f>
        <v>0</v>
      </c>
      <c r="K54">
        <f>IF(ISNUMBER(SEARCH(Table1[[#This Row],[their_ent_1]],Table1[[#This Row],[my_ent_1]])), 1, 0)</f>
        <v>0</v>
      </c>
      <c r="L54">
        <f>IF(ISNUMBER(SEARCH(Table1[[#This Row],[their_ent_2]],Table1[[#This Row],[my_ent_2]])), 1, 0)</f>
        <v>1</v>
      </c>
    </row>
    <row r="55" spans="1:12" hidden="1" x14ac:dyDescent="0.3">
      <c r="A55" t="s">
        <v>219</v>
      </c>
      <c r="B55" t="s">
        <v>220</v>
      </c>
      <c r="C55" t="s">
        <v>221</v>
      </c>
      <c r="D55" t="s">
        <v>222</v>
      </c>
      <c r="E55" t="s">
        <v>58</v>
      </c>
      <c r="F55">
        <v>0</v>
      </c>
      <c r="G55">
        <v>53</v>
      </c>
      <c r="H55">
        <f>IF(Table1[[#This Row],[my_ent_1]]=Table1[[#This Row],[their_ent_1]], 1, 0)</f>
        <v>0</v>
      </c>
      <c r="I55">
        <f>IF(Table1[[#This Row],[my_ent_2]]=Table1[[#This Row],[their_ent_2]], 1, 0)</f>
        <v>0</v>
      </c>
      <c r="J55">
        <f>IF(Table1[[#This Row],[same_1]]=1 &amp; Table1[[#This Row],[same_2]]=1, 1, 0)</f>
        <v>0</v>
      </c>
      <c r="K55">
        <f>IF(ISNUMBER(SEARCH(Table1[[#This Row],[their_ent_1]],Table1[[#This Row],[my_ent_1]])), 1, 0)</f>
        <v>0</v>
      </c>
      <c r="L55">
        <f>IF(ISNUMBER(SEARCH(Table1[[#This Row],[their_ent_2]],Table1[[#This Row],[my_ent_2]])), 1, 0)</f>
        <v>0</v>
      </c>
    </row>
    <row r="56" spans="1:12" hidden="1" x14ac:dyDescent="0.3">
      <c r="A56" t="s">
        <v>223</v>
      </c>
      <c r="B56" t="s">
        <v>224</v>
      </c>
      <c r="C56" t="s">
        <v>225</v>
      </c>
      <c r="D56" t="s">
        <v>94</v>
      </c>
      <c r="E56" t="s">
        <v>224</v>
      </c>
      <c r="F56">
        <v>0</v>
      </c>
      <c r="G56">
        <v>54</v>
      </c>
      <c r="H56">
        <f>IF(Table1[[#This Row],[my_ent_1]]=Table1[[#This Row],[their_ent_1]], 1, 0)</f>
        <v>0</v>
      </c>
      <c r="I56">
        <f>IF(Table1[[#This Row],[my_ent_2]]=Table1[[#This Row],[their_ent_2]], 1, 0)</f>
        <v>0</v>
      </c>
      <c r="J56">
        <f>IF(Table1[[#This Row],[same_1]]=1 &amp; Table1[[#This Row],[same_2]]=1, 1, 0)</f>
        <v>0</v>
      </c>
      <c r="K56">
        <f>IF(ISNUMBER(SEARCH(Table1[[#This Row],[their_ent_1]],Table1[[#This Row],[my_ent_1]])), 1, 0)</f>
        <v>0</v>
      </c>
      <c r="L56">
        <f>IF(ISNUMBER(SEARCH(Table1[[#This Row],[their_ent_2]],Table1[[#This Row],[my_ent_2]])), 1, 0)</f>
        <v>0</v>
      </c>
    </row>
    <row r="57" spans="1:12" hidden="1" x14ac:dyDescent="0.3">
      <c r="A57" t="s">
        <v>226</v>
      </c>
      <c r="B57" t="s">
        <v>227</v>
      </c>
      <c r="C57" t="s">
        <v>227</v>
      </c>
      <c r="D57" t="s">
        <v>94</v>
      </c>
      <c r="E57" t="s">
        <v>34</v>
      </c>
      <c r="F57">
        <v>0</v>
      </c>
      <c r="G57">
        <v>55</v>
      </c>
      <c r="H57">
        <f>IF(Table1[[#This Row],[my_ent_1]]=Table1[[#This Row],[their_ent_1]], 1, 0)</f>
        <v>1</v>
      </c>
      <c r="I57">
        <f>IF(Table1[[#This Row],[my_ent_2]]=Table1[[#This Row],[their_ent_2]], 1, 0)</f>
        <v>0</v>
      </c>
      <c r="J57">
        <f>IF(Table1[[#This Row],[same_1]]=1 &amp; Table1[[#This Row],[same_2]]=1, 1, 0)</f>
        <v>0</v>
      </c>
      <c r="K57">
        <f>IF(ISNUMBER(SEARCH(Table1[[#This Row],[their_ent_1]],Table1[[#This Row],[my_ent_1]])), 1, 0)</f>
        <v>1</v>
      </c>
      <c r="L57">
        <f>IF(ISNUMBER(SEARCH(Table1[[#This Row],[their_ent_2]],Table1[[#This Row],[my_ent_2]])), 1, 0)</f>
        <v>0</v>
      </c>
    </row>
    <row r="58" spans="1:12" hidden="1" x14ac:dyDescent="0.3">
      <c r="A58" t="s">
        <v>228</v>
      </c>
      <c r="B58" t="s">
        <v>229</v>
      </c>
      <c r="C58" t="s">
        <v>230</v>
      </c>
      <c r="D58" t="s">
        <v>230</v>
      </c>
      <c r="E58" t="s">
        <v>231</v>
      </c>
      <c r="F58">
        <v>0</v>
      </c>
      <c r="G58">
        <v>56</v>
      </c>
      <c r="H58">
        <f>IF(Table1[[#This Row],[my_ent_1]]=Table1[[#This Row],[their_ent_1]], 1, 0)</f>
        <v>0</v>
      </c>
      <c r="I58">
        <f>IF(Table1[[#This Row],[my_ent_2]]=Table1[[#This Row],[their_ent_2]], 1, 0)</f>
        <v>0</v>
      </c>
      <c r="J58">
        <f>IF(Table1[[#This Row],[same_1]]=1 &amp; Table1[[#This Row],[same_2]]=1, 1, 0)</f>
        <v>0</v>
      </c>
      <c r="K58">
        <f>IF(ISNUMBER(SEARCH(Table1[[#This Row],[their_ent_1]],Table1[[#This Row],[my_ent_1]])), 1, 0)</f>
        <v>0</v>
      </c>
      <c r="L58">
        <f>IF(ISNUMBER(SEARCH(Table1[[#This Row],[their_ent_2]],Table1[[#This Row],[my_ent_2]])), 1, 0)</f>
        <v>0</v>
      </c>
    </row>
    <row r="59" spans="1:12" x14ac:dyDescent="0.3">
      <c r="A59" t="s">
        <v>232</v>
      </c>
      <c r="B59" t="s">
        <v>233</v>
      </c>
      <c r="C59" t="s">
        <v>234</v>
      </c>
      <c r="D59" t="s">
        <v>235</v>
      </c>
      <c r="E59" t="s">
        <v>236</v>
      </c>
      <c r="F59">
        <v>0</v>
      </c>
      <c r="G59">
        <v>57</v>
      </c>
      <c r="H59">
        <f>IF(Table1[[#This Row],[my_ent_1]]=Table1[[#This Row],[their_ent_1]], 1, 0)</f>
        <v>0</v>
      </c>
      <c r="I59">
        <f>IF(Table1[[#This Row],[my_ent_2]]=Table1[[#This Row],[their_ent_2]], 1, 0)</f>
        <v>0</v>
      </c>
      <c r="J59">
        <f>IF(Table1[[#This Row],[same_1]]=1 &amp; Table1[[#This Row],[same_2]]=1, 1, 0)</f>
        <v>0</v>
      </c>
      <c r="K59">
        <f>IF(ISNUMBER(SEARCH(Table1[[#This Row],[their_ent_1]],Table1[[#This Row],[my_ent_1]])), 1, 0)</f>
        <v>1</v>
      </c>
      <c r="L59">
        <f>IF(ISNUMBER(SEARCH(Table1[[#This Row],[their_ent_2]],Table1[[#This Row],[my_ent_2]])), 1, 0)</f>
        <v>1</v>
      </c>
    </row>
    <row r="60" spans="1:12" hidden="1" x14ac:dyDescent="0.3">
      <c r="A60" t="s">
        <v>237</v>
      </c>
      <c r="B60" t="s">
        <v>49</v>
      </c>
      <c r="C60" t="s">
        <v>238</v>
      </c>
      <c r="D60" t="s">
        <v>239</v>
      </c>
      <c r="E60" t="s">
        <v>239</v>
      </c>
      <c r="F60">
        <v>0</v>
      </c>
      <c r="G60">
        <v>58</v>
      </c>
      <c r="H60">
        <f>IF(Table1[[#This Row],[my_ent_1]]=Table1[[#This Row],[their_ent_1]], 1, 0)</f>
        <v>0</v>
      </c>
      <c r="I60">
        <f>IF(Table1[[#This Row],[my_ent_2]]=Table1[[#This Row],[their_ent_2]], 1, 0)</f>
        <v>1</v>
      </c>
      <c r="J60">
        <f>IF(Table1[[#This Row],[same_1]]=1 &amp; Table1[[#This Row],[same_2]]=1, 1, 0)</f>
        <v>0</v>
      </c>
      <c r="K60">
        <f>IF(ISNUMBER(SEARCH(Table1[[#This Row],[their_ent_1]],Table1[[#This Row],[my_ent_1]])), 1, 0)</f>
        <v>0</v>
      </c>
      <c r="L60">
        <f>IF(ISNUMBER(SEARCH(Table1[[#This Row],[their_ent_2]],Table1[[#This Row],[my_ent_2]])), 1, 0)</f>
        <v>1</v>
      </c>
    </row>
    <row r="61" spans="1:12" x14ac:dyDescent="0.3">
      <c r="A61" t="s">
        <v>240</v>
      </c>
      <c r="B61" t="s">
        <v>183</v>
      </c>
      <c r="C61" t="s">
        <v>183</v>
      </c>
      <c r="D61" t="s">
        <v>241</v>
      </c>
      <c r="E61" t="s">
        <v>34</v>
      </c>
      <c r="F61">
        <v>0</v>
      </c>
      <c r="G61">
        <v>59</v>
      </c>
      <c r="H61">
        <f>IF(Table1[[#This Row],[my_ent_1]]=Table1[[#This Row],[their_ent_1]], 1, 0)</f>
        <v>1</v>
      </c>
      <c r="I61">
        <f>IF(Table1[[#This Row],[my_ent_2]]=Table1[[#This Row],[their_ent_2]], 1, 0)</f>
        <v>0</v>
      </c>
      <c r="J61">
        <f>IF(Table1[[#This Row],[same_1]]=1 &amp; Table1[[#This Row],[same_2]]=1, 1, 0)</f>
        <v>0</v>
      </c>
      <c r="K61">
        <f>IF(ISNUMBER(SEARCH(Table1[[#This Row],[their_ent_1]],Table1[[#This Row],[my_ent_1]])), 1, 0)</f>
        <v>1</v>
      </c>
      <c r="L61">
        <f>IF(ISNUMBER(SEARCH(Table1[[#This Row],[their_ent_2]],Table1[[#This Row],[my_ent_2]])), 1, 0)</f>
        <v>1</v>
      </c>
    </row>
    <row r="62" spans="1:12" x14ac:dyDescent="0.3">
      <c r="A62" t="s">
        <v>242</v>
      </c>
      <c r="B62" t="s">
        <v>137</v>
      </c>
      <c r="C62" t="s">
        <v>138</v>
      </c>
      <c r="D62" t="s">
        <v>243</v>
      </c>
      <c r="E62" t="s">
        <v>243</v>
      </c>
      <c r="F62">
        <v>0</v>
      </c>
      <c r="G62">
        <v>60</v>
      </c>
      <c r="H62">
        <f>IF(Table1[[#This Row],[my_ent_1]]=Table1[[#This Row],[their_ent_1]], 1, 0)</f>
        <v>0</v>
      </c>
      <c r="I62">
        <f>IF(Table1[[#This Row],[my_ent_2]]=Table1[[#This Row],[their_ent_2]], 1, 0)</f>
        <v>1</v>
      </c>
      <c r="J62">
        <f>IF(Table1[[#This Row],[same_1]]=1 &amp; Table1[[#This Row],[same_2]]=1, 1, 0)</f>
        <v>0</v>
      </c>
      <c r="K62">
        <f>IF(ISNUMBER(SEARCH(Table1[[#This Row],[their_ent_1]],Table1[[#This Row],[my_ent_1]])), 1, 0)</f>
        <v>1</v>
      </c>
      <c r="L62">
        <f>IF(ISNUMBER(SEARCH(Table1[[#This Row],[their_ent_2]],Table1[[#This Row],[my_ent_2]])), 1, 0)</f>
        <v>1</v>
      </c>
    </row>
    <row r="63" spans="1:12" x14ac:dyDescent="0.3">
      <c r="A63" t="s">
        <v>244</v>
      </c>
      <c r="B63" t="s">
        <v>245</v>
      </c>
      <c r="C63" t="s">
        <v>246</v>
      </c>
      <c r="D63" t="s">
        <v>247</v>
      </c>
      <c r="E63" t="s">
        <v>8</v>
      </c>
      <c r="F63">
        <v>0</v>
      </c>
      <c r="G63">
        <v>61</v>
      </c>
      <c r="H63">
        <f>IF(Table1[[#This Row],[my_ent_1]]=Table1[[#This Row],[their_ent_1]], 1, 0)</f>
        <v>0</v>
      </c>
      <c r="I63">
        <f>IF(Table1[[#This Row],[my_ent_2]]=Table1[[#This Row],[their_ent_2]], 1, 0)</f>
        <v>0</v>
      </c>
      <c r="J63">
        <f>IF(Table1[[#This Row],[same_1]]=1 &amp; Table1[[#This Row],[same_2]]=1, 1, 0)</f>
        <v>0</v>
      </c>
      <c r="K63">
        <f>IF(ISNUMBER(SEARCH(Table1[[#This Row],[their_ent_1]],Table1[[#This Row],[my_ent_1]])), 1, 0)</f>
        <v>1</v>
      </c>
      <c r="L63">
        <f>IF(ISNUMBER(SEARCH(Table1[[#This Row],[their_ent_2]],Table1[[#This Row],[my_ent_2]])), 1, 0)</f>
        <v>1</v>
      </c>
    </row>
    <row r="64" spans="1:12" hidden="1" x14ac:dyDescent="0.3">
      <c r="A64" t="s">
        <v>248</v>
      </c>
      <c r="B64" t="s">
        <v>249</v>
      </c>
      <c r="C64" t="s">
        <v>250</v>
      </c>
      <c r="D64" t="s">
        <v>251</v>
      </c>
      <c r="E64" t="s">
        <v>107</v>
      </c>
      <c r="F64">
        <v>0</v>
      </c>
      <c r="G64">
        <v>62</v>
      </c>
      <c r="H64">
        <f>IF(Table1[[#This Row],[my_ent_1]]=Table1[[#This Row],[their_ent_1]], 1, 0)</f>
        <v>0</v>
      </c>
      <c r="I64">
        <f>IF(Table1[[#This Row],[my_ent_2]]=Table1[[#This Row],[their_ent_2]], 1, 0)</f>
        <v>0</v>
      </c>
      <c r="J64">
        <f>IF(Table1[[#This Row],[same_1]]=1 &amp; Table1[[#This Row],[same_2]]=1, 1, 0)</f>
        <v>0</v>
      </c>
      <c r="K64">
        <f>IF(ISNUMBER(SEARCH(Table1[[#This Row],[their_ent_1]],Table1[[#This Row],[my_ent_1]])), 1, 0)</f>
        <v>1</v>
      </c>
      <c r="L64">
        <f>IF(ISNUMBER(SEARCH(Table1[[#This Row],[their_ent_2]],Table1[[#This Row],[my_ent_2]])), 1, 0)</f>
        <v>0</v>
      </c>
    </row>
    <row r="65" spans="1:12" hidden="1" x14ac:dyDescent="0.3">
      <c r="A65" t="s">
        <v>252</v>
      </c>
      <c r="B65" t="s">
        <v>253</v>
      </c>
      <c r="C65" t="s">
        <v>254</v>
      </c>
      <c r="D65" t="s">
        <v>255</v>
      </c>
      <c r="E65" t="s">
        <v>256</v>
      </c>
      <c r="F65">
        <v>0</v>
      </c>
      <c r="G65">
        <v>63</v>
      </c>
      <c r="H65">
        <f>IF(Table1[[#This Row],[my_ent_1]]=Table1[[#This Row],[their_ent_1]], 1, 0)</f>
        <v>0</v>
      </c>
      <c r="I65">
        <f>IF(Table1[[#This Row],[my_ent_2]]=Table1[[#This Row],[their_ent_2]], 1, 0)</f>
        <v>0</v>
      </c>
      <c r="J65">
        <f>IF(Table1[[#This Row],[same_1]]=1 &amp; Table1[[#This Row],[same_2]]=1, 1, 0)</f>
        <v>0</v>
      </c>
      <c r="K65">
        <f>IF(ISNUMBER(SEARCH(Table1[[#This Row],[their_ent_1]],Table1[[#This Row],[my_ent_1]])), 1, 0)</f>
        <v>1</v>
      </c>
      <c r="L65">
        <f>IF(ISNUMBER(SEARCH(Table1[[#This Row],[their_ent_2]],Table1[[#This Row],[my_ent_2]])), 1, 0)</f>
        <v>0</v>
      </c>
    </row>
    <row r="66" spans="1:12" hidden="1" x14ac:dyDescent="0.3">
      <c r="A66" t="s">
        <v>257</v>
      </c>
      <c r="B66" t="s">
        <v>258</v>
      </c>
      <c r="C66" t="s">
        <v>259</v>
      </c>
      <c r="D66" t="s">
        <v>260</v>
      </c>
      <c r="E66" t="s">
        <v>261</v>
      </c>
      <c r="F66">
        <v>0</v>
      </c>
      <c r="G66">
        <v>64</v>
      </c>
      <c r="H66">
        <f>IF(Table1[[#This Row],[my_ent_1]]=Table1[[#This Row],[their_ent_1]], 1, 0)</f>
        <v>0</v>
      </c>
      <c r="I66">
        <f>IF(Table1[[#This Row],[my_ent_2]]=Table1[[#This Row],[their_ent_2]], 1, 0)</f>
        <v>0</v>
      </c>
      <c r="J66">
        <f>IF(Table1[[#This Row],[same_1]]=1 &amp; Table1[[#This Row],[same_2]]=1, 1, 0)</f>
        <v>0</v>
      </c>
      <c r="K66">
        <f>IF(ISNUMBER(SEARCH(Table1[[#This Row],[their_ent_1]],Table1[[#This Row],[my_ent_1]])), 1, 0)</f>
        <v>1</v>
      </c>
      <c r="L66">
        <f>IF(ISNUMBER(SEARCH(Table1[[#This Row],[their_ent_2]],Table1[[#This Row],[my_ent_2]])), 1, 0)</f>
        <v>0</v>
      </c>
    </row>
    <row r="67" spans="1:12" hidden="1" x14ac:dyDescent="0.3">
      <c r="A67" t="s">
        <v>262</v>
      </c>
      <c r="B67" t="s">
        <v>263</v>
      </c>
      <c r="C67" t="s">
        <v>140</v>
      </c>
      <c r="D67" t="s">
        <v>264</v>
      </c>
      <c r="E67" t="s">
        <v>264</v>
      </c>
      <c r="F67">
        <v>0</v>
      </c>
      <c r="G67">
        <v>65</v>
      </c>
      <c r="H67">
        <f>IF(Table1[[#This Row],[my_ent_1]]=Table1[[#This Row],[their_ent_1]], 1, 0)</f>
        <v>0</v>
      </c>
      <c r="I67">
        <f>IF(Table1[[#This Row],[my_ent_2]]=Table1[[#This Row],[their_ent_2]], 1, 0)</f>
        <v>1</v>
      </c>
      <c r="J67">
        <f>IF(Table1[[#This Row],[same_1]]=1 &amp; Table1[[#This Row],[same_2]]=1, 1, 0)</f>
        <v>0</v>
      </c>
      <c r="K67">
        <f>IF(ISNUMBER(SEARCH(Table1[[#This Row],[their_ent_1]],Table1[[#This Row],[my_ent_1]])), 1, 0)</f>
        <v>0</v>
      </c>
      <c r="L67">
        <f>IF(ISNUMBER(SEARCH(Table1[[#This Row],[their_ent_2]],Table1[[#This Row],[my_ent_2]])), 1, 0)</f>
        <v>1</v>
      </c>
    </row>
    <row r="68" spans="1:12" hidden="1" x14ac:dyDescent="0.3">
      <c r="A68" t="s">
        <v>265</v>
      </c>
      <c r="B68" t="s">
        <v>241</v>
      </c>
      <c r="C68" t="s">
        <v>266</v>
      </c>
      <c r="D68" t="s">
        <v>267</v>
      </c>
      <c r="E68" t="s">
        <v>236</v>
      </c>
      <c r="F68">
        <v>0</v>
      </c>
      <c r="G68">
        <v>66</v>
      </c>
      <c r="H68">
        <f>IF(Table1[[#This Row],[my_ent_1]]=Table1[[#This Row],[their_ent_1]], 1, 0)</f>
        <v>0</v>
      </c>
      <c r="I68">
        <f>IF(Table1[[#This Row],[my_ent_2]]=Table1[[#This Row],[their_ent_2]], 1, 0)</f>
        <v>0</v>
      </c>
      <c r="J68">
        <f>IF(Table1[[#This Row],[same_1]]=1 &amp; Table1[[#This Row],[same_2]]=1, 1, 0)</f>
        <v>0</v>
      </c>
      <c r="K68">
        <f>IF(ISNUMBER(SEARCH(Table1[[#This Row],[their_ent_1]],Table1[[#This Row],[my_ent_1]])), 1, 0)</f>
        <v>0</v>
      </c>
      <c r="L68">
        <f>IF(ISNUMBER(SEARCH(Table1[[#This Row],[their_ent_2]],Table1[[#This Row],[my_ent_2]])), 1, 0)</f>
        <v>0</v>
      </c>
    </row>
    <row r="69" spans="1:12" hidden="1" x14ac:dyDescent="0.3">
      <c r="A69" t="s">
        <v>268</v>
      </c>
      <c r="B69" t="s">
        <v>269</v>
      </c>
      <c r="C69" t="s">
        <v>269</v>
      </c>
      <c r="D69" t="s">
        <v>54</v>
      </c>
      <c r="E69" t="s">
        <v>270</v>
      </c>
      <c r="F69">
        <v>0</v>
      </c>
      <c r="G69">
        <v>67</v>
      </c>
      <c r="H69">
        <f>IF(Table1[[#This Row],[my_ent_1]]=Table1[[#This Row],[their_ent_1]], 1, 0)</f>
        <v>1</v>
      </c>
      <c r="I69">
        <f>IF(Table1[[#This Row],[my_ent_2]]=Table1[[#This Row],[their_ent_2]], 1, 0)</f>
        <v>0</v>
      </c>
      <c r="J69">
        <f>IF(Table1[[#This Row],[same_1]]=1 &amp; Table1[[#This Row],[same_2]]=1, 1, 0)</f>
        <v>0</v>
      </c>
      <c r="K69">
        <f>IF(ISNUMBER(SEARCH(Table1[[#This Row],[their_ent_1]],Table1[[#This Row],[my_ent_1]])), 1, 0)</f>
        <v>1</v>
      </c>
      <c r="L69">
        <f>IF(ISNUMBER(SEARCH(Table1[[#This Row],[their_ent_2]],Table1[[#This Row],[my_ent_2]])), 1, 0)</f>
        <v>0</v>
      </c>
    </row>
    <row r="70" spans="1:12" hidden="1" x14ac:dyDescent="0.3">
      <c r="A70" t="s">
        <v>271</v>
      </c>
      <c r="B70" t="s">
        <v>49</v>
      </c>
      <c r="C70" t="s">
        <v>272</v>
      </c>
      <c r="D70" t="s">
        <v>273</v>
      </c>
      <c r="E70" t="s">
        <v>273</v>
      </c>
      <c r="F70">
        <v>0</v>
      </c>
      <c r="G70">
        <v>68</v>
      </c>
      <c r="H70">
        <f>IF(Table1[[#This Row],[my_ent_1]]=Table1[[#This Row],[their_ent_1]], 1, 0)</f>
        <v>0</v>
      </c>
      <c r="I70">
        <f>IF(Table1[[#This Row],[my_ent_2]]=Table1[[#This Row],[their_ent_2]], 1, 0)</f>
        <v>1</v>
      </c>
      <c r="J70">
        <f>IF(Table1[[#This Row],[same_1]]=1 &amp; Table1[[#This Row],[same_2]]=1, 1, 0)</f>
        <v>0</v>
      </c>
      <c r="K70">
        <f>IF(ISNUMBER(SEARCH(Table1[[#This Row],[their_ent_1]],Table1[[#This Row],[my_ent_1]])), 1, 0)</f>
        <v>0</v>
      </c>
      <c r="L70">
        <f>IF(ISNUMBER(SEARCH(Table1[[#This Row],[their_ent_2]],Table1[[#This Row],[my_ent_2]])), 1, 0)</f>
        <v>1</v>
      </c>
    </row>
    <row r="71" spans="1:12" hidden="1" x14ac:dyDescent="0.3">
      <c r="A71" t="s">
        <v>274</v>
      </c>
      <c r="B71" t="s">
        <v>275</v>
      </c>
      <c r="C71" t="s">
        <v>196</v>
      </c>
      <c r="D71" t="s">
        <v>58</v>
      </c>
      <c r="E71" t="s">
        <v>58</v>
      </c>
      <c r="F71">
        <v>0</v>
      </c>
      <c r="G71">
        <v>69</v>
      </c>
      <c r="H71">
        <f>IF(Table1[[#This Row],[my_ent_1]]=Table1[[#This Row],[their_ent_1]], 1, 0)</f>
        <v>0</v>
      </c>
      <c r="I71">
        <f>IF(Table1[[#This Row],[my_ent_2]]=Table1[[#This Row],[their_ent_2]], 1, 0)</f>
        <v>1</v>
      </c>
      <c r="J71">
        <f>IF(Table1[[#This Row],[same_1]]=1 &amp; Table1[[#This Row],[same_2]]=1, 1, 0)</f>
        <v>0</v>
      </c>
      <c r="K71">
        <f>IF(ISNUMBER(SEARCH(Table1[[#This Row],[their_ent_1]],Table1[[#This Row],[my_ent_1]])), 1, 0)</f>
        <v>0</v>
      </c>
      <c r="L71">
        <f>IF(ISNUMBER(SEARCH(Table1[[#This Row],[their_ent_2]],Table1[[#This Row],[my_ent_2]])), 1, 0)</f>
        <v>1</v>
      </c>
    </row>
    <row r="72" spans="1:12" hidden="1" x14ac:dyDescent="0.3">
      <c r="A72" t="s">
        <v>276</v>
      </c>
      <c r="B72" t="s">
        <v>65</v>
      </c>
      <c r="C72" t="s">
        <v>277</v>
      </c>
      <c r="D72" t="s">
        <v>278</v>
      </c>
      <c r="E72" t="s">
        <v>278</v>
      </c>
      <c r="F72">
        <v>0</v>
      </c>
      <c r="G72">
        <v>70</v>
      </c>
      <c r="H72">
        <f>IF(Table1[[#This Row],[my_ent_1]]=Table1[[#This Row],[their_ent_1]], 1, 0)</f>
        <v>0</v>
      </c>
      <c r="I72">
        <f>IF(Table1[[#This Row],[my_ent_2]]=Table1[[#This Row],[their_ent_2]], 1, 0)</f>
        <v>1</v>
      </c>
      <c r="J72">
        <f>IF(Table1[[#This Row],[same_1]]=1 &amp; Table1[[#This Row],[same_2]]=1, 1, 0)</f>
        <v>0</v>
      </c>
      <c r="K72">
        <f>IF(ISNUMBER(SEARCH(Table1[[#This Row],[their_ent_1]],Table1[[#This Row],[my_ent_1]])), 1, 0)</f>
        <v>0</v>
      </c>
      <c r="L72">
        <f>IF(ISNUMBER(SEARCH(Table1[[#This Row],[their_ent_2]],Table1[[#This Row],[my_ent_2]])), 1, 0)</f>
        <v>1</v>
      </c>
    </row>
    <row r="73" spans="1:12" x14ac:dyDescent="0.3">
      <c r="A73" t="s">
        <v>279</v>
      </c>
      <c r="B73" t="s">
        <v>280</v>
      </c>
      <c r="C73" t="s">
        <v>280</v>
      </c>
      <c r="D73" t="s">
        <v>281</v>
      </c>
      <c r="E73" t="s">
        <v>282</v>
      </c>
      <c r="F73">
        <v>0</v>
      </c>
      <c r="G73">
        <v>71</v>
      </c>
      <c r="H73">
        <f>IF(Table1[[#This Row],[my_ent_1]]=Table1[[#This Row],[their_ent_1]], 1, 0)</f>
        <v>1</v>
      </c>
      <c r="I73">
        <f>IF(Table1[[#This Row],[my_ent_2]]=Table1[[#This Row],[their_ent_2]], 1, 0)</f>
        <v>0</v>
      </c>
      <c r="J73">
        <f>IF(Table1[[#This Row],[same_1]]=1 &amp; Table1[[#This Row],[same_2]]=1, 1, 0)</f>
        <v>0</v>
      </c>
      <c r="K73">
        <f>IF(ISNUMBER(SEARCH(Table1[[#This Row],[their_ent_1]],Table1[[#This Row],[my_ent_1]])), 1, 0)</f>
        <v>1</v>
      </c>
      <c r="L73">
        <f>IF(ISNUMBER(SEARCH(Table1[[#This Row],[their_ent_2]],Table1[[#This Row],[my_ent_2]])), 1, 0)</f>
        <v>1</v>
      </c>
    </row>
    <row r="74" spans="1:12" hidden="1" x14ac:dyDescent="0.3">
      <c r="A74" t="s">
        <v>283</v>
      </c>
      <c r="B74" t="s">
        <v>284</v>
      </c>
      <c r="C74" t="s">
        <v>285</v>
      </c>
      <c r="D74" t="s">
        <v>34</v>
      </c>
      <c r="E74" t="s">
        <v>34</v>
      </c>
      <c r="F74">
        <v>0</v>
      </c>
      <c r="G74">
        <v>72</v>
      </c>
      <c r="H74">
        <f>IF(Table1[[#This Row],[my_ent_1]]=Table1[[#This Row],[their_ent_1]], 1, 0)</f>
        <v>0</v>
      </c>
      <c r="I74">
        <f>IF(Table1[[#This Row],[my_ent_2]]=Table1[[#This Row],[their_ent_2]], 1, 0)</f>
        <v>1</v>
      </c>
      <c r="J74">
        <f>IF(Table1[[#This Row],[same_1]]=1 &amp; Table1[[#This Row],[same_2]]=1, 1, 0)</f>
        <v>0</v>
      </c>
      <c r="K74">
        <f>IF(ISNUMBER(SEARCH(Table1[[#This Row],[their_ent_1]],Table1[[#This Row],[my_ent_1]])), 1, 0)</f>
        <v>0</v>
      </c>
      <c r="L74">
        <f>IF(ISNUMBER(SEARCH(Table1[[#This Row],[their_ent_2]],Table1[[#This Row],[my_ent_2]])), 1, 0)</f>
        <v>1</v>
      </c>
    </row>
    <row r="75" spans="1:12" hidden="1" x14ac:dyDescent="0.3">
      <c r="A75" t="s">
        <v>286</v>
      </c>
      <c r="B75" t="s">
        <v>7</v>
      </c>
      <c r="C75" t="s">
        <v>7</v>
      </c>
      <c r="D75" t="s">
        <v>34</v>
      </c>
      <c r="E75" t="s">
        <v>183</v>
      </c>
      <c r="F75">
        <v>0</v>
      </c>
      <c r="G75">
        <v>73</v>
      </c>
      <c r="H75">
        <f>IF(Table1[[#This Row],[my_ent_1]]=Table1[[#This Row],[their_ent_1]], 1, 0)</f>
        <v>1</v>
      </c>
      <c r="I75">
        <f>IF(Table1[[#This Row],[my_ent_2]]=Table1[[#This Row],[their_ent_2]], 1, 0)</f>
        <v>0</v>
      </c>
      <c r="J75">
        <f>IF(Table1[[#This Row],[same_1]]=1 &amp; Table1[[#This Row],[same_2]]=1, 1, 0)</f>
        <v>0</v>
      </c>
      <c r="K75">
        <f>IF(ISNUMBER(SEARCH(Table1[[#This Row],[their_ent_1]],Table1[[#This Row],[my_ent_1]])), 1, 0)</f>
        <v>1</v>
      </c>
      <c r="L75">
        <f>IF(ISNUMBER(SEARCH(Table1[[#This Row],[their_ent_2]],Table1[[#This Row],[my_ent_2]])), 1, 0)</f>
        <v>0</v>
      </c>
    </row>
    <row r="76" spans="1:12" hidden="1" x14ac:dyDescent="0.3">
      <c r="A76" t="s">
        <v>287</v>
      </c>
      <c r="B76" t="s">
        <v>288</v>
      </c>
      <c r="C76" t="s">
        <v>289</v>
      </c>
      <c r="D76" t="s">
        <v>289</v>
      </c>
      <c r="E76" t="s">
        <v>290</v>
      </c>
      <c r="F76">
        <v>0</v>
      </c>
      <c r="G76">
        <v>74</v>
      </c>
      <c r="H76">
        <f>IF(Table1[[#This Row],[my_ent_1]]=Table1[[#This Row],[their_ent_1]], 1, 0)</f>
        <v>0</v>
      </c>
      <c r="I76">
        <f>IF(Table1[[#This Row],[my_ent_2]]=Table1[[#This Row],[their_ent_2]], 1, 0)</f>
        <v>0</v>
      </c>
      <c r="J76">
        <f>IF(Table1[[#This Row],[same_1]]=1 &amp; Table1[[#This Row],[same_2]]=1, 1, 0)</f>
        <v>0</v>
      </c>
      <c r="K76">
        <f>IF(ISNUMBER(SEARCH(Table1[[#This Row],[their_ent_1]],Table1[[#This Row],[my_ent_1]])), 1, 0)</f>
        <v>0</v>
      </c>
      <c r="L76">
        <f>IF(ISNUMBER(SEARCH(Table1[[#This Row],[their_ent_2]],Table1[[#This Row],[my_ent_2]])), 1, 0)</f>
        <v>0</v>
      </c>
    </row>
    <row r="77" spans="1:12" hidden="1" x14ac:dyDescent="0.3">
      <c r="A77" t="s">
        <v>291</v>
      </c>
      <c r="B77" t="s">
        <v>292</v>
      </c>
      <c r="C77" t="s">
        <v>293</v>
      </c>
      <c r="D77" t="s">
        <v>294</v>
      </c>
      <c r="E77" t="s">
        <v>294</v>
      </c>
      <c r="F77">
        <v>0</v>
      </c>
      <c r="G77">
        <v>75</v>
      </c>
      <c r="H77">
        <f>IF(Table1[[#This Row],[my_ent_1]]=Table1[[#This Row],[their_ent_1]], 1, 0)</f>
        <v>0</v>
      </c>
      <c r="I77">
        <f>IF(Table1[[#This Row],[my_ent_2]]=Table1[[#This Row],[their_ent_2]], 1, 0)</f>
        <v>1</v>
      </c>
      <c r="J77">
        <f>IF(Table1[[#This Row],[same_1]]=1 &amp; Table1[[#This Row],[same_2]]=1, 1, 0)</f>
        <v>0</v>
      </c>
      <c r="K77">
        <f>IF(ISNUMBER(SEARCH(Table1[[#This Row],[their_ent_1]],Table1[[#This Row],[my_ent_1]])), 1, 0)</f>
        <v>0</v>
      </c>
      <c r="L77">
        <f>IF(ISNUMBER(SEARCH(Table1[[#This Row],[their_ent_2]],Table1[[#This Row],[my_ent_2]])), 1, 0)</f>
        <v>1</v>
      </c>
    </row>
    <row r="78" spans="1:12" hidden="1" x14ac:dyDescent="0.3">
      <c r="A78" t="s">
        <v>295</v>
      </c>
      <c r="B78" t="s">
        <v>296</v>
      </c>
      <c r="C78" t="s">
        <v>297</v>
      </c>
      <c r="D78" t="s">
        <v>297</v>
      </c>
      <c r="E78" t="s">
        <v>236</v>
      </c>
      <c r="F78">
        <v>0</v>
      </c>
      <c r="G78">
        <v>76</v>
      </c>
      <c r="H78">
        <f>IF(Table1[[#This Row],[my_ent_1]]=Table1[[#This Row],[their_ent_1]], 1, 0)</f>
        <v>0</v>
      </c>
      <c r="I78">
        <f>IF(Table1[[#This Row],[my_ent_2]]=Table1[[#This Row],[their_ent_2]], 1, 0)</f>
        <v>0</v>
      </c>
      <c r="J78">
        <f>IF(Table1[[#This Row],[same_1]]=1 &amp; Table1[[#This Row],[same_2]]=1, 1, 0)</f>
        <v>0</v>
      </c>
      <c r="K78">
        <f>IF(ISNUMBER(SEARCH(Table1[[#This Row],[their_ent_1]],Table1[[#This Row],[my_ent_1]])), 1, 0)</f>
        <v>0</v>
      </c>
      <c r="L78">
        <f>IF(ISNUMBER(SEARCH(Table1[[#This Row],[their_ent_2]],Table1[[#This Row],[my_ent_2]])), 1, 0)</f>
        <v>0</v>
      </c>
    </row>
    <row r="79" spans="1:12" hidden="1" x14ac:dyDescent="0.3">
      <c r="A79" t="s">
        <v>298</v>
      </c>
      <c r="B79" t="s">
        <v>299</v>
      </c>
      <c r="C79" t="s">
        <v>300</v>
      </c>
      <c r="D79" t="s">
        <v>301</v>
      </c>
      <c r="E79" t="s">
        <v>301</v>
      </c>
      <c r="F79">
        <v>0</v>
      </c>
      <c r="G79">
        <v>77</v>
      </c>
      <c r="H79">
        <f>IF(Table1[[#This Row],[my_ent_1]]=Table1[[#This Row],[their_ent_1]], 1, 0)</f>
        <v>0</v>
      </c>
      <c r="I79">
        <f>IF(Table1[[#This Row],[my_ent_2]]=Table1[[#This Row],[their_ent_2]], 1, 0)</f>
        <v>1</v>
      </c>
      <c r="J79">
        <f>IF(Table1[[#This Row],[same_1]]=1 &amp; Table1[[#This Row],[same_2]]=1, 1, 0)</f>
        <v>0</v>
      </c>
      <c r="K79">
        <f>IF(ISNUMBER(SEARCH(Table1[[#This Row],[their_ent_1]],Table1[[#This Row],[my_ent_1]])), 1, 0)</f>
        <v>0</v>
      </c>
      <c r="L79">
        <f>IF(ISNUMBER(SEARCH(Table1[[#This Row],[their_ent_2]],Table1[[#This Row],[my_ent_2]])), 1, 0)</f>
        <v>1</v>
      </c>
    </row>
    <row r="80" spans="1:12" hidden="1" x14ac:dyDescent="0.3">
      <c r="A80" t="s">
        <v>302</v>
      </c>
      <c r="B80" t="s">
        <v>303</v>
      </c>
      <c r="C80" t="s">
        <v>304</v>
      </c>
      <c r="D80" t="s">
        <v>58</v>
      </c>
      <c r="E80" t="s">
        <v>303</v>
      </c>
      <c r="F80">
        <v>0</v>
      </c>
      <c r="G80">
        <v>78</v>
      </c>
      <c r="H80">
        <f>IF(Table1[[#This Row],[my_ent_1]]=Table1[[#This Row],[their_ent_1]], 1, 0)</f>
        <v>0</v>
      </c>
      <c r="I80">
        <f>IF(Table1[[#This Row],[my_ent_2]]=Table1[[#This Row],[their_ent_2]], 1, 0)</f>
        <v>0</v>
      </c>
      <c r="J80">
        <f>IF(Table1[[#This Row],[same_1]]=1 &amp; Table1[[#This Row],[same_2]]=1, 1, 0)</f>
        <v>0</v>
      </c>
      <c r="K80">
        <f>IF(ISNUMBER(SEARCH(Table1[[#This Row],[their_ent_1]],Table1[[#This Row],[my_ent_1]])), 1, 0)</f>
        <v>0</v>
      </c>
      <c r="L80">
        <f>IF(ISNUMBER(SEARCH(Table1[[#This Row],[their_ent_2]],Table1[[#This Row],[my_ent_2]])), 1, 0)</f>
        <v>0</v>
      </c>
    </row>
    <row r="81" spans="1:12" hidden="1" x14ac:dyDescent="0.3">
      <c r="A81" t="s">
        <v>305</v>
      </c>
      <c r="B81" t="s">
        <v>15</v>
      </c>
      <c r="C81" t="s">
        <v>15</v>
      </c>
      <c r="D81" t="s">
        <v>306</v>
      </c>
      <c r="E81" t="s">
        <v>307</v>
      </c>
      <c r="F81">
        <v>0</v>
      </c>
      <c r="G81">
        <v>79</v>
      </c>
      <c r="H81">
        <f>IF(Table1[[#This Row],[my_ent_1]]=Table1[[#This Row],[their_ent_1]], 1, 0)</f>
        <v>1</v>
      </c>
      <c r="I81">
        <f>IF(Table1[[#This Row],[my_ent_2]]=Table1[[#This Row],[their_ent_2]], 1, 0)</f>
        <v>0</v>
      </c>
      <c r="J81">
        <f>IF(Table1[[#This Row],[same_1]]=1 &amp; Table1[[#This Row],[same_2]]=1, 1, 0)</f>
        <v>0</v>
      </c>
      <c r="K81">
        <f>IF(ISNUMBER(SEARCH(Table1[[#This Row],[their_ent_1]],Table1[[#This Row],[my_ent_1]])), 1, 0)</f>
        <v>1</v>
      </c>
      <c r="L81">
        <f>IF(ISNUMBER(SEARCH(Table1[[#This Row],[their_ent_2]],Table1[[#This Row],[my_ent_2]])), 1, 0)</f>
        <v>0</v>
      </c>
    </row>
    <row r="82" spans="1:12" x14ac:dyDescent="0.3">
      <c r="A82" t="s">
        <v>308</v>
      </c>
      <c r="B82" t="s">
        <v>34</v>
      </c>
      <c r="C82" t="s">
        <v>34</v>
      </c>
      <c r="D82" t="s">
        <v>309</v>
      </c>
      <c r="E82" t="s">
        <v>310</v>
      </c>
      <c r="F82">
        <v>0</v>
      </c>
      <c r="G82">
        <v>80</v>
      </c>
      <c r="H82">
        <f>IF(Table1[[#This Row],[my_ent_1]]=Table1[[#This Row],[their_ent_1]], 1, 0)</f>
        <v>1</v>
      </c>
      <c r="I82">
        <f>IF(Table1[[#This Row],[my_ent_2]]=Table1[[#This Row],[their_ent_2]], 1, 0)</f>
        <v>0</v>
      </c>
      <c r="J82">
        <f>IF(Table1[[#This Row],[same_1]]=1 &amp; Table1[[#This Row],[same_2]]=1, 1, 0)</f>
        <v>0</v>
      </c>
      <c r="K82">
        <f>IF(ISNUMBER(SEARCH(Table1[[#This Row],[their_ent_1]],Table1[[#This Row],[my_ent_1]])), 1, 0)</f>
        <v>1</v>
      </c>
      <c r="L82">
        <f>IF(ISNUMBER(SEARCH(Table1[[#This Row],[their_ent_2]],Table1[[#This Row],[my_ent_2]])), 1, 0)</f>
        <v>1</v>
      </c>
    </row>
    <row r="83" spans="1:12" hidden="1" x14ac:dyDescent="0.3">
      <c r="A83" t="s">
        <v>311</v>
      </c>
      <c r="B83" t="s">
        <v>312</v>
      </c>
      <c r="C83" t="s">
        <v>313</v>
      </c>
      <c r="D83" t="s">
        <v>313</v>
      </c>
      <c r="E83" t="s">
        <v>314</v>
      </c>
      <c r="F83">
        <v>0</v>
      </c>
      <c r="G83">
        <v>81</v>
      </c>
      <c r="H83">
        <f>IF(Table1[[#This Row],[my_ent_1]]=Table1[[#This Row],[their_ent_1]], 1, 0)</f>
        <v>0</v>
      </c>
      <c r="I83">
        <f>IF(Table1[[#This Row],[my_ent_2]]=Table1[[#This Row],[their_ent_2]], 1, 0)</f>
        <v>0</v>
      </c>
      <c r="J83">
        <f>IF(Table1[[#This Row],[same_1]]=1 &amp; Table1[[#This Row],[same_2]]=1, 1, 0)</f>
        <v>0</v>
      </c>
      <c r="K83">
        <f>IF(ISNUMBER(SEARCH(Table1[[#This Row],[their_ent_1]],Table1[[#This Row],[my_ent_1]])), 1, 0)</f>
        <v>0</v>
      </c>
      <c r="L83">
        <f>IF(ISNUMBER(SEARCH(Table1[[#This Row],[their_ent_2]],Table1[[#This Row],[my_ent_2]])), 1, 0)</f>
        <v>0</v>
      </c>
    </row>
    <row r="84" spans="1:12" hidden="1" x14ac:dyDescent="0.3">
      <c r="A84" t="s">
        <v>315</v>
      </c>
      <c r="B84" t="s">
        <v>316</v>
      </c>
      <c r="C84" t="s">
        <v>317</v>
      </c>
      <c r="D84" t="s">
        <v>7</v>
      </c>
      <c r="E84" t="s">
        <v>318</v>
      </c>
      <c r="F84">
        <v>0</v>
      </c>
      <c r="G84">
        <v>82</v>
      </c>
      <c r="H84">
        <f>IF(Table1[[#This Row],[my_ent_1]]=Table1[[#This Row],[their_ent_1]], 1, 0)</f>
        <v>0</v>
      </c>
      <c r="I84">
        <f>IF(Table1[[#This Row],[my_ent_2]]=Table1[[#This Row],[their_ent_2]], 1, 0)</f>
        <v>0</v>
      </c>
      <c r="J84">
        <f>IF(Table1[[#This Row],[same_1]]=1 &amp; Table1[[#This Row],[same_2]]=1, 1, 0)</f>
        <v>0</v>
      </c>
      <c r="K84">
        <f>IF(ISNUMBER(SEARCH(Table1[[#This Row],[their_ent_1]],Table1[[#This Row],[my_ent_1]])), 1, 0)</f>
        <v>0</v>
      </c>
      <c r="L84">
        <f>IF(ISNUMBER(SEARCH(Table1[[#This Row],[their_ent_2]],Table1[[#This Row],[my_ent_2]])), 1, 0)</f>
        <v>0</v>
      </c>
    </row>
    <row r="85" spans="1:12" hidden="1" x14ac:dyDescent="0.3">
      <c r="A85" t="s">
        <v>319</v>
      </c>
      <c r="B85" t="s">
        <v>320</v>
      </c>
      <c r="C85" t="s">
        <v>321</v>
      </c>
      <c r="D85" t="s">
        <v>263</v>
      </c>
      <c r="E85" t="s">
        <v>322</v>
      </c>
      <c r="F85">
        <v>0</v>
      </c>
      <c r="G85">
        <v>83</v>
      </c>
      <c r="H85">
        <f>IF(Table1[[#This Row],[my_ent_1]]=Table1[[#This Row],[their_ent_1]], 1, 0)</f>
        <v>0</v>
      </c>
      <c r="I85">
        <f>IF(Table1[[#This Row],[my_ent_2]]=Table1[[#This Row],[their_ent_2]], 1, 0)</f>
        <v>0</v>
      </c>
      <c r="J85">
        <f>IF(Table1[[#This Row],[same_1]]=1 &amp; Table1[[#This Row],[same_2]]=1, 1, 0)</f>
        <v>0</v>
      </c>
      <c r="K85">
        <f>IF(ISNUMBER(SEARCH(Table1[[#This Row],[their_ent_1]],Table1[[#This Row],[my_ent_1]])), 1, 0)</f>
        <v>0</v>
      </c>
      <c r="L85">
        <f>IF(ISNUMBER(SEARCH(Table1[[#This Row],[their_ent_2]],Table1[[#This Row],[my_ent_2]])), 1, 0)</f>
        <v>0</v>
      </c>
    </row>
    <row r="86" spans="1:12" hidden="1" x14ac:dyDescent="0.3">
      <c r="A86" t="s">
        <v>323</v>
      </c>
      <c r="B86" t="s">
        <v>324</v>
      </c>
      <c r="C86" t="s">
        <v>324</v>
      </c>
      <c r="D86" t="s">
        <v>54</v>
      </c>
      <c r="E86" t="s">
        <v>325</v>
      </c>
      <c r="F86">
        <v>0</v>
      </c>
      <c r="G86">
        <v>84</v>
      </c>
      <c r="H86">
        <f>IF(Table1[[#This Row],[my_ent_1]]=Table1[[#This Row],[their_ent_1]], 1, 0)</f>
        <v>1</v>
      </c>
      <c r="I86">
        <f>IF(Table1[[#This Row],[my_ent_2]]=Table1[[#This Row],[their_ent_2]], 1, 0)</f>
        <v>0</v>
      </c>
      <c r="J86">
        <f>IF(Table1[[#This Row],[same_1]]=1 &amp; Table1[[#This Row],[same_2]]=1, 1, 0)</f>
        <v>0</v>
      </c>
      <c r="K86">
        <f>IF(ISNUMBER(SEARCH(Table1[[#This Row],[their_ent_1]],Table1[[#This Row],[my_ent_1]])), 1, 0)</f>
        <v>1</v>
      </c>
      <c r="L86">
        <f>IF(ISNUMBER(SEARCH(Table1[[#This Row],[their_ent_2]],Table1[[#This Row],[my_ent_2]])), 1, 0)</f>
        <v>0</v>
      </c>
    </row>
    <row r="87" spans="1:12" hidden="1" x14ac:dyDescent="0.3">
      <c r="A87" t="s">
        <v>326</v>
      </c>
      <c r="B87" t="s">
        <v>327</v>
      </c>
      <c r="C87" t="s">
        <v>328</v>
      </c>
      <c r="D87" t="s">
        <v>329</v>
      </c>
      <c r="E87" t="s">
        <v>330</v>
      </c>
      <c r="F87">
        <v>0</v>
      </c>
      <c r="G87">
        <v>85</v>
      </c>
      <c r="H87">
        <f>IF(Table1[[#This Row],[my_ent_1]]=Table1[[#This Row],[their_ent_1]], 1, 0)</f>
        <v>0</v>
      </c>
      <c r="I87">
        <f>IF(Table1[[#This Row],[my_ent_2]]=Table1[[#This Row],[their_ent_2]], 1, 0)</f>
        <v>0</v>
      </c>
      <c r="J87">
        <f>IF(Table1[[#This Row],[same_1]]=1 &amp; Table1[[#This Row],[same_2]]=1, 1, 0)</f>
        <v>0</v>
      </c>
      <c r="K87">
        <f>IF(ISNUMBER(SEARCH(Table1[[#This Row],[their_ent_1]],Table1[[#This Row],[my_ent_1]])), 1, 0)</f>
        <v>0</v>
      </c>
      <c r="L87">
        <f>IF(ISNUMBER(SEARCH(Table1[[#This Row],[their_ent_2]],Table1[[#This Row],[my_ent_2]])), 1, 0)</f>
        <v>0</v>
      </c>
    </row>
    <row r="88" spans="1:12" hidden="1" x14ac:dyDescent="0.3">
      <c r="A88" t="s">
        <v>331</v>
      </c>
      <c r="B88" t="s">
        <v>332</v>
      </c>
      <c r="C88" t="s">
        <v>333</v>
      </c>
      <c r="D88" t="s">
        <v>333</v>
      </c>
      <c r="E88" t="s">
        <v>334</v>
      </c>
      <c r="F88">
        <v>0</v>
      </c>
      <c r="G88">
        <v>86</v>
      </c>
      <c r="H88">
        <f>IF(Table1[[#This Row],[my_ent_1]]=Table1[[#This Row],[their_ent_1]], 1, 0)</f>
        <v>0</v>
      </c>
      <c r="I88">
        <f>IF(Table1[[#This Row],[my_ent_2]]=Table1[[#This Row],[their_ent_2]], 1, 0)</f>
        <v>0</v>
      </c>
      <c r="J88">
        <f>IF(Table1[[#This Row],[same_1]]=1 &amp; Table1[[#This Row],[same_2]]=1, 1, 0)</f>
        <v>0</v>
      </c>
      <c r="K88">
        <f>IF(ISNUMBER(SEARCH(Table1[[#This Row],[their_ent_1]],Table1[[#This Row],[my_ent_1]])), 1, 0)</f>
        <v>0</v>
      </c>
      <c r="L88">
        <f>IF(ISNUMBER(SEARCH(Table1[[#This Row],[their_ent_2]],Table1[[#This Row],[my_ent_2]])), 1, 0)</f>
        <v>0</v>
      </c>
    </row>
    <row r="89" spans="1:12" hidden="1" x14ac:dyDescent="0.3">
      <c r="A89" t="s">
        <v>335</v>
      </c>
      <c r="B89" t="s">
        <v>183</v>
      </c>
      <c r="C89" t="s">
        <v>183</v>
      </c>
      <c r="D89" t="s">
        <v>336</v>
      </c>
      <c r="E89" t="s">
        <v>337</v>
      </c>
      <c r="F89">
        <v>0</v>
      </c>
      <c r="G89">
        <v>87</v>
      </c>
      <c r="H89">
        <f>IF(Table1[[#This Row],[my_ent_1]]=Table1[[#This Row],[their_ent_1]], 1, 0)</f>
        <v>1</v>
      </c>
      <c r="I89">
        <f>IF(Table1[[#This Row],[my_ent_2]]=Table1[[#This Row],[their_ent_2]], 1, 0)</f>
        <v>0</v>
      </c>
      <c r="J89">
        <f>IF(Table1[[#This Row],[same_1]]=1 &amp; Table1[[#This Row],[same_2]]=1, 1, 0)</f>
        <v>0</v>
      </c>
      <c r="K89">
        <f>IF(ISNUMBER(SEARCH(Table1[[#This Row],[their_ent_1]],Table1[[#This Row],[my_ent_1]])), 1, 0)</f>
        <v>1</v>
      </c>
      <c r="L89">
        <f>IF(ISNUMBER(SEARCH(Table1[[#This Row],[their_ent_2]],Table1[[#This Row],[my_ent_2]])), 1, 0)</f>
        <v>0</v>
      </c>
    </row>
    <row r="90" spans="1:12" hidden="1" x14ac:dyDescent="0.3">
      <c r="A90" t="s">
        <v>338</v>
      </c>
      <c r="B90" t="s">
        <v>339</v>
      </c>
      <c r="C90" t="s">
        <v>340</v>
      </c>
      <c r="D90" t="s">
        <v>341</v>
      </c>
      <c r="E90" t="s">
        <v>341</v>
      </c>
      <c r="F90">
        <v>0</v>
      </c>
      <c r="G90">
        <v>88</v>
      </c>
      <c r="H90">
        <f>IF(Table1[[#This Row],[my_ent_1]]=Table1[[#This Row],[their_ent_1]], 1, 0)</f>
        <v>0</v>
      </c>
      <c r="I90">
        <f>IF(Table1[[#This Row],[my_ent_2]]=Table1[[#This Row],[their_ent_2]], 1, 0)</f>
        <v>1</v>
      </c>
      <c r="J90">
        <f>IF(Table1[[#This Row],[same_1]]=1 &amp; Table1[[#This Row],[same_2]]=1, 1, 0)</f>
        <v>0</v>
      </c>
      <c r="K90">
        <f>IF(ISNUMBER(SEARCH(Table1[[#This Row],[their_ent_1]],Table1[[#This Row],[my_ent_1]])), 1, 0)</f>
        <v>0</v>
      </c>
      <c r="L90">
        <f>IF(ISNUMBER(SEARCH(Table1[[#This Row],[their_ent_2]],Table1[[#This Row],[my_ent_2]])), 1, 0)</f>
        <v>1</v>
      </c>
    </row>
    <row r="91" spans="1:12" hidden="1" x14ac:dyDescent="0.3">
      <c r="A91" t="s">
        <v>342</v>
      </c>
      <c r="B91" t="s">
        <v>49</v>
      </c>
      <c r="C91" t="s">
        <v>343</v>
      </c>
      <c r="D91" t="s">
        <v>51</v>
      </c>
      <c r="E91" t="s">
        <v>344</v>
      </c>
      <c r="F91">
        <v>0</v>
      </c>
      <c r="G91">
        <v>89</v>
      </c>
      <c r="H91">
        <f>IF(Table1[[#This Row],[my_ent_1]]=Table1[[#This Row],[their_ent_1]], 1, 0)</f>
        <v>0</v>
      </c>
      <c r="I91">
        <f>IF(Table1[[#This Row],[my_ent_2]]=Table1[[#This Row],[their_ent_2]], 1, 0)</f>
        <v>0</v>
      </c>
      <c r="J91">
        <f>IF(Table1[[#This Row],[same_1]]=1 &amp; Table1[[#This Row],[same_2]]=1, 1, 0)</f>
        <v>0</v>
      </c>
      <c r="K91">
        <f>IF(ISNUMBER(SEARCH(Table1[[#This Row],[their_ent_1]],Table1[[#This Row],[my_ent_1]])), 1, 0)</f>
        <v>0</v>
      </c>
      <c r="L91">
        <f>IF(ISNUMBER(SEARCH(Table1[[#This Row],[their_ent_2]],Table1[[#This Row],[my_ent_2]])), 1, 0)</f>
        <v>0</v>
      </c>
    </row>
    <row r="92" spans="1:12" hidden="1" x14ac:dyDescent="0.3">
      <c r="A92" t="s">
        <v>345</v>
      </c>
      <c r="B92" t="s">
        <v>346</v>
      </c>
      <c r="C92" t="s">
        <v>347</v>
      </c>
      <c r="D92" t="s">
        <v>347</v>
      </c>
      <c r="E92" t="s">
        <v>348</v>
      </c>
      <c r="F92">
        <v>0</v>
      </c>
      <c r="G92">
        <v>90</v>
      </c>
      <c r="H92">
        <f>IF(Table1[[#This Row],[my_ent_1]]=Table1[[#This Row],[their_ent_1]], 1, 0)</f>
        <v>0</v>
      </c>
      <c r="I92">
        <f>IF(Table1[[#This Row],[my_ent_2]]=Table1[[#This Row],[their_ent_2]], 1, 0)</f>
        <v>0</v>
      </c>
      <c r="J92">
        <f>IF(Table1[[#This Row],[same_1]]=1 &amp; Table1[[#This Row],[same_2]]=1, 1, 0)</f>
        <v>0</v>
      </c>
      <c r="K92">
        <f>IF(ISNUMBER(SEARCH(Table1[[#This Row],[their_ent_1]],Table1[[#This Row],[my_ent_1]])), 1, 0)</f>
        <v>0</v>
      </c>
      <c r="L92">
        <f>IF(ISNUMBER(SEARCH(Table1[[#This Row],[their_ent_2]],Table1[[#This Row],[my_ent_2]])), 1, 0)</f>
        <v>0</v>
      </c>
    </row>
    <row r="93" spans="1:12" hidden="1" x14ac:dyDescent="0.3">
      <c r="A93" t="s">
        <v>349</v>
      </c>
      <c r="B93" t="s">
        <v>350</v>
      </c>
      <c r="C93" t="s">
        <v>351</v>
      </c>
      <c r="D93" t="s">
        <v>147</v>
      </c>
      <c r="E93" t="s">
        <v>352</v>
      </c>
      <c r="F93">
        <v>0</v>
      </c>
      <c r="G93">
        <v>91</v>
      </c>
      <c r="H93">
        <f>IF(Table1[[#This Row],[my_ent_1]]=Table1[[#This Row],[their_ent_1]], 1, 0)</f>
        <v>0</v>
      </c>
      <c r="I93">
        <f>IF(Table1[[#This Row],[my_ent_2]]=Table1[[#This Row],[their_ent_2]], 1, 0)</f>
        <v>0</v>
      </c>
      <c r="J93">
        <f>IF(Table1[[#This Row],[same_1]]=1 &amp; Table1[[#This Row],[same_2]]=1, 1, 0)</f>
        <v>0</v>
      </c>
      <c r="K93">
        <f>IF(ISNUMBER(SEARCH(Table1[[#This Row],[their_ent_1]],Table1[[#This Row],[my_ent_1]])), 1, 0)</f>
        <v>0</v>
      </c>
      <c r="L93">
        <f>IF(ISNUMBER(SEARCH(Table1[[#This Row],[their_ent_2]],Table1[[#This Row],[my_ent_2]])), 1, 0)</f>
        <v>0</v>
      </c>
    </row>
    <row r="94" spans="1:12" hidden="1" x14ac:dyDescent="0.3">
      <c r="A94" t="s">
        <v>353</v>
      </c>
      <c r="B94" t="s">
        <v>352</v>
      </c>
      <c r="C94" t="s">
        <v>352</v>
      </c>
      <c r="D94" t="s">
        <v>51</v>
      </c>
      <c r="E94" t="s">
        <v>354</v>
      </c>
      <c r="F94">
        <v>0</v>
      </c>
      <c r="G94">
        <v>92</v>
      </c>
      <c r="H94">
        <f>IF(Table1[[#This Row],[my_ent_1]]=Table1[[#This Row],[their_ent_1]], 1, 0)</f>
        <v>1</v>
      </c>
      <c r="I94">
        <f>IF(Table1[[#This Row],[my_ent_2]]=Table1[[#This Row],[their_ent_2]], 1, 0)</f>
        <v>0</v>
      </c>
      <c r="J94">
        <f>IF(Table1[[#This Row],[same_1]]=1 &amp; Table1[[#This Row],[same_2]]=1, 1, 0)</f>
        <v>0</v>
      </c>
      <c r="K94">
        <f>IF(ISNUMBER(SEARCH(Table1[[#This Row],[their_ent_1]],Table1[[#This Row],[my_ent_1]])), 1, 0)</f>
        <v>1</v>
      </c>
      <c r="L94">
        <f>IF(ISNUMBER(SEARCH(Table1[[#This Row],[their_ent_2]],Table1[[#This Row],[my_ent_2]])), 1, 0)</f>
        <v>0</v>
      </c>
    </row>
    <row r="95" spans="1:12" hidden="1" x14ac:dyDescent="0.3">
      <c r="A95" t="s">
        <v>355</v>
      </c>
      <c r="B95" t="s">
        <v>356</v>
      </c>
      <c r="C95" t="s">
        <v>356</v>
      </c>
      <c r="D95" t="s">
        <v>357</v>
      </c>
      <c r="E95" t="s">
        <v>358</v>
      </c>
      <c r="F95">
        <v>0</v>
      </c>
      <c r="G95">
        <v>93</v>
      </c>
      <c r="H95">
        <f>IF(Table1[[#This Row],[my_ent_1]]=Table1[[#This Row],[their_ent_1]], 1, 0)</f>
        <v>1</v>
      </c>
      <c r="I95">
        <f>IF(Table1[[#This Row],[my_ent_2]]=Table1[[#This Row],[their_ent_2]], 1, 0)</f>
        <v>0</v>
      </c>
      <c r="J95">
        <f>IF(Table1[[#This Row],[same_1]]=1 &amp; Table1[[#This Row],[same_2]]=1, 1, 0)</f>
        <v>0</v>
      </c>
      <c r="K95">
        <f>IF(ISNUMBER(SEARCH(Table1[[#This Row],[their_ent_1]],Table1[[#This Row],[my_ent_1]])), 1, 0)</f>
        <v>1</v>
      </c>
      <c r="L95">
        <f>IF(ISNUMBER(SEARCH(Table1[[#This Row],[their_ent_2]],Table1[[#This Row],[my_ent_2]])), 1, 0)</f>
        <v>0</v>
      </c>
    </row>
    <row r="96" spans="1:12" hidden="1" x14ac:dyDescent="0.3">
      <c r="A96" t="s">
        <v>359</v>
      </c>
      <c r="B96" t="s">
        <v>360</v>
      </c>
      <c r="C96" t="s">
        <v>361</v>
      </c>
      <c r="D96" t="s">
        <v>362</v>
      </c>
      <c r="E96" t="s">
        <v>363</v>
      </c>
      <c r="F96">
        <v>0</v>
      </c>
      <c r="G96">
        <v>94</v>
      </c>
      <c r="H96">
        <f>IF(Table1[[#This Row],[my_ent_1]]=Table1[[#This Row],[their_ent_1]], 1, 0)</f>
        <v>0</v>
      </c>
      <c r="I96">
        <f>IF(Table1[[#This Row],[my_ent_2]]=Table1[[#This Row],[their_ent_2]], 1, 0)</f>
        <v>0</v>
      </c>
      <c r="J96">
        <f>IF(Table1[[#This Row],[same_1]]=1 &amp; Table1[[#This Row],[same_2]]=1, 1, 0)</f>
        <v>0</v>
      </c>
      <c r="K96">
        <f>IF(ISNUMBER(SEARCH(Table1[[#This Row],[their_ent_1]],Table1[[#This Row],[my_ent_1]])), 1, 0)</f>
        <v>0</v>
      </c>
      <c r="L96">
        <f>IF(ISNUMBER(SEARCH(Table1[[#This Row],[their_ent_2]],Table1[[#This Row],[my_ent_2]])), 1, 0)</f>
        <v>0</v>
      </c>
    </row>
    <row r="97" spans="1:12" hidden="1" x14ac:dyDescent="0.3">
      <c r="A97" t="s">
        <v>364</v>
      </c>
      <c r="B97" t="s">
        <v>365</v>
      </c>
      <c r="C97" t="s">
        <v>365</v>
      </c>
      <c r="D97" t="s">
        <v>263</v>
      </c>
      <c r="E97" t="s">
        <v>366</v>
      </c>
      <c r="F97">
        <v>0</v>
      </c>
      <c r="G97">
        <v>95</v>
      </c>
      <c r="H97">
        <f>IF(Table1[[#This Row],[my_ent_1]]=Table1[[#This Row],[their_ent_1]], 1, 0)</f>
        <v>1</v>
      </c>
      <c r="I97">
        <f>IF(Table1[[#This Row],[my_ent_2]]=Table1[[#This Row],[their_ent_2]], 1, 0)</f>
        <v>0</v>
      </c>
      <c r="J97">
        <f>IF(Table1[[#This Row],[same_1]]=1 &amp; Table1[[#This Row],[same_2]]=1, 1, 0)</f>
        <v>0</v>
      </c>
      <c r="K97">
        <f>IF(ISNUMBER(SEARCH(Table1[[#This Row],[their_ent_1]],Table1[[#This Row],[my_ent_1]])), 1, 0)</f>
        <v>1</v>
      </c>
      <c r="L97">
        <f>IF(ISNUMBER(SEARCH(Table1[[#This Row],[their_ent_2]],Table1[[#This Row],[my_ent_2]])), 1, 0)</f>
        <v>0</v>
      </c>
    </row>
    <row r="98" spans="1:12" hidden="1" x14ac:dyDescent="0.3">
      <c r="A98" t="s">
        <v>367</v>
      </c>
      <c r="B98" t="s">
        <v>368</v>
      </c>
      <c r="C98" t="s">
        <v>369</v>
      </c>
      <c r="D98" t="s">
        <v>370</v>
      </c>
      <c r="E98" t="s">
        <v>371</v>
      </c>
      <c r="F98">
        <v>0</v>
      </c>
      <c r="G98">
        <v>96</v>
      </c>
      <c r="H98">
        <f>IF(Table1[[#This Row],[my_ent_1]]=Table1[[#This Row],[their_ent_1]], 1, 0)</f>
        <v>0</v>
      </c>
      <c r="I98">
        <f>IF(Table1[[#This Row],[my_ent_2]]=Table1[[#This Row],[their_ent_2]], 1, 0)</f>
        <v>0</v>
      </c>
      <c r="J98">
        <f>IF(Table1[[#This Row],[same_1]]=1 &amp; Table1[[#This Row],[same_2]]=1, 1, 0)</f>
        <v>0</v>
      </c>
      <c r="K98">
        <f>IF(ISNUMBER(SEARCH(Table1[[#This Row],[their_ent_1]],Table1[[#This Row],[my_ent_1]])), 1, 0)</f>
        <v>0</v>
      </c>
      <c r="L98">
        <f>IF(ISNUMBER(SEARCH(Table1[[#This Row],[their_ent_2]],Table1[[#This Row],[my_ent_2]])), 1, 0)</f>
        <v>0</v>
      </c>
    </row>
    <row r="99" spans="1:12" hidden="1" x14ac:dyDescent="0.3">
      <c r="A99" t="s">
        <v>372</v>
      </c>
      <c r="B99" t="s">
        <v>373</v>
      </c>
      <c r="C99" t="s">
        <v>374</v>
      </c>
      <c r="D99" t="s">
        <v>375</v>
      </c>
      <c r="E99" t="s">
        <v>376</v>
      </c>
      <c r="F99">
        <v>0</v>
      </c>
      <c r="G99">
        <v>97</v>
      </c>
      <c r="H99">
        <f>IF(Table1[[#This Row],[my_ent_1]]=Table1[[#This Row],[their_ent_1]], 1, 0)</f>
        <v>0</v>
      </c>
      <c r="I99">
        <f>IF(Table1[[#This Row],[my_ent_2]]=Table1[[#This Row],[their_ent_2]], 1, 0)</f>
        <v>0</v>
      </c>
      <c r="J99">
        <f>IF(Table1[[#This Row],[same_1]]=1 &amp; Table1[[#This Row],[same_2]]=1, 1, 0)</f>
        <v>0</v>
      </c>
      <c r="K99">
        <f>IF(ISNUMBER(SEARCH(Table1[[#This Row],[their_ent_1]],Table1[[#This Row],[my_ent_1]])), 1, 0)</f>
        <v>1</v>
      </c>
      <c r="L99">
        <f>IF(ISNUMBER(SEARCH(Table1[[#This Row],[their_ent_2]],Table1[[#This Row],[my_ent_2]])), 1, 0)</f>
        <v>0</v>
      </c>
    </row>
    <row r="100" spans="1:12" x14ac:dyDescent="0.3">
      <c r="A100" t="e">
        <f>- Gold traded steady on Tuesday following its biggest one-day rise in two weeks, supported by hopes of a U.S. solution to its fiscal problems and Middle East tension, but weighed down by a firmer dollar as a result of Frances rating downgrade.</f>
        <v>#NAME?</v>
      </c>
      <c r="B100" t="s">
        <v>296</v>
      </c>
      <c r="C100" t="s">
        <v>296</v>
      </c>
      <c r="D100" t="s">
        <v>377</v>
      </c>
      <c r="E100" t="s">
        <v>378</v>
      </c>
      <c r="F100">
        <v>0</v>
      </c>
      <c r="G100">
        <v>98</v>
      </c>
      <c r="H100">
        <f>IF(Table1[[#This Row],[my_ent_1]]=Table1[[#This Row],[their_ent_1]], 1, 0)</f>
        <v>1</v>
      </c>
      <c r="I100">
        <f>IF(Table1[[#This Row],[my_ent_2]]=Table1[[#This Row],[their_ent_2]], 1, 0)</f>
        <v>0</v>
      </c>
      <c r="J100">
        <f>IF(Table1[[#This Row],[same_1]]=1 &amp; Table1[[#This Row],[same_2]]=1, 1, 0)</f>
        <v>0</v>
      </c>
      <c r="K100">
        <f>IF(ISNUMBER(SEARCH(Table1[[#This Row],[their_ent_1]],Table1[[#This Row],[my_ent_1]])), 1, 0)</f>
        <v>1</v>
      </c>
      <c r="L100">
        <f>IF(ISNUMBER(SEARCH(Table1[[#This Row],[their_ent_2]],Table1[[#This Row],[my_ent_2]])), 1, 0)</f>
        <v>1</v>
      </c>
    </row>
    <row r="101" spans="1:12" hidden="1" x14ac:dyDescent="0.3">
      <c r="A101" t="s">
        <v>379</v>
      </c>
      <c r="B101" t="s">
        <v>380</v>
      </c>
      <c r="C101" t="s">
        <v>329</v>
      </c>
      <c r="D101" t="s">
        <v>381</v>
      </c>
      <c r="E101" t="s">
        <v>382</v>
      </c>
      <c r="F101">
        <v>0</v>
      </c>
      <c r="G101">
        <v>99</v>
      </c>
      <c r="H101">
        <f>IF(Table1[[#This Row],[my_ent_1]]=Table1[[#This Row],[their_ent_1]], 1, 0)</f>
        <v>0</v>
      </c>
      <c r="I101">
        <f>IF(Table1[[#This Row],[my_ent_2]]=Table1[[#This Row],[their_ent_2]], 1, 0)</f>
        <v>0</v>
      </c>
      <c r="J101">
        <f>IF(Table1[[#This Row],[same_1]]=1 &amp; Table1[[#This Row],[same_2]]=1, 1, 0)</f>
        <v>0</v>
      </c>
      <c r="K101">
        <f>IF(ISNUMBER(SEARCH(Table1[[#This Row],[their_ent_1]],Table1[[#This Row],[my_ent_1]])), 1, 0)</f>
        <v>0</v>
      </c>
      <c r="L101">
        <f>IF(ISNUMBER(SEARCH(Table1[[#This Row],[their_ent_2]],Table1[[#This Row],[my_ent_2]])), 1, 0)</f>
        <v>1</v>
      </c>
    </row>
    <row r="102" spans="1:12" hidden="1" x14ac:dyDescent="0.3">
      <c r="A102" t="s">
        <v>383</v>
      </c>
      <c r="B102" t="s">
        <v>384</v>
      </c>
      <c r="C102" t="s">
        <v>385</v>
      </c>
      <c r="D102" t="s">
        <v>386</v>
      </c>
      <c r="E102" t="s">
        <v>387</v>
      </c>
      <c r="F102">
        <v>0</v>
      </c>
      <c r="G102">
        <v>100</v>
      </c>
      <c r="H102">
        <f>IF(Table1[[#This Row],[my_ent_1]]=Table1[[#This Row],[their_ent_1]], 1, 0)</f>
        <v>0</v>
      </c>
      <c r="I102">
        <f>IF(Table1[[#This Row],[my_ent_2]]=Table1[[#This Row],[their_ent_2]], 1, 0)</f>
        <v>0</v>
      </c>
      <c r="J102">
        <f>IF(Table1[[#This Row],[same_1]]=1 &amp; Table1[[#This Row],[same_2]]=1, 1, 0)</f>
        <v>0</v>
      </c>
      <c r="K102">
        <f>IF(ISNUMBER(SEARCH(Table1[[#This Row],[their_ent_1]],Table1[[#This Row],[my_ent_1]])), 1, 0)</f>
        <v>0</v>
      </c>
      <c r="L102">
        <f>IF(ISNUMBER(SEARCH(Table1[[#This Row],[their_ent_2]],Table1[[#This Row],[my_ent_2]])), 1, 0)</f>
        <v>0</v>
      </c>
    </row>
    <row r="103" spans="1:12" hidden="1" x14ac:dyDescent="0.3">
      <c r="A103" t="s">
        <v>388</v>
      </c>
      <c r="B103" t="s">
        <v>54</v>
      </c>
      <c r="C103" t="s">
        <v>389</v>
      </c>
      <c r="D103" t="s">
        <v>54</v>
      </c>
      <c r="E103" t="s">
        <v>390</v>
      </c>
      <c r="F103">
        <v>0</v>
      </c>
      <c r="G103">
        <v>101</v>
      </c>
      <c r="H103">
        <f>IF(Table1[[#This Row],[my_ent_1]]=Table1[[#This Row],[their_ent_1]], 1, 0)</f>
        <v>0</v>
      </c>
      <c r="I103">
        <f>IF(Table1[[#This Row],[my_ent_2]]=Table1[[#This Row],[their_ent_2]], 1, 0)</f>
        <v>0</v>
      </c>
      <c r="J103">
        <f>IF(Table1[[#This Row],[same_1]]=1 &amp; Table1[[#This Row],[same_2]]=1, 1, 0)</f>
        <v>0</v>
      </c>
      <c r="K103">
        <f>IF(ISNUMBER(SEARCH(Table1[[#This Row],[their_ent_1]],Table1[[#This Row],[my_ent_1]])), 1, 0)</f>
        <v>0</v>
      </c>
      <c r="L103">
        <f>IF(ISNUMBER(SEARCH(Table1[[#This Row],[their_ent_2]],Table1[[#This Row],[my_ent_2]])), 1, 0)</f>
        <v>0</v>
      </c>
    </row>
    <row r="104" spans="1:12" hidden="1" x14ac:dyDescent="0.3">
      <c r="A104" t="s">
        <v>391</v>
      </c>
      <c r="B104" t="s">
        <v>392</v>
      </c>
      <c r="C104" t="s">
        <v>392</v>
      </c>
      <c r="D104" t="s">
        <v>51</v>
      </c>
      <c r="E104" t="s">
        <v>393</v>
      </c>
      <c r="F104">
        <v>0</v>
      </c>
      <c r="G104">
        <v>102</v>
      </c>
      <c r="H104">
        <f>IF(Table1[[#This Row],[my_ent_1]]=Table1[[#This Row],[their_ent_1]], 1, 0)</f>
        <v>1</v>
      </c>
      <c r="I104">
        <f>IF(Table1[[#This Row],[my_ent_2]]=Table1[[#This Row],[their_ent_2]], 1, 0)</f>
        <v>0</v>
      </c>
      <c r="J104">
        <f>IF(Table1[[#This Row],[same_1]]=1 &amp; Table1[[#This Row],[same_2]]=1, 1, 0)</f>
        <v>0</v>
      </c>
      <c r="K104">
        <f>IF(ISNUMBER(SEARCH(Table1[[#This Row],[their_ent_1]],Table1[[#This Row],[my_ent_1]])), 1, 0)</f>
        <v>1</v>
      </c>
      <c r="L104">
        <f>IF(ISNUMBER(SEARCH(Table1[[#This Row],[their_ent_2]],Table1[[#This Row],[my_ent_2]])), 1, 0)</f>
        <v>0</v>
      </c>
    </row>
    <row r="105" spans="1:12" hidden="1" x14ac:dyDescent="0.3">
      <c r="A105" t="s">
        <v>394</v>
      </c>
      <c r="B105" t="s">
        <v>395</v>
      </c>
      <c r="C105" t="s">
        <v>395</v>
      </c>
      <c r="D105" t="s">
        <v>7</v>
      </c>
      <c r="E105" t="s">
        <v>15</v>
      </c>
      <c r="F105">
        <v>0</v>
      </c>
      <c r="G105">
        <v>103</v>
      </c>
      <c r="H105">
        <f>IF(Table1[[#This Row],[my_ent_1]]=Table1[[#This Row],[their_ent_1]], 1, 0)</f>
        <v>1</v>
      </c>
      <c r="I105">
        <f>IF(Table1[[#This Row],[my_ent_2]]=Table1[[#This Row],[their_ent_2]], 1, 0)</f>
        <v>0</v>
      </c>
      <c r="J105">
        <f>IF(Table1[[#This Row],[same_1]]=1 &amp; Table1[[#This Row],[same_2]]=1, 1, 0)</f>
        <v>0</v>
      </c>
      <c r="K105">
        <f>IF(ISNUMBER(SEARCH(Table1[[#This Row],[their_ent_1]],Table1[[#This Row],[my_ent_1]])), 1, 0)</f>
        <v>1</v>
      </c>
      <c r="L105">
        <f>IF(ISNUMBER(SEARCH(Table1[[#This Row],[their_ent_2]],Table1[[#This Row],[my_ent_2]])), 1, 0)</f>
        <v>0</v>
      </c>
    </row>
    <row r="106" spans="1:12" x14ac:dyDescent="0.3">
      <c r="A106" t="s">
        <v>396</v>
      </c>
      <c r="B106" t="s">
        <v>397</v>
      </c>
      <c r="C106" t="s">
        <v>397</v>
      </c>
      <c r="D106" t="s">
        <v>398</v>
      </c>
      <c r="E106" t="s">
        <v>399</v>
      </c>
      <c r="F106">
        <v>0</v>
      </c>
      <c r="G106">
        <v>104</v>
      </c>
      <c r="H106">
        <f>IF(Table1[[#This Row],[my_ent_1]]=Table1[[#This Row],[their_ent_1]], 1, 0)</f>
        <v>1</v>
      </c>
      <c r="I106">
        <f>IF(Table1[[#This Row],[my_ent_2]]=Table1[[#This Row],[their_ent_2]], 1, 0)</f>
        <v>0</v>
      </c>
      <c r="J106">
        <f>IF(Table1[[#This Row],[same_1]]=1 &amp; Table1[[#This Row],[same_2]]=1, 1, 0)</f>
        <v>0</v>
      </c>
      <c r="K106">
        <f>IF(ISNUMBER(SEARCH(Table1[[#This Row],[their_ent_1]],Table1[[#This Row],[my_ent_1]])), 1, 0)</f>
        <v>1</v>
      </c>
      <c r="L106">
        <f>IF(ISNUMBER(SEARCH(Table1[[#This Row],[their_ent_2]],Table1[[#This Row],[my_ent_2]])), 1, 0)</f>
        <v>1</v>
      </c>
    </row>
    <row r="107" spans="1:12" x14ac:dyDescent="0.3">
      <c r="A107" t="s">
        <v>400</v>
      </c>
      <c r="B107" t="s">
        <v>401</v>
      </c>
      <c r="C107" t="s">
        <v>30</v>
      </c>
      <c r="D107" t="s">
        <v>402</v>
      </c>
      <c r="E107" t="s">
        <v>402</v>
      </c>
      <c r="F107">
        <v>0</v>
      </c>
      <c r="G107">
        <v>105</v>
      </c>
      <c r="H107">
        <f>IF(Table1[[#This Row],[my_ent_1]]=Table1[[#This Row],[their_ent_1]], 1, 0)</f>
        <v>0</v>
      </c>
      <c r="I107">
        <f>IF(Table1[[#This Row],[my_ent_2]]=Table1[[#This Row],[their_ent_2]], 1, 0)</f>
        <v>1</v>
      </c>
      <c r="J107">
        <f>IF(Table1[[#This Row],[same_1]]=1 &amp; Table1[[#This Row],[same_2]]=1, 1, 0)</f>
        <v>0</v>
      </c>
      <c r="K107">
        <f>IF(ISNUMBER(SEARCH(Table1[[#This Row],[their_ent_1]],Table1[[#This Row],[my_ent_1]])), 1, 0)</f>
        <v>1</v>
      </c>
      <c r="L107">
        <f>IF(ISNUMBER(SEARCH(Table1[[#This Row],[their_ent_2]],Table1[[#This Row],[my_ent_2]])), 1, 0)</f>
        <v>1</v>
      </c>
    </row>
    <row r="108" spans="1:12" x14ac:dyDescent="0.3">
      <c r="A108" t="s">
        <v>403</v>
      </c>
      <c r="B108" t="s">
        <v>404</v>
      </c>
      <c r="C108" t="s">
        <v>404</v>
      </c>
      <c r="D108" t="s">
        <v>405</v>
      </c>
      <c r="E108" t="s">
        <v>406</v>
      </c>
      <c r="F108">
        <v>0</v>
      </c>
      <c r="G108">
        <v>106</v>
      </c>
      <c r="H108">
        <f>IF(Table1[[#This Row],[my_ent_1]]=Table1[[#This Row],[their_ent_1]], 1, 0)</f>
        <v>1</v>
      </c>
      <c r="I108">
        <f>IF(Table1[[#This Row],[my_ent_2]]=Table1[[#This Row],[their_ent_2]], 1, 0)</f>
        <v>0</v>
      </c>
      <c r="J108">
        <f>IF(Table1[[#This Row],[same_1]]=1 &amp; Table1[[#This Row],[same_2]]=1, 1, 0)</f>
        <v>0</v>
      </c>
      <c r="K108">
        <f>IF(ISNUMBER(SEARCH(Table1[[#This Row],[their_ent_1]],Table1[[#This Row],[my_ent_1]])), 1, 0)</f>
        <v>1</v>
      </c>
      <c r="L108">
        <f>IF(ISNUMBER(SEARCH(Table1[[#This Row],[their_ent_2]],Table1[[#This Row],[my_ent_2]])), 1, 0)</f>
        <v>1</v>
      </c>
    </row>
    <row r="109" spans="1:12" hidden="1" x14ac:dyDescent="0.3">
      <c r="A109" t="s">
        <v>407</v>
      </c>
      <c r="B109" t="s">
        <v>408</v>
      </c>
      <c r="C109" t="s">
        <v>409</v>
      </c>
      <c r="D109" t="s">
        <v>410</v>
      </c>
      <c r="E109" t="s">
        <v>411</v>
      </c>
      <c r="F109">
        <v>0</v>
      </c>
      <c r="G109">
        <v>107</v>
      </c>
      <c r="H109">
        <f>IF(Table1[[#This Row],[my_ent_1]]=Table1[[#This Row],[their_ent_1]], 1, 0)</f>
        <v>0</v>
      </c>
      <c r="I109">
        <f>IF(Table1[[#This Row],[my_ent_2]]=Table1[[#This Row],[their_ent_2]], 1, 0)</f>
        <v>0</v>
      </c>
      <c r="J109">
        <f>IF(Table1[[#This Row],[same_1]]=1 &amp; Table1[[#This Row],[same_2]]=1, 1, 0)</f>
        <v>0</v>
      </c>
      <c r="K109">
        <f>IF(ISNUMBER(SEARCH(Table1[[#This Row],[their_ent_1]],Table1[[#This Row],[my_ent_1]])), 1, 0)</f>
        <v>0</v>
      </c>
      <c r="L109">
        <f>IF(ISNUMBER(SEARCH(Table1[[#This Row],[their_ent_2]],Table1[[#This Row],[my_ent_2]])), 1, 0)</f>
        <v>1</v>
      </c>
    </row>
    <row r="110" spans="1:12" hidden="1" x14ac:dyDescent="0.3">
      <c r="A110" t="s">
        <v>412</v>
      </c>
      <c r="B110" t="s">
        <v>413</v>
      </c>
      <c r="C110" t="s">
        <v>414</v>
      </c>
      <c r="D110" t="s">
        <v>415</v>
      </c>
      <c r="E110" t="s">
        <v>416</v>
      </c>
      <c r="F110">
        <v>0</v>
      </c>
      <c r="G110">
        <v>108</v>
      </c>
      <c r="H110">
        <f>IF(Table1[[#This Row],[my_ent_1]]=Table1[[#This Row],[their_ent_1]], 1, 0)</f>
        <v>0</v>
      </c>
      <c r="I110">
        <f>IF(Table1[[#This Row],[my_ent_2]]=Table1[[#This Row],[their_ent_2]], 1, 0)</f>
        <v>0</v>
      </c>
      <c r="J110">
        <f>IF(Table1[[#This Row],[same_1]]=1 &amp; Table1[[#This Row],[same_2]]=1, 1, 0)</f>
        <v>0</v>
      </c>
      <c r="K110">
        <f>IF(ISNUMBER(SEARCH(Table1[[#This Row],[their_ent_1]],Table1[[#This Row],[my_ent_1]])), 1, 0)</f>
        <v>0</v>
      </c>
      <c r="L110">
        <f>IF(ISNUMBER(SEARCH(Table1[[#This Row],[their_ent_2]],Table1[[#This Row],[my_ent_2]])), 1, 0)</f>
        <v>0</v>
      </c>
    </row>
    <row r="111" spans="1:12" hidden="1" x14ac:dyDescent="0.3">
      <c r="A111" t="s">
        <v>417</v>
      </c>
      <c r="B111" t="s">
        <v>418</v>
      </c>
      <c r="C111" t="s">
        <v>419</v>
      </c>
      <c r="D111" t="s">
        <v>404</v>
      </c>
      <c r="E111" t="s">
        <v>420</v>
      </c>
      <c r="F111">
        <v>0</v>
      </c>
      <c r="G111">
        <v>109</v>
      </c>
      <c r="H111">
        <f>IF(Table1[[#This Row],[my_ent_1]]=Table1[[#This Row],[their_ent_1]], 1, 0)</f>
        <v>0</v>
      </c>
      <c r="I111">
        <f>IF(Table1[[#This Row],[my_ent_2]]=Table1[[#This Row],[their_ent_2]], 1, 0)</f>
        <v>0</v>
      </c>
      <c r="J111">
        <f>IF(Table1[[#This Row],[same_1]]=1 &amp; Table1[[#This Row],[same_2]]=1, 1, 0)</f>
        <v>0</v>
      </c>
      <c r="K111">
        <f>IF(ISNUMBER(SEARCH(Table1[[#This Row],[their_ent_1]],Table1[[#This Row],[my_ent_1]])), 1, 0)</f>
        <v>0</v>
      </c>
      <c r="L111">
        <f>IF(ISNUMBER(SEARCH(Table1[[#This Row],[their_ent_2]],Table1[[#This Row],[my_ent_2]])), 1, 0)</f>
        <v>0</v>
      </c>
    </row>
    <row r="112" spans="1:12" x14ac:dyDescent="0.3">
      <c r="A112" t="s">
        <v>421</v>
      </c>
      <c r="B112" t="s">
        <v>422</v>
      </c>
      <c r="C112" t="s">
        <v>422</v>
      </c>
      <c r="D112" t="s">
        <v>423</v>
      </c>
      <c r="E112" t="s">
        <v>213</v>
      </c>
      <c r="F112">
        <v>0</v>
      </c>
      <c r="G112">
        <v>110</v>
      </c>
      <c r="H112">
        <f>IF(Table1[[#This Row],[my_ent_1]]=Table1[[#This Row],[their_ent_1]], 1, 0)</f>
        <v>1</v>
      </c>
      <c r="I112">
        <f>IF(Table1[[#This Row],[my_ent_2]]=Table1[[#This Row],[their_ent_2]], 1, 0)</f>
        <v>0</v>
      </c>
      <c r="J112">
        <f>IF(Table1[[#This Row],[same_1]]=1 &amp; Table1[[#This Row],[same_2]]=1, 1, 0)</f>
        <v>0</v>
      </c>
      <c r="K112">
        <f>IF(ISNUMBER(SEARCH(Table1[[#This Row],[their_ent_1]],Table1[[#This Row],[my_ent_1]])), 1, 0)</f>
        <v>1</v>
      </c>
      <c r="L112">
        <f>IF(ISNUMBER(SEARCH(Table1[[#This Row],[their_ent_2]],Table1[[#This Row],[my_ent_2]])), 1, 0)</f>
        <v>1</v>
      </c>
    </row>
    <row r="113" spans="1:12" hidden="1" x14ac:dyDescent="0.3">
      <c r="A113" t="s">
        <v>424</v>
      </c>
      <c r="B113" t="s">
        <v>425</v>
      </c>
      <c r="C113" t="s">
        <v>426</v>
      </c>
      <c r="D113" t="s">
        <v>31</v>
      </c>
      <c r="E113" t="s">
        <v>31</v>
      </c>
      <c r="F113">
        <v>0</v>
      </c>
      <c r="G113">
        <v>111</v>
      </c>
      <c r="H113">
        <f>IF(Table1[[#This Row],[my_ent_1]]=Table1[[#This Row],[their_ent_1]], 1, 0)</f>
        <v>0</v>
      </c>
      <c r="I113">
        <f>IF(Table1[[#This Row],[my_ent_2]]=Table1[[#This Row],[their_ent_2]], 1, 0)</f>
        <v>1</v>
      </c>
      <c r="J113">
        <f>IF(Table1[[#This Row],[same_1]]=1 &amp; Table1[[#This Row],[same_2]]=1, 1, 0)</f>
        <v>0</v>
      </c>
      <c r="K113">
        <f>IF(ISNUMBER(SEARCH(Table1[[#This Row],[their_ent_1]],Table1[[#This Row],[my_ent_1]])), 1, 0)</f>
        <v>0</v>
      </c>
      <c r="L113">
        <f>IF(ISNUMBER(SEARCH(Table1[[#This Row],[their_ent_2]],Table1[[#This Row],[my_ent_2]])), 1, 0)</f>
        <v>1</v>
      </c>
    </row>
    <row r="114" spans="1:12" hidden="1" x14ac:dyDescent="0.3">
      <c r="A114" t="s">
        <v>427</v>
      </c>
      <c r="B114" t="s">
        <v>428</v>
      </c>
      <c r="C114" t="s">
        <v>429</v>
      </c>
      <c r="D114" t="s">
        <v>430</v>
      </c>
      <c r="E114" t="s">
        <v>352</v>
      </c>
      <c r="F114">
        <v>0</v>
      </c>
      <c r="G114">
        <v>112</v>
      </c>
      <c r="H114">
        <f>IF(Table1[[#This Row],[my_ent_1]]=Table1[[#This Row],[their_ent_1]], 1, 0)</f>
        <v>0</v>
      </c>
      <c r="I114">
        <f>IF(Table1[[#This Row],[my_ent_2]]=Table1[[#This Row],[their_ent_2]], 1, 0)</f>
        <v>0</v>
      </c>
      <c r="J114">
        <f>IF(Table1[[#This Row],[same_1]]=1 &amp; Table1[[#This Row],[same_2]]=1, 1, 0)</f>
        <v>0</v>
      </c>
      <c r="K114">
        <f>IF(ISNUMBER(SEARCH(Table1[[#This Row],[their_ent_1]],Table1[[#This Row],[my_ent_1]])), 1, 0)</f>
        <v>0</v>
      </c>
      <c r="L114">
        <f>IF(ISNUMBER(SEARCH(Table1[[#This Row],[their_ent_2]],Table1[[#This Row],[my_ent_2]])), 1, 0)</f>
        <v>0</v>
      </c>
    </row>
    <row r="115" spans="1:12" hidden="1" x14ac:dyDescent="0.3">
      <c r="A115" t="s">
        <v>431</v>
      </c>
      <c r="B115" t="s">
        <v>432</v>
      </c>
      <c r="C115" t="s">
        <v>432</v>
      </c>
      <c r="D115" t="s">
        <v>58</v>
      </c>
      <c r="E115" t="s">
        <v>183</v>
      </c>
      <c r="F115">
        <v>0</v>
      </c>
      <c r="G115">
        <v>113</v>
      </c>
      <c r="H115">
        <f>IF(Table1[[#This Row],[my_ent_1]]=Table1[[#This Row],[their_ent_1]], 1, 0)</f>
        <v>1</v>
      </c>
      <c r="I115">
        <f>IF(Table1[[#This Row],[my_ent_2]]=Table1[[#This Row],[their_ent_2]], 1, 0)</f>
        <v>0</v>
      </c>
      <c r="J115">
        <f>IF(Table1[[#This Row],[same_1]]=1 &amp; Table1[[#This Row],[same_2]]=1, 1, 0)</f>
        <v>0</v>
      </c>
      <c r="K115">
        <f>IF(ISNUMBER(SEARCH(Table1[[#This Row],[their_ent_1]],Table1[[#This Row],[my_ent_1]])), 1, 0)</f>
        <v>1</v>
      </c>
      <c r="L115">
        <f>IF(ISNUMBER(SEARCH(Table1[[#This Row],[their_ent_2]],Table1[[#This Row],[my_ent_2]])), 1, 0)</f>
        <v>0</v>
      </c>
    </row>
    <row r="116" spans="1:12" hidden="1" x14ac:dyDescent="0.3">
      <c r="A116" t="s">
        <v>433</v>
      </c>
      <c r="B116" t="s">
        <v>434</v>
      </c>
      <c r="C116" t="s">
        <v>435</v>
      </c>
      <c r="D116" t="s">
        <v>436</v>
      </c>
      <c r="E116" t="s">
        <v>437</v>
      </c>
      <c r="F116">
        <v>0</v>
      </c>
      <c r="G116">
        <v>114</v>
      </c>
      <c r="H116">
        <f>IF(Table1[[#This Row],[my_ent_1]]=Table1[[#This Row],[their_ent_1]], 1, 0)</f>
        <v>0</v>
      </c>
      <c r="I116">
        <f>IF(Table1[[#This Row],[my_ent_2]]=Table1[[#This Row],[their_ent_2]], 1, 0)</f>
        <v>0</v>
      </c>
      <c r="J116">
        <f>IF(Table1[[#This Row],[same_1]]=1 &amp; Table1[[#This Row],[same_2]]=1, 1, 0)</f>
        <v>0</v>
      </c>
      <c r="K116">
        <f>IF(ISNUMBER(SEARCH(Table1[[#This Row],[their_ent_1]],Table1[[#This Row],[my_ent_1]])), 1, 0)</f>
        <v>0</v>
      </c>
      <c r="L116">
        <f>IF(ISNUMBER(SEARCH(Table1[[#This Row],[their_ent_2]],Table1[[#This Row],[my_ent_2]])), 1, 0)</f>
        <v>0</v>
      </c>
    </row>
    <row r="117" spans="1:12" hidden="1" x14ac:dyDescent="0.3">
      <c r="A117" t="s">
        <v>438</v>
      </c>
      <c r="B117" t="s">
        <v>439</v>
      </c>
      <c r="C117" t="s">
        <v>440</v>
      </c>
      <c r="D117" t="s">
        <v>441</v>
      </c>
      <c r="E117" t="s">
        <v>442</v>
      </c>
      <c r="F117">
        <v>0</v>
      </c>
      <c r="G117">
        <v>115</v>
      </c>
      <c r="H117">
        <f>IF(Table1[[#This Row],[my_ent_1]]=Table1[[#This Row],[their_ent_1]], 1, 0)</f>
        <v>0</v>
      </c>
      <c r="I117">
        <f>IF(Table1[[#This Row],[my_ent_2]]=Table1[[#This Row],[their_ent_2]], 1, 0)</f>
        <v>0</v>
      </c>
      <c r="J117">
        <f>IF(Table1[[#This Row],[same_1]]=1 &amp; Table1[[#This Row],[same_2]]=1, 1, 0)</f>
        <v>0</v>
      </c>
      <c r="K117">
        <f>IF(ISNUMBER(SEARCH(Table1[[#This Row],[their_ent_1]],Table1[[#This Row],[my_ent_1]])), 1, 0)</f>
        <v>0</v>
      </c>
      <c r="L117">
        <f>IF(ISNUMBER(SEARCH(Table1[[#This Row],[their_ent_2]],Table1[[#This Row],[my_ent_2]])), 1, 0)</f>
        <v>0</v>
      </c>
    </row>
    <row r="118" spans="1:12" hidden="1" x14ac:dyDescent="0.3">
      <c r="A118" t="s">
        <v>443</v>
      </c>
      <c r="B118" t="s">
        <v>444</v>
      </c>
      <c r="C118" t="s">
        <v>236</v>
      </c>
      <c r="D118" t="s">
        <v>72</v>
      </c>
      <c r="E118" t="s">
        <v>72</v>
      </c>
      <c r="F118">
        <v>0</v>
      </c>
      <c r="G118">
        <v>116</v>
      </c>
      <c r="H118">
        <f>IF(Table1[[#This Row],[my_ent_1]]=Table1[[#This Row],[their_ent_1]], 1, 0)</f>
        <v>0</v>
      </c>
      <c r="I118">
        <f>IF(Table1[[#This Row],[my_ent_2]]=Table1[[#This Row],[their_ent_2]], 1, 0)</f>
        <v>1</v>
      </c>
      <c r="J118">
        <f>IF(Table1[[#This Row],[same_1]]=1 &amp; Table1[[#This Row],[same_2]]=1, 1, 0)</f>
        <v>0</v>
      </c>
      <c r="K118">
        <f>IF(ISNUMBER(SEARCH(Table1[[#This Row],[their_ent_1]],Table1[[#This Row],[my_ent_1]])), 1, 0)</f>
        <v>0</v>
      </c>
      <c r="L118">
        <f>IF(ISNUMBER(SEARCH(Table1[[#This Row],[their_ent_2]],Table1[[#This Row],[my_ent_2]])), 1, 0)</f>
        <v>1</v>
      </c>
    </row>
    <row r="119" spans="1:12" hidden="1" x14ac:dyDescent="0.3">
      <c r="A119" t="s">
        <v>445</v>
      </c>
      <c r="B119" t="s">
        <v>446</v>
      </c>
      <c r="C119" t="s">
        <v>446</v>
      </c>
      <c r="D119" t="s">
        <v>447</v>
      </c>
      <c r="E119" t="s">
        <v>448</v>
      </c>
      <c r="F119">
        <v>0</v>
      </c>
      <c r="G119">
        <v>117</v>
      </c>
      <c r="H119">
        <f>IF(Table1[[#This Row],[my_ent_1]]=Table1[[#This Row],[their_ent_1]], 1, 0)</f>
        <v>1</v>
      </c>
      <c r="I119">
        <f>IF(Table1[[#This Row],[my_ent_2]]=Table1[[#This Row],[their_ent_2]], 1, 0)</f>
        <v>0</v>
      </c>
      <c r="J119">
        <f>IF(Table1[[#This Row],[same_1]]=1 &amp; Table1[[#This Row],[same_2]]=1, 1, 0)</f>
        <v>0</v>
      </c>
      <c r="K119">
        <f>IF(ISNUMBER(SEARCH(Table1[[#This Row],[their_ent_1]],Table1[[#This Row],[my_ent_1]])), 1, 0)</f>
        <v>1</v>
      </c>
      <c r="L119">
        <f>IF(ISNUMBER(SEARCH(Table1[[#This Row],[their_ent_2]],Table1[[#This Row],[my_ent_2]])), 1, 0)</f>
        <v>0</v>
      </c>
    </row>
    <row r="120" spans="1:12" hidden="1" x14ac:dyDescent="0.3">
      <c r="A120" t="s">
        <v>449</v>
      </c>
      <c r="B120" t="s">
        <v>450</v>
      </c>
      <c r="C120" t="s">
        <v>451</v>
      </c>
      <c r="D120" t="s">
        <v>267</v>
      </c>
      <c r="E120" t="s">
        <v>450</v>
      </c>
      <c r="F120">
        <v>0</v>
      </c>
      <c r="G120">
        <v>118</v>
      </c>
      <c r="H120">
        <f>IF(Table1[[#This Row],[my_ent_1]]=Table1[[#This Row],[their_ent_1]], 1, 0)</f>
        <v>0</v>
      </c>
      <c r="I120">
        <f>IF(Table1[[#This Row],[my_ent_2]]=Table1[[#This Row],[their_ent_2]], 1, 0)</f>
        <v>0</v>
      </c>
      <c r="J120">
        <f>IF(Table1[[#This Row],[same_1]]=1 &amp; Table1[[#This Row],[same_2]]=1, 1, 0)</f>
        <v>0</v>
      </c>
      <c r="K120">
        <f>IF(ISNUMBER(SEARCH(Table1[[#This Row],[their_ent_1]],Table1[[#This Row],[my_ent_1]])), 1, 0)</f>
        <v>0</v>
      </c>
      <c r="L120">
        <f>IF(ISNUMBER(SEARCH(Table1[[#This Row],[their_ent_2]],Table1[[#This Row],[my_ent_2]])), 1, 0)</f>
        <v>0</v>
      </c>
    </row>
    <row r="121" spans="1:12" hidden="1" x14ac:dyDescent="0.3">
      <c r="A121" t="s">
        <v>452</v>
      </c>
      <c r="B121" t="s">
        <v>453</v>
      </c>
      <c r="C121" t="s">
        <v>454</v>
      </c>
      <c r="D121" t="s">
        <v>455</v>
      </c>
      <c r="E121" t="s">
        <v>456</v>
      </c>
      <c r="F121">
        <v>0</v>
      </c>
      <c r="G121">
        <v>119</v>
      </c>
      <c r="H121">
        <f>IF(Table1[[#This Row],[my_ent_1]]=Table1[[#This Row],[their_ent_1]], 1, 0)</f>
        <v>0</v>
      </c>
      <c r="I121">
        <f>IF(Table1[[#This Row],[my_ent_2]]=Table1[[#This Row],[their_ent_2]], 1, 0)</f>
        <v>0</v>
      </c>
      <c r="J121">
        <f>IF(Table1[[#This Row],[same_1]]=1 &amp; Table1[[#This Row],[same_2]]=1, 1, 0)</f>
        <v>0</v>
      </c>
      <c r="K121">
        <f>IF(ISNUMBER(SEARCH(Table1[[#This Row],[their_ent_1]],Table1[[#This Row],[my_ent_1]])), 1, 0)</f>
        <v>0</v>
      </c>
      <c r="L121">
        <f>IF(ISNUMBER(SEARCH(Table1[[#This Row],[their_ent_2]],Table1[[#This Row],[my_ent_2]])), 1, 0)</f>
        <v>0</v>
      </c>
    </row>
    <row r="122" spans="1:12" hidden="1" x14ac:dyDescent="0.3">
      <c r="A122" t="s">
        <v>457</v>
      </c>
      <c r="B122" t="s">
        <v>458</v>
      </c>
      <c r="C122" t="s">
        <v>459</v>
      </c>
      <c r="D122" t="s">
        <v>460</v>
      </c>
      <c r="E122" t="s">
        <v>461</v>
      </c>
      <c r="F122">
        <v>0</v>
      </c>
      <c r="G122">
        <v>120</v>
      </c>
      <c r="H122">
        <f>IF(Table1[[#This Row],[my_ent_1]]=Table1[[#This Row],[their_ent_1]], 1, 0)</f>
        <v>0</v>
      </c>
      <c r="I122">
        <f>IF(Table1[[#This Row],[my_ent_2]]=Table1[[#This Row],[their_ent_2]], 1, 0)</f>
        <v>0</v>
      </c>
      <c r="J122">
        <f>IF(Table1[[#This Row],[same_1]]=1 &amp; Table1[[#This Row],[same_2]]=1, 1, 0)</f>
        <v>0</v>
      </c>
      <c r="K122">
        <f>IF(ISNUMBER(SEARCH(Table1[[#This Row],[their_ent_1]],Table1[[#This Row],[my_ent_1]])), 1, 0)</f>
        <v>0</v>
      </c>
      <c r="L122">
        <f>IF(ISNUMBER(SEARCH(Table1[[#This Row],[their_ent_2]],Table1[[#This Row],[my_ent_2]])), 1, 0)</f>
        <v>0</v>
      </c>
    </row>
    <row r="123" spans="1:12" hidden="1" x14ac:dyDescent="0.3">
      <c r="A123" t="s">
        <v>462</v>
      </c>
      <c r="B123" t="s">
        <v>463</v>
      </c>
      <c r="C123" t="s">
        <v>463</v>
      </c>
      <c r="D123" t="s">
        <v>464</v>
      </c>
      <c r="E123" t="s">
        <v>465</v>
      </c>
      <c r="F123">
        <v>0</v>
      </c>
      <c r="G123">
        <v>121</v>
      </c>
      <c r="H123">
        <f>IF(Table1[[#This Row],[my_ent_1]]=Table1[[#This Row],[their_ent_1]], 1, 0)</f>
        <v>1</v>
      </c>
      <c r="I123">
        <f>IF(Table1[[#This Row],[my_ent_2]]=Table1[[#This Row],[their_ent_2]], 1, 0)</f>
        <v>0</v>
      </c>
      <c r="J123">
        <f>IF(Table1[[#This Row],[same_1]]=1 &amp; Table1[[#This Row],[same_2]]=1, 1, 0)</f>
        <v>0</v>
      </c>
      <c r="K123">
        <f>IF(ISNUMBER(SEARCH(Table1[[#This Row],[their_ent_1]],Table1[[#This Row],[my_ent_1]])), 1, 0)</f>
        <v>1</v>
      </c>
      <c r="L123">
        <f>IF(ISNUMBER(SEARCH(Table1[[#This Row],[their_ent_2]],Table1[[#This Row],[my_ent_2]])), 1, 0)</f>
        <v>0</v>
      </c>
    </row>
    <row r="124" spans="1:12" hidden="1" x14ac:dyDescent="0.3">
      <c r="A124" t="s">
        <v>466</v>
      </c>
      <c r="B124" t="s">
        <v>467</v>
      </c>
      <c r="C124" t="s">
        <v>468</v>
      </c>
      <c r="D124" t="s">
        <v>354</v>
      </c>
      <c r="E124" t="s">
        <v>354</v>
      </c>
      <c r="F124">
        <v>0</v>
      </c>
      <c r="G124">
        <v>122</v>
      </c>
      <c r="H124">
        <f>IF(Table1[[#This Row],[my_ent_1]]=Table1[[#This Row],[their_ent_1]], 1, 0)</f>
        <v>0</v>
      </c>
      <c r="I124">
        <f>IF(Table1[[#This Row],[my_ent_2]]=Table1[[#This Row],[their_ent_2]], 1, 0)</f>
        <v>1</v>
      </c>
      <c r="J124">
        <f>IF(Table1[[#This Row],[same_1]]=1 &amp; Table1[[#This Row],[same_2]]=1, 1, 0)</f>
        <v>0</v>
      </c>
      <c r="K124">
        <f>IF(ISNUMBER(SEARCH(Table1[[#This Row],[their_ent_1]],Table1[[#This Row],[my_ent_1]])), 1, 0)</f>
        <v>0</v>
      </c>
      <c r="L124">
        <f>IF(ISNUMBER(SEARCH(Table1[[#This Row],[their_ent_2]],Table1[[#This Row],[my_ent_2]])), 1, 0)</f>
        <v>1</v>
      </c>
    </row>
    <row r="125" spans="1:12" hidden="1" x14ac:dyDescent="0.3">
      <c r="A125" t="s">
        <v>469</v>
      </c>
      <c r="B125" t="s">
        <v>470</v>
      </c>
      <c r="C125" t="s">
        <v>471</v>
      </c>
      <c r="D125" t="s">
        <v>472</v>
      </c>
      <c r="E125" t="s">
        <v>470</v>
      </c>
      <c r="F125">
        <v>0</v>
      </c>
      <c r="G125">
        <v>123</v>
      </c>
      <c r="H125">
        <f>IF(Table1[[#This Row],[my_ent_1]]=Table1[[#This Row],[their_ent_1]], 1, 0)</f>
        <v>0</v>
      </c>
      <c r="I125">
        <f>IF(Table1[[#This Row],[my_ent_2]]=Table1[[#This Row],[their_ent_2]], 1, 0)</f>
        <v>0</v>
      </c>
      <c r="J125">
        <f>IF(Table1[[#This Row],[same_1]]=1 &amp; Table1[[#This Row],[same_2]]=1, 1, 0)</f>
        <v>0</v>
      </c>
      <c r="K125">
        <f>IF(ISNUMBER(SEARCH(Table1[[#This Row],[their_ent_1]],Table1[[#This Row],[my_ent_1]])), 1, 0)</f>
        <v>0</v>
      </c>
      <c r="L125">
        <f>IF(ISNUMBER(SEARCH(Table1[[#This Row],[their_ent_2]],Table1[[#This Row],[my_ent_2]])), 1, 0)</f>
        <v>0</v>
      </c>
    </row>
    <row r="126" spans="1:12" x14ac:dyDescent="0.3">
      <c r="A126" t="s">
        <v>473</v>
      </c>
      <c r="B126" t="s">
        <v>474</v>
      </c>
      <c r="C126" t="s">
        <v>475</v>
      </c>
      <c r="D126" t="s">
        <v>476</v>
      </c>
      <c r="E126" t="s">
        <v>476</v>
      </c>
      <c r="F126">
        <v>0</v>
      </c>
      <c r="G126">
        <v>124</v>
      </c>
      <c r="H126">
        <f>IF(Table1[[#This Row],[my_ent_1]]=Table1[[#This Row],[their_ent_1]], 1, 0)</f>
        <v>0</v>
      </c>
      <c r="I126">
        <f>IF(Table1[[#This Row],[my_ent_2]]=Table1[[#This Row],[their_ent_2]], 1, 0)</f>
        <v>1</v>
      </c>
      <c r="J126">
        <f>IF(Table1[[#This Row],[same_1]]=1 &amp; Table1[[#This Row],[same_2]]=1, 1, 0)</f>
        <v>0</v>
      </c>
      <c r="K126">
        <f>IF(ISNUMBER(SEARCH(Table1[[#This Row],[their_ent_1]],Table1[[#This Row],[my_ent_1]])), 1, 0)</f>
        <v>1</v>
      </c>
      <c r="L126">
        <f>IF(ISNUMBER(SEARCH(Table1[[#This Row],[their_ent_2]],Table1[[#This Row],[my_ent_2]])), 1, 0)</f>
        <v>1</v>
      </c>
    </row>
    <row r="127" spans="1:12" hidden="1" x14ac:dyDescent="0.3">
      <c r="A127" t="s">
        <v>477</v>
      </c>
      <c r="B127" t="s">
        <v>478</v>
      </c>
      <c r="C127" t="s">
        <v>479</v>
      </c>
      <c r="D127" t="s">
        <v>480</v>
      </c>
      <c r="E127" t="s">
        <v>480</v>
      </c>
      <c r="F127">
        <v>0</v>
      </c>
      <c r="G127">
        <v>125</v>
      </c>
      <c r="H127">
        <f>IF(Table1[[#This Row],[my_ent_1]]=Table1[[#This Row],[their_ent_1]], 1, 0)</f>
        <v>0</v>
      </c>
      <c r="I127">
        <f>IF(Table1[[#This Row],[my_ent_2]]=Table1[[#This Row],[their_ent_2]], 1, 0)</f>
        <v>1</v>
      </c>
      <c r="J127">
        <f>IF(Table1[[#This Row],[same_1]]=1 &amp; Table1[[#This Row],[same_2]]=1, 1, 0)</f>
        <v>0</v>
      </c>
      <c r="K127">
        <f>IF(ISNUMBER(SEARCH(Table1[[#This Row],[their_ent_1]],Table1[[#This Row],[my_ent_1]])), 1, 0)</f>
        <v>0</v>
      </c>
      <c r="L127">
        <f>IF(ISNUMBER(SEARCH(Table1[[#This Row],[their_ent_2]],Table1[[#This Row],[my_ent_2]])), 1, 0)</f>
        <v>1</v>
      </c>
    </row>
    <row r="128" spans="1:12" hidden="1" x14ac:dyDescent="0.3">
      <c r="A128" t="s">
        <v>481</v>
      </c>
      <c r="B128" t="s">
        <v>482</v>
      </c>
      <c r="C128" t="s">
        <v>483</v>
      </c>
      <c r="D128" t="s">
        <v>484</v>
      </c>
      <c r="E128" t="s">
        <v>482</v>
      </c>
      <c r="F128">
        <v>0</v>
      </c>
      <c r="G128">
        <v>126</v>
      </c>
      <c r="H128">
        <f>IF(Table1[[#This Row],[my_ent_1]]=Table1[[#This Row],[their_ent_1]], 1, 0)</f>
        <v>0</v>
      </c>
      <c r="I128">
        <f>IF(Table1[[#This Row],[my_ent_2]]=Table1[[#This Row],[their_ent_2]], 1, 0)</f>
        <v>0</v>
      </c>
      <c r="J128">
        <f>IF(Table1[[#This Row],[same_1]]=1 &amp; Table1[[#This Row],[same_2]]=1, 1, 0)</f>
        <v>0</v>
      </c>
      <c r="K128">
        <f>IF(ISNUMBER(SEARCH(Table1[[#This Row],[their_ent_1]],Table1[[#This Row],[my_ent_1]])), 1, 0)</f>
        <v>0</v>
      </c>
      <c r="L128">
        <f>IF(ISNUMBER(SEARCH(Table1[[#This Row],[their_ent_2]],Table1[[#This Row],[my_ent_2]])), 1, 0)</f>
        <v>0</v>
      </c>
    </row>
    <row r="129" spans="1:12" hidden="1" x14ac:dyDescent="0.3">
      <c r="A129" t="s">
        <v>485</v>
      </c>
      <c r="B129" t="s">
        <v>486</v>
      </c>
      <c r="C129" t="s">
        <v>486</v>
      </c>
      <c r="D129" t="s">
        <v>54</v>
      </c>
      <c r="E129" t="s">
        <v>487</v>
      </c>
      <c r="F129">
        <v>0</v>
      </c>
      <c r="G129">
        <v>127</v>
      </c>
      <c r="H129">
        <f>IF(Table1[[#This Row],[my_ent_1]]=Table1[[#This Row],[their_ent_1]], 1, 0)</f>
        <v>1</v>
      </c>
      <c r="I129">
        <f>IF(Table1[[#This Row],[my_ent_2]]=Table1[[#This Row],[their_ent_2]], 1, 0)</f>
        <v>0</v>
      </c>
      <c r="J129">
        <f>IF(Table1[[#This Row],[same_1]]=1 &amp; Table1[[#This Row],[same_2]]=1, 1, 0)</f>
        <v>0</v>
      </c>
      <c r="K129">
        <f>IF(ISNUMBER(SEARCH(Table1[[#This Row],[their_ent_1]],Table1[[#This Row],[my_ent_1]])), 1, 0)</f>
        <v>1</v>
      </c>
      <c r="L129">
        <f>IF(ISNUMBER(SEARCH(Table1[[#This Row],[their_ent_2]],Table1[[#This Row],[my_ent_2]])), 1, 0)</f>
        <v>0</v>
      </c>
    </row>
    <row r="130" spans="1:12" hidden="1" x14ac:dyDescent="0.3">
      <c r="A130" t="s">
        <v>488</v>
      </c>
      <c r="B130" t="s">
        <v>489</v>
      </c>
      <c r="C130" t="s">
        <v>7</v>
      </c>
      <c r="D130" t="s">
        <v>7</v>
      </c>
      <c r="E130" t="s">
        <v>15</v>
      </c>
      <c r="F130">
        <v>0</v>
      </c>
      <c r="G130">
        <v>128</v>
      </c>
      <c r="H130">
        <f>IF(Table1[[#This Row],[my_ent_1]]=Table1[[#This Row],[their_ent_1]], 1, 0)</f>
        <v>0</v>
      </c>
      <c r="I130">
        <f>IF(Table1[[#This Row],[my_ent_2]]=Table1[[#This Row],[their_ent_2]], 1, 0)</f>
        <v>0</v>
      </c>
      <c r="J130">
        <f>IF(Table1[[#This Row],[same_1]]=1 &amp; Table1[[#This Row],[same_2]]=1, 1, 0)</f>
        <v>0</v>
      </c>
      <c r="K130">
        <f>IF(ISNUMBER(SEARCH(Table1[[#This Row],[their_ent_1]],Table1[[#This Row],[my_ent_1]])), 1, 0)</f>
        <v>0</v>
      </c>
      <c r="L130">
        <f>IF(ISNUMBER(SEARCH(Table1[[#This Row],[their_ent_2]],Table1[[#This Row],[my_ent_2]])), 1, 0)</f>
        <v>0</v>
      </c>
    </row>
    <row r="131" spans="1:12" x14ac:dyDescent="0.3">
      <c r="A131" t="s">
        <v>490</v>
      </c>
      <c r="B131" t="s">
        <v>491</v>
      </c>
      <c r="C131" t="s">
        <v>492</v>
      </c>
      <c r="D131" t="s">
        <v>493</v>
      </c>
      <c r="E131" t="s">
        <v>493</v>
      </c>
      <c r="F131">
        <v>0</v>
      </c>
      <c r="G131">
        <v>129</v>
      </c>
      <c r="H131">
        <f>IF(Table1[[#This Row],[my_ent_1]]=Table1[[#This Row],[their_ent_1]], 1, 0)</f>
        <v>0</v>
      </c>
      <c r="I131">
        <f>IF(Table1[[#This Row],[my_ent_2]]=Table1[[#This Row],[their_ent_2]], 1, 0)</f>
        <v>1</v>
      </c>
      <c r="J131">
        <f>IF(Table1[[#This Row],[same_1]]=1 &amp; Table1[[#This Row],[same_2]]=1, 1, 0)</f>
        <v>0</v>
      </c>
      <c r="K131">
        <f>IF(ISNUMBER(SEARCH(Table1[[#This Row],[their_ent_1]],Table1[[#This Row],[my_ent_1]])), 1, 0)</f>
        <v>1</v>
      </c>
      <c r="L131">
        <f>IF(ISNUMBER(SEARCH(Table1[[#This Row],[their_ent_2]],Table1[[#This Row],[my_ent_2]])), 1, 0)</f>
        <v>1</v>
      </c>
    </row>
    <row r="132" spans="1:12" x14ac:dyDescent="0.3">
      <c r="A132" t="s">
        <v>494</v>
      </c>
      <c r="B132" t="s">
        <v>495</v>
      </c>
      <c r="C132" t="s">
        <v>496</v>
      </c>
      <c r="D132" t="s">
        <v>497</v>
      </c>
      <c r="E132" t="s">
        <v>497</v>
      </c>
      <c r="F132">
        <v>0</v>
      </c>
      <c r="G132">
        <v>130</v>
      </c>
      <c r="H132">
        <f>IF(Table1[[#This Row],[my_ent_1]]=Table1[[#This Row],[their_ent_1]], 1, 0)</f>
        <v>0</v>
      </c>
      <c r="I132">
        <f>IF(Table1[[#This Row],[my_ent_2]]=Table1[[#This Row],[their_ent_2]], 1, 0)</f>
        <v>1</v>
      </c>
      <c r="J132">
        <f>IF(Table1[[#This Row],[same_1]]=1 &amp; Table1[[#This Row],[same_2]]=1, 1, 0)</f>
        <v>0</v>
      </c>
      <c r="K132">
        <f>IF(ISNUMBER(SEARCH(Table1[[#This Row],[their_ent_1]],Table1[[#This Row],[my_ent_1]])), 1, 0)</f>
        <v>1</v>
      </c>
      <c r="L132">
        <f>IF(ISNUMBER(SEARCH(Table1[[#This Row],[their_ent_2]],Table1[[#This Row],[my_ent_2]])), 1, 0)</f>
        <v>1</v>
      </c>
    </row>
    <row r="133" spans="1:12" hidden="1" x14ac:dyDescent="0.3">
      <c r="A133" t="s">
        <v>498</v>
      </c>
      <c r="B133" t="s">
        <v>499</v>
      </c>
      <c r="C133" t="s">
        <v>500</v>
      </c>
      <c r="D133" t="s">
        <v>500</v>
      </c>
      <c r="E133" t="s">
        <v>199</v>
      </c>
      <c r="F133">
        <v>0</v>
      </c>
      <c r="G133">
        <v>131</v>
      </c>
      <c r="H133">
        <f>IF(Table1[[#This Row],[my_ent_1]]=Table1[[#This Row],[their_ent_1]], 1, 0)</f>
        <v>0</v>
      </c>
      <c r="I133">
        <f>IF(Table1[[#This Row],[my_ent_2]]=Table1[[#This Row],[their_ent_2]], 1, 0)</f>
        <v>0</v>
      </c>
      <c r="J133">
        <f>IF(Table1[[#This Row],[same_1]]=1 &amp; Table1[[#This Row],[same_2]]=1, 1, 0)</f>
        <v>0</v>
      </c>
      <c r="K133">
        <f>IF(ISNUMBER(SEARCH(Table1[[#This Row],[their_ent_1]],Table1[[#This Row],[my_ent_1]])), 1, 0)</f>
        <v>0</v>
      </c>
      <c r="L133">
        <f>IF(ISNUMBER(SEARCH(Table1[[#This Row],[their_ent_2]],Table1[[#This Row],[my_ent_2]])), 1, 0)</f>
        <v>0</v>
      </c>
    </row>
    <row r="134" spans="1:12" hidden="1" x14ac:dyDescent="0.3">
      <c r="A134" t="s">
        <v>501</v>
      </c>
      <c r="B134" t="s">
        <v>502</v>
      </c>
      <c r="C134" t="s">
        <v>502</v>
      </c>
      <c r="D134" t="s">
        <v>503</v>
      </c>
      <c r="E134" t="s">
        <v>504</v>
      </c>
      <c r="F134">
        <v>0</v>
      </c>
      <c r="G134">
        <v>132</v>
      </c>
      <c r="H134">
        <f>IF(Table1[[#This Row],[my_ent_1]]=Table1[[#This Row],[their_ent_1]], 1, 0)</f>
        <v>1</v>
      </c>
      <c r="I134">
        <f>IF(Table1[[#This Row],[my_ent_2]]=Table1[[#This Row],[their_ent_2]], 1, 0)</f>
        <v>0</v>
      </c>
      <c r="J134">
        <f>IF(Table1[[#This Row],[same_1]]=1 &amp; Table1[[#This Row],[same_2]]=1, 1, 0)</f>
        <v>0</v>
      </c>
      <c r="K134">
        <f>IF(ISNUMBER(SEARCH(Table1[[#This Row],[their_ent_1]],Table1[[#This Row],[my_ent_1]])), 1, 0)</f>
        <v>1</v>
      </c>
      <c r="L134">
        <f>IF(ISNUMBER(SEARCH(Table1[[#This Row],[their_ent_2]],Table1[[#This Row],[my_ent_2]])), 1, 0)</f>
        <v>0</v>
      </c>
    </row>
    <row r="135" spans="1:12" hidden="1" x14ac:dyDescent="0.3">
      <c r="A135" t="s">
        <v>505</v>
      </c>
      <c r="B135" t="s">
        <v>506</v>
      </c>
      <c r="C135" t="s">
        <v>507</v>
      </c>
      <c r="D135" t="s">
        <v>51</v>
      </c>
      <c r="E135" t="s">
        <v>508</v>
      </c>
      <c r="F135">
        <v>0</v>
      </c>
      <c r="G135">
        <v>133</v>
      </c>
      <c r="H135">
        <f>IF(Table1[[#This Row],[my_ent_1]]=Table1[[#This Row],[their_ent_1]], 1, 0)</f>
        <v>0</v>
      </c>
      <c r="I135">
        <f>IF(Table1[[#This Row],[my_ent_2]]=Table1[[#This Row],[their_ent_2]], 1, 0)</f>
        <v>0</v>
      </c>
      <c r="J135">
        <f>IF(Table1[[#This Row],[same_1]]=1 &amp; Table1[[#This Row],[same_2]]=1, 1, 0)</f>
        <v>0</v>
      </c>
      <c r="K135">
        <f>IF(ISNUMBER(SEARCH(Table1[[#This Row],[their_ent_1]],Table1[[#This Row],[my_ent_1]])), 1, 0)</f>
        <v>0</v>
      </c>
      <c r="L135">
        <f>IF(ISNUMBER(SEARCH(Table1[[#This Row],[their_ent_2]],Table1[[#This Row],[my_ent_2]])), 1, 0)</f>
        <v>0</v>
      </c>
    </row>
    <row r="136" spans="1:12" hidden="1" x14ac:dyDescent="0.3">
      <c r="A136" t="s">
        <v>509</v>
      </c>
      <c r="B136" t="s">
        <v>510</v>
      </c>
      <c r="C136" t="s">
        <v>511</v>
      </c>
      <c r="D136" t="s">
        <v>512</v>
      </c>
      <c r="E136" t="s">
        <v>513</v>
      </c>
      <c r="F136">
        <v>0</v>
      </c>
      <c r="G136">
        <v>134</v>
      </c>
      <c r="H136">
        <f>IF(Table1[[#This Row],[my_ent_1]]=Table1[[#This Row],[their_ent_1]], 1, 0)</f>
        <v>0</v>
      </c>
      <c r="I136">
        <f>IF(Table1[[#This Row],[my_ent_2]]=Table1[[#This Row],[their_ent_2]], 1, 0)</f>
        <v>0</v>
      </c>
      <c r="J136">
        <f>IF(Table1[[#This Row],[same_1]]=1 &amp; Table1[[#This Row],[same_2]]=1, 1, 0)</f>
        <v>0</v>
      </c>
      <c r="K136">
        <f>IF(ISNUMBER(SEARCH(Table1[[#This Row],[their_ent_1]],Table1[[#This Row],[my_ent_1]])), 1, 0)</f>
        <v>0</v>
      </c>
      <c r="L136">
        <f>IF(ISNUMBER(SEARCH(Table1[[#This Row],[their_ent_2]],Table1[[#This Row],[my_ent_2]])), 1, 0)</f>
        <v>0</v>
      </c>
    </row>
    <row r="137" spans="1:12" hidden="1" x14ac:dyDescent="0.3">
      <c r="A137" t="s">
        <v>514</v>
      </c>
      <c r="B137" t="s">
        <v>58</v>
      </c>
      <c r="C137" t="s">
        <v>515</v>
      </c>
      <c r="D137" t="s">
        <v>404</v>
      </c>
      <c r="E137" t="s">
        <v>516</v>
      </c>
      <c r="F137">
        <v>0</v>
      </c>
      <c r="G137">
        <v>135</v>
      </c>
      <c r="H137">
        <f>IF(Table1[[#This Row],[my_ent_1]]=Table1[[#This Row],[their_ent_1]], 1, 0)</f>
        <v>0</v>
      </c>
      <c r="I137">
        <f>IF(Table1[[#This Row],[my_ent_2]]=Table1[[#This Row],[their_ent_2]], 1, 0)</f>
        <v>0</v>
      </c>
      <c r="J137">
        <f>IF(Table1[[#This Row],[same_1]]=1 &amp; Table1[[#This Row],[same_2]]=1, 1, 0)</f>
        <v>0</v>
      </c>
      <c r="K137">
        <f>IF(ISNUMBER(SEARCH(Table1[[#This Row],[their_ent_1]],Table1[[#This Row],[my_ent_1]])), 1, 0)</f>
        <v>0</v>
      </c>
      <c r="L137">
        <f>IF(ISNUMBER(SEARCH(Table1[[#This Row],[their_ent_2]],Table1[[#This Row],[my_ent_2]])), 1, 0)</f>
        <v>0</v>
      </c>
    </row>
    <row r="138" spans="1:12" hidden="1" x14ac:dyDescent="0.3">
      <c r="A138" t="s">
        <v>517</v>
      </c>
      <c r="B138" t="s">
        <v>518</v>
      </c>
      <c r="C138" t="s">
        <v>519</v>
      </c>
      <c r="D138" t="s">
        <v>54</v>
      </c>
      <c r="E138" t="s">
        <v>382</v>
      </c>
      <c r="F138">
        <v>0</v>
      </c>
      <c r="G138">
        <v>136</v>
      </c>
      <c r="H138">
        <f>IF(Table1[[#This Row],[my_ent_1]]=Table1[[#This Row],[their_ent_1]], 1, 0)</f>
        <v>0</v>
      </c>
      <c r="I138">
        <f>IF(Table1[[#This Row],[my_ent_2]]=Table1[[#This Row],[their_ent_2]], 1, 0)</f>
        <v>0</v>
      </c>
      <c r="J138">
        <f>IF(Table1[[#This Row],[same_1]]=1 &amp; Table1[[#This Row],[same_2]]=1, 1, 0)</f>
        <v>0</v>
      </c>
      <c r="K138">
        <f>IF(ISNUMBER(SEARCH(Table1[[#This Row],[their_ent_1]],Table1[[#This Row],[my_ent_1]])), 1, 0)</f>
        <v>0</v>
      </c>
      <c r="L138">
        <f>IF(ISNUMBER(SEARCH(Table1[[#This Row],[their_ent_2]],Table1[[#This Row],[my_ent_2]])), 1, 0)</f>
        <v>0</v>
      </c>
    </row>
    <row r="139" spans="1:12" hidden="1" x14ac:dyDescent="0.3">
      <c r="A139" t="s">
        <v>520</v>
      </c>
      <c r="B139" t="s">
        <v>521</v>
      </c>
      <c r="C139" t="s">
        <v>521</v>
      </c>
      <c r="D139" t="s">
        <v>522</v>
      </c>
      <c r="E139" t="s">
        <v>523</v>
      </c>
      <c r="F139">
        <v>0</v>
      </c>
      <c r="G139">
        <v>137</v>
      </c>
      <c r="H139">
        <f>IF(Table1[[#This Row],[my_ent_1]]=Table1[[#This Row],[their_ent_1]], 1, 0)</f>
        <v>1</v>
      </c>
      <c r="I139">
        <f>IF(Table1[[#This Row],[my_ent_2]]=Table1[[#This Row],[their_ent_2]], 1, 0)</f>
        <v>0</v>
      </c>
      <c r="J139">
        <f>IF(Table1[[#This Row],[same_1]]=1 &amp; Table1[[#This Row],[same_2]]=1, 1, 0)</f>
        <v>0</v>
      </c>
      <c r="K139">
        <f>IF(ISNUMBER(SEARCH(Table1[[#This Row],[their_ent_1]],Table1[[#This Row],[my_ent_1]])), 1, 0)</f>
        <v>1</v>
      </c>
      <c r="L139">
        <f>IF(ISNUMBER(SEARCH(Table1[[#This Row],[their_ent_2]],Table1[[#This Row],[my_ent_2]])), 1, 0)</f>
        <v>0</v>
      </c>
    </row>
    <row r="140" spans="1:12" hidden="1" x14ac:dyDescent="0.3">
      <c r="A140" t="s">
        <v>524</v>
      </c>
      <c r="B140" t="s">
        <v>525</v>
      </c>
      <c r="C140" t="s">
        <v>525</v>
      </c>
      <c r="D140" t="s">
        <v>73</v>
      </c>
      <c r="E140" t="s">
        <v>526</v>
      </c>
      <c r="F140">
        <v>0</v>
      </c>
      <c r="G140">
        <v>138</v>
      </c>
      <c r="H140">
        <f>IF(Table1[[#This Row],[my_ent_1]]=Table1[[#This Row],[their_ent_1]], 1, 0)</f>
        <v>1</v>
      </c>
      <c r="I140">
        <f>IF(Table1[[#This Row],[my_ent_2]]=Table1[[#This Row],[their_ent_2]], 1, 0)</f>
        <v>0</v>
      </c>
      <c r="J140">
        <f>IF(Table1[[#This Row],[same_1]]=1 &amp; Table1[[#This Row],[same_2]]=1, 1, 0)</f>
        <v>0</v>
      </c>
      <c r="K140">
        <f>IF(ISNUMBER(SEARCH(Table1[[#This Row],[their_ent_1]],Table1[[#This Row],[my_ent_1]])), 1, 0)</f>
        <v>1</v>
      </c>
      <c r="L140">
        <f>IF(ISNUMBER(SEARCH(Table1[[#This Row],[their_ent_2]],Table1[[#This Row],[my_ent_2]])), 1, 0)</f>
        <v>0</v>
      </c>
    </row>
    <row r="141" spans="1:12" hidden="1" x14ac:dyDescent="0.3">
      <c r="A141" t="s">
        <v>527</v>
      </c>
      <c r="B141" t="s">
        <v>528</v>
      </c>
      <c r="C141" t="s">
        <v>528</v>
      </c>
      <c r="D141" t="s">
        <v>54</v>
      </c>
      <c r="E141" t="s">
        <v>42</v>
      </c>
      <c r="F141">
        <v>0</v>
      </c>
      <c r="G141">
        <v>139</v>
      </c>
      <c r="H141">
        <f>IF(Table1[[#This Row],[my_ent_1]]=Table1[[#This Row],[their_ent_1]], 1, 0)</f>
        <v>1</v>
      </c>
      <c r="I141">
        <f>IF(Table1[[#This Row],[my_ent_2]]=Table1[[#This Row],[their_ent_2]], 1, 0)</f>
        <v>0</v>
      </c>
      <c r="J141">
        <f>IF(Table1[[#This Row],[same_1]]=1 &amp; Table1[[#This Row],[same_2]]=1, 1, 0)</f>
        <v>0</v>
      </c>
      <c r="K141">
        <f>IF(ISNUMBER(SEARCH(Table1[[#This Row],[their_ent_1]],Table1[[#This Row],[my_ent_1]])), 1, 0)</f>
        <v>1</v>
      </c>
      <c r="L141">
        <f>IF(ISNUMBER(SEARCH(Table1[[#This Row],[their_ent_2]],Table1[[#This Row],[my_ent_2]])), 1, 0)</f>
        <v>0</v>
      </c>
    </row>
    <row r="142" spans="1:12" x14ac:dyDescent="0.3">
      <c r="A142" t="s">
        <v>529</v>
      </c>
      <c r="B142" t="s">
        <v>113</v>
      </c>
      <c r="C142" t="s">
        <v>113</v>
      </c>
      <c r="D142" t="s">
        <v>467</v>
      </c>
      <c r="E142" t="s">
        <v>94</v>
      </c>
      <c r="F142">
        <v>0</v>
      </c>
      <c r="G142">
        <v>140</v>
      </c>
      <c r="H142">
        <f>IF(Table1[[#This Row],[my_ent_1]]=Table1[[#This Row],[their_ent_1]], 1, 0)</f>
        <v>1</v>
      </c>
      <c r="I142">
        <f>IF(Table1[[#This Row],[my_ent_2]]=Table1[[#This Row],[their_ent_2]], 1, 0)</f>
        <v>0</v>
      </c>
      <c r="J142">
        <f>IF(Table1[[#This Row],[same_1]]=1 &amp; Table1[[#This Row],[same_2]]=1, 1, 0)</f>
        <v>0</v>
      </c>
      <c r="K142">
        <f>IF(ISNUMBER(SEARCH(Table1[[#This Row],[their_ent_1]],Table1[[#This Row],[my_ent_1]])), 1, 0)</f>
        <v>1</v>
      </c>
      <c r="L142">
        <f>IF(ISNUMBER(SEARCH(Table1[[#This Row],[their_ent_2]],Table1[[#This Row],[my_ent_2]])), 1, 0)</f>
        <v>1</v>
      </c>
    </row>
    <row r="143" spans="1:12" hidden="1" x14ac:dyDescent="0.3">
      <c r="A143" t="s">
        <v>530</v>
      </c>
      <c r="B143" t="s">
        <v>531</v>
      </c>
      <c r="C143" t="s">
        <v>531</v>
      </c>
      <c r="D143" t="s">
        <v>532</v>
      </c>
      <c r="E143" t="s">
        <v>296</v>
      </c>
      <c r="F143">
        <v>0</v>
      </c>
      <c r="G143">
        <v>141</v>
      </c>
      <c r="H143">
        <f>IF(Table1[[#This Row],[my_ent_1]]=Table1[[#This Row],[their_ent_1]], 1, 0)</f>
        <v>1</v>
      </c>
      <c r="I143">
        <f>IF(Table1[[#This Row],[my_ent_2]]=Table1[[#This Row],[their_ent_2]], 1, 0)</f>
        <v>0</v>
      </c>
      <c r="J143">
        <f>IF(Table1[[#This Row],[same_1]]=1 &amp; Table1[[#This Row],[same_2]]=1, 1, 0)</f>
        <v>0</v>
      </c>
      <c r="K143">
        <f>IF(ISNUMBER(SEARCH(Table1[[#This Row],[their_ent_1]],Table1[[#This Row],[my_ent_1]])), 1, 0)</f>
        <v>1</v>
      </c>
      <c r="L143">
        <f>IF(ISNUMBER(SEARCH(Table1[[#This Row],[their_ent_2]],Table1[[#This Row],[my_ent_2]])), 1, 0)</f>
        <v>0</v>
      </c>
    </row>
    <row r="144" spans="1:12" hidden="1" x14ac:dyDescent="0.3">
      <c r="A144" t="s">
        <v>533</v>
      </c>
      <c r="B144" t="s">
        <v>534</v>
      </c>
      <c r="C144" t="s">
        <v>535</v>
      </c>
      <c r="D144" t="s">
        <v>536</v>
      </c>
      <c r="E144" t="s">
        <v>537</v>
      </c>
      <c r="F144">
        <v>0</v>
      </c>
      <c r="G144">
        <v>142</v>
      </c>
      <c r="H144">
        <f>IF(Table1[[#This Row],[my_ent_1]]=Table1[[#This Row],[their_ent_1]], 1, 0)</f>
        <v>0</v>
      </c>
      <c r="I144">
        <f>IF(Table1[[#This Row],[my_ent_2]]=Table1[[#This Row],[their_ent_2]], 1, 0)</f>
        <v>0</v>
      </c>
      <c r="J144">
        <f>IF(Table1[[#This Row],[same_1]]=1 &amp; Table1[[#This Row],[same_2]]=1, 1, 0)</f>
        <v>0</v>
      </c>
      <c r="K144">
        <f>IF(ISNUMBER(SEARCH(Table1[[#This Row],[their_ent_1]],Table1[[#This Row],[my_ent_1]])), 1, 0)</f>
        <v>0</v>
      </c>
      <c r="L144">
        <f>IF(ISNUMBER(SEARCH(Table1[[#This Row],[their_ent_2]],Table1[[#This Row],[my_ent_2]])), 1, 0)</f>
        <v>1</v>
      </c>
    </row>
    <row r="145" spans="1:12" hidden="1" x14ac:dyDescent="0.3">
      <c r="A145" t="s">
        <v>538</v>
      </c>
      <c r="B145" t="s">
        <v>539</v>
      </c>
      <c r="C145" t="s">
        <v>540</v>
      </c>
      <c r="D145" t="s">
        <v>541</v>
      </c>
      <c r="E145" t="s">
        <v>539</v>
      </c>
      <c r="F145">
        <v>0</v>
      </c>
      <c r="G145">
        <v>143</v>
      </c>
      <c r="H145">
        <f>IF(Table1[[#This Row],[my_ent_1]]=Table1[[#This Row],[their_ent_1]], 1, 0)</f>
        <v>0</v>
      </c>
      <c r="I145">
        <f>IF(Table1[[#This Row],[my_ent_2]]=Table1[[#This Row],[their_ent_2]], 1, 0)</f>
        <v>0</v>
      </c>
      <c r="J145">
        <f>IF(Table1[[#This Row],[same_1]]=1 &amp; Table1[[#This Row],[same_2]]=1, 1, 0)</f>
        <v>0</v>
      </c>
      <c r="K145">
        <f>IF(ISNUMBER(SEARCH(Table1[[#This Row],[their_ent_1]],Table1[[#This Row],[my_ent_1]])), 1, 0)</f>
        <v>0</v>
      </c>
      <c r="L145">
        <f>IF(ISNUMBER(SEARCH(Table1[[#This Row],[their_ent_2]],Table1[[#This Row],[my_ent_2]])), 1, 0)</f>
        <v>0</v>
      </c>
    </row>
    <row r="146" spans="1:12" hidden="1" x14ac:dyDescent="0.3">
      <c r="A146" t="s">
        <v>542</v>
      </c>
      <c r="B146" t="s">
        <v>543</v>
      </c>
      <c r="C146" t="s">
        <v>543</v>
      </c>
      <c r="D146" t="s">
        <v>31</v>
      </c>
      <c r="E146" t="s">
        <v>544</v>
      </c>
      <c r="F146">
        <v>0</v>
      </c>
      <c r="G146">
        <v>144</v>
      </c>
      <c r="H146">
        <f>IF(Table1[[#This Row],[my_ent_1]]=Table1[[#This Row],[their_ent_1]], 1, 0)</f>
        <v>1</v>
      </c>
      <c r="I146">
        <f>IF(Table1[[#This Row],[my_ent_2]]=Table1[[#This Row],[their_ent_2]], 1, 0)</f>
        <v>0</v>
      </c>
      <c r="J146">
        <f>IF(Table1[[#This Row],[same_1]]=1 &amp; Table1[[#This Row],[same_2]]=1, 1, 0)</f>
        <v>0</v>
      </c>
      <c r="K146">
        <f>IF(ISNUMBER(SEARCH(Table1[[#This Row],[their_ent_1]],Table1[[#This Row],[my_ent_1]])), 1, 0)</f>
        <v>1</v>
      </c>
      <c r="L146">
        <f>IF(ISNUMBER(SEARCH(Table1[[#This Row],[their_ent_2]],Table1[[#This Row],[my_ent_2]])), 1, 0)</f>
        <v>0</v>
      </c>
    </row>
    <row r="147" spans="1:12" hidden="1" x14ac:dyDescent="0.3">
      <c r="A147" t="s">
        <v>545</v>
      </c>
      <c r="B147" t="s">
        <v>241</v>
      </c>
      <c r="C147" t="s">
        <v>30</v>
      </c>
      <c r="D147" t="s">
        <v>401</v>
      </c>
      <c r="E147" t="s">
        <v>58</v>
      </c>
      <c r="F147">
        <v>0</v>
      </c>
      <c r="G147">
        <v>145</v>
      </c>
      <c r="H147">
        <f>IF(Table1[[#This Row],[my_ent_1]]=Table1[[#This Row],[their_ent_1]], 1, 0)</f>
        <v>0</v>
      </c>
      <c r="I147">
        <f>IF(Table1[[#This Row],[my_ent_2]]=Table1[[#This Row],[their_ent_2]], 1, 0)</f>
        <v>0</v>
      </c>
      <c r="J147">
        <f>IF(Table1[[#This Row],[same_1]]=1 &amp; Table1[[#This Row],[same_2]]=1, 1, 0)</f>
        <v>0</v>
      </c>
      <c r="K147">
        <f>IF(ISNUMBER(SEARCH(Table1[[#This Row],[their_ent_1]],Table1[[#This Row],[my_ent_1]])), 1, 0)</f>
        <v>0</v>
      </c>
      <c r="L147">
        <f>IF(ISNUMBER(SEARCH(Table1[[#This Row],[their_ent_2]],Table1[[#This Row],[my_ent_2]])), 1, 0)</f>
        <v>0</v>
      </c>
    </row>
    <row r="148" spans="1:12" x14ac:dyDescent="0.3">
      <c r="A148" t="s">
        <v>546</v>
      </c>
      <c r="B148" t="s">
        <v>547</v>
      </c>
      <c r="C148" t="s">
        <v>547</v>
      </c>
      <c r="D148" t="s">
        <v>548</v>
      </c>
      <c r="E148" t="s">
        <v>549</v>
      </c>
      <c r="F148">
        <v>0</v>
      </c>
      <c r="G148">
        <v>146</v>
      </c>
      <c r="H148">
        <f>IF(Table1[[#This Row],[my_ent_1]]=Table1[[#This Row],[their_ent_1]], 1, 0)</f>
        <v>1</v>
      </c>
      <c r="I148">
        <f>IF(Table1[[#This Row],[my_ent_2]]=Table1[[#This Row],[their_ent_2]], 1, 0)</f>
        <v>0</v>
      </c>
      <c r="J148">
        <f>IF(Table1[[#This Row],[same_1]]=1 &amp; Table1[[#This Row],[same_2]]=1, 1, 0)</f>
        <v>0</v>
      </c>
      <c r="K148">
        <f>IF(ISNUMBER(SEARCH(Table1[[#This Row],[their_ent_1]],Table1[[#This Row],[my_ent_1]])), 1, 0)</f>
        <v>1</v>
      </c>
      <c r="L148">
        <f>IF(ISNUMBER(SEARCH(Table1[[#This Row],[their_ent_2]],Table1[[#This Row],[my_ent_2]])), 1, 0)</f>
        <v>1</v>
      </c>
    </row>
    <row r="149" spans="1:12" hidden="1" x14ac:dyDescent="0.3">
      <c r="A149" t="s">
        <v>550</v>
      </c>
      <c r="B149" t="s">
        <v>551</v>
      </c>
      <c r="C149" t="s">
        <v>552</v>
      </c>
      <c r="D149" t="s">
        <v>58</v>
      </c>
      <c r="E149" t="s">
        <v>553</v>
      </c>
      <c r="F149">
        <v>0</v>
      </c>
      <c r="G149">
        <v>147</v>
      </c>
      <c r="H149">
        <f>IF(Table1[[#This Row],[my_ent_1]]=Table1[[#This Row],[their_ent_1]], 1, 0)</f>
        <v>0</v>
      </c>
      <c r="I149">
        <f>IF(Table1[[#This Row],[my_ent_2]]=Table1[[#This Row],[their_ent_2]], 1, 0)</f>
        <v>0</v>
      </c>
      <c r="J149">
        <f>IF(Table1[[#This Row],[same_1]]=1 &amp; Table1[[#This Row],[same_2]]=1, 1, 0)</f>
        <v>0</v>
      </c>
      <c r="K149">
        <f>IF(ISNUMBER(SEARCH(Table1[[#This Row],[their_ent_1]],Table1[[#This Row],[my_ent_1]])), 1, 0)</f>
        <v>0</v>
      </c>
      <c r="L149">
        <f>IF(ISNUMBER(SEARCH(Table1[[#This Row],[their_ent_2]],Table1[[#This Row],[my_ent_2]])), 1, 0)</f>
        <v>0</v>
      </c>
    </row>
    <row r="150" spans="1:12" hidden="1" x14ac:dyDescent="0.3">
      <c r="A150" t="s">
        <v>554</v>
      </c>
      <c r="B150" t="s">
        <v>555</v>
      </c>
      <c r="C150" t="s">
        <v>556</v>
      </c>
      <c r="D150" t="s">
        <v>557</v>
      </c>
      <c r="E150" t="s">
        <v>558</v>
      </c>
      <c r="F150">
        <v>0</v>
      </c>
      <c r="G150">
        <v>148</v>
      </c>
      <c r="H150">
        <f>IF(Table1[[#This Row],[my_ent_1]]=Table1[[#This Row],[their_ent_1]], 1, 0)</f>
        <v>0</v>
      </c>
      <c r="I150">
        <f>IF(Table1[[#This Row],[my_ent_2]]=Table1[[#This Row],[their_ent_2]], 1, 0)</f>
        <v>0</v>
      </c>
      <c r="J150">
        <f>IF(Table1[[#This Row],[same_1]]=1 &amp; Table1[[#This Row],[same_2]]=1, 1, 0)</f>
        <v>0</v>
      </c>
      <c r="K150">
        <f>IF(ISNUMBER(SEARCH(Table1[[#This Row],[their_ent_1]],Table1[[#This Row],[my_ent_1]])), 1, 0)</f>
        <v>0</v>
      </c>
      <c r="L150">
        <f>IF(ISNUMBER(SEARCH(Table1[[#This Row],[their_ent_2]],Table1[[#This Row],[my_ent_2]])), 1, 0)</f>
        <v>0</v>
      </c>
    </row>
    <row r="151" spans="1:12" hidden="1" x14ac:dyDescent="0.3">
      <c r="A151" t="s">
        <v>559</v>
      </c>
      <c r="B151" t="s">
        <v>560</v>
      </c>
      <c r="C151" t="s">
        <v>560</v>
      </c>
      <c r="D151" t="s">
        <v>54</v>
      </c>
      <c r="E151" t="s">
        <v>561</v>
      </c>
      <c r="F151">
        <v>0</v>
      </c>
      <c r="G151">
        <v>149</v>
      </c>
      <c r="H151">
        <f>IF(Table1[[#This Row],[my_ent_1]]=Table1[[#This Row],[their_ent_1]], 1, 0)</f>
        <v>1</v>
      </c>
      <c r="I151">
        <f>IF(Table1[[#This Row],[my_ent_2]]=Table1[[#This Row],[their_ent_2]], 1, 0)</f>
        <v>0</v>
      </c>
      <c r="J151">
        <f>IF(Table1[[#This Row],[same_1]]=1 &amp; Table1[[#This Row],[same_2]]=1, 1, 0)</f>
        <v>0</v>
      </c>
      <c r="K151">
        <f>IF(ISNUMBER(SEARCH(Table1[[#This Row],[their_ent_1]],Table1[[#This Row],[my_ent_1]])), 1, 0)</f>
        <v>1</v>
      </c>
      <c r="L151">
        <f>IF(ISNUMBER(SEARCH(Table1[[#This Row],[their_ent_2]],Table1[[#This Row],[my_ent_2]])), 1, 0)</f>
        <v>0</v>
      </c>
    </row>
    <row r="152" spans="1:12" hidden="1" x14ac:dyDescent="0.3">
      <c r="A152" t="s">
        <v>562</v>
      </c>
      <c r="B152" t="s">
        <v>563</v>
      </c>
      <c r="C152" t="s">
        <v>564</v>
      </c>
      <c r="D152" t="s">
        <v>565</v>
      </c>
      <c r="E152" t="s">
        <v>565</v>
      </c>
      <c r="F152">
        <v>0</v>
      </c>
      <c r="G152">
        <v>150</v>
      </c>
      <c r="H152">
        <f>IF(Table1[[#This Row],[my_ent_1]]=Table1[[#This Row],[their_ent_1]], 1, 0)</f>
        <v>0</v>
      </c>
      <c r="I152">
        <f>IF(Table1[[#This Row],[my_ent_2]]=Table1[[#This Row],[their_ent_2]], 1, 0)</f>
        <v>1</v>
      </c>
      <c r="J152">
        <f>IF(Table1[[#This Row],[same_1]]=1 &amp; Table1[[#This Row],[same_2]]=1, 1, 0)</f>
        <v>0</v>
      </c>
      <c r="K152">
        <f>IF(ISNUMBER(SEARCH(Table1[[#This Row],[their_ent_1]],Table1[[#This Row],[my_ent_1]])), 1, 0)</f>
        <v>0</v>
      </c>
      <c r="L152">
        <f>IF(ISNUMBER(SEARCH(Table1[[#This Row],[their_ent_2]],Table1[[#This Row],[my_ent_2]])), 1, 0)</f>
        <v>1</v>
      </c>
    </row>
    <row r="153" spans="1:12" x14ac:dyDescent="0.3">
      <c r="A153" t="s">
        <v>566</v>
      </c>
      <c r="B153" t="s">
        <v>567</v>
      </c>
      <c r="C153" t="s">
        <v>567</v>
      </c>
      <c r="D153" t="s">
        <v>235</v>
      </c>
      <c r="E153" t="s">
        <v>236</v>
      </c>
      <c r="F153">
        <v>0</v>
      </c>
      <c r="G153">
        <v>151</v>
      </c>
      <c r="H153">
        <f>IF(Table1[[#This Row],[my_ent_1]]=Table1[[#This Row],[their_ent_1]], 1, 0)</f>
        <v>1</v>
      </c>
      <c r="I153">
        <f>IF(Table1[[#This Row],[my_ent_2]]=Table1[[#This Row],[their_ent_2]], 1, 0)</f>
        <v>0</v>
      </c>
      <c r="J153">
        <f>IF(Table1[[#This Row],[same_1]]=1 &amp; Table1[[#This Row],[same_2]]=1, 1, 0)</f>
        <v>0</v>
      </c>
      <c r="K153">
        <f>IF(ISNUMBER(SEARCH(Table1[[#This Row],[their_ent_1]],Table1[[#This Row],[my_ent_1]])), 1, 0)</f>
        <v>1</v>
      </c>
      <c r="L153">
        <f>IF(ISNUMBER(SEARCH(Table1[[#This Row],[their_ent_2]],Table1[[#This Row],[my_ent_2]])), 1, 0)</f>
        <v>1</v>
      </c>
    </row>
    <row r="154" spans="1:12" hidden="1" x14ac:dyDescent="0.3">
      <c r="A154" t="s">
        <v>568</v>
      </c>
      <c r="B154" t="s">
        <v>569</v>
      </c>
      <c r="C154" t="s">
        <v>570</v>
      </c>
      <c r="D154" t="s">
        <v>571</v>
      </c>
      <c r="E154" t="s">
        <v>572</v>
      </c>
      <c r="F154">
        <v>0</v>
      </c>
      <c r="G154">
        <v>152</v>
      </c>
      <c r="H154">
        <f>IF(Table1[[#This Row],[my_ent_1]]=Table1[[#This Row],[their_ent_1]], 1, 0)</f>
        <v>0</v>
      </c>
      <c r="I154">
        <f>IF(Table1[[#This Row],[my_ent_2]]=Table1[[#This Row],[their_ent_2]], 1, 0)</f>
        <v>0</v>
      </c>
      <c r="J154">
        <f>IF(Table1[[#This Row],[same_1]]=1 &amp; Table1[[#This Row],[same_2]]=1, 1, 0)</f>
        <v>0</v>
      </c>
      <c r="K154">
        <f>IF(ISNUMBER(SEARCH(Table1[[#This Row],[their_ent_1]],Table1[[#This Row],[my_ent_1]])), 1, 0)</f>
        <v>0</v>
      </c>
      <c r="L154">
        <f>IF(ISNUMBER(SEARCH(Table1[[#This Row],[their_ent_2]],Table1[[#This Row],[my_ent_2]])), 1, 0)</f>
        <v>0</v>
      </c>
    </row>
    <row r="155" spans="1:12" hidden="1" x14ac:dyDescent="0.3">
      <c r="A155" t="s">
        <v>573</v>
      </c>
      <c r="B155" t="s">
        <v>200</v>
      </c>
      <c r="C155" t="s">
        <v>30</v>
      </c>
      <c r="D155" t="s">
        <v>58</v>
      </c>
      <c r="E155" t="s">
        <v>58</v>
      </c>
      <c r="F155">
        <v>0</v>
      </c>
      <c r="G155">
        <v>153</v>
      </c>
      <c r="H155">
        <f>IF(Table1[[#This Row],[my_ent_1]]=Table1[[#This Row],[their_ent_1]], 1, 0)</f>
        <v>0</v>
      </c>
      <c r="I155">
        <f>IF(Table1[[#This Row],[my_ent_2]]=Table1[[#This Row],[their_ent_2]], 1, 0)</f>
        <v>1</v>
      </c>
      <c r="J155">
        <f>IF(Table1[[#This Row],[same_1]]=1 &amp; Table1[[#This Row],[same_2]]=1, 1, 0)</f>
        <v>0</v>
      </c>
      <c r="K155">
        <f>IF(ISNUMBER(SEARCH(Table1[[#This Row],[their_ent_1]],Table1[[#This Row],[my_ent_1]])), 1, 0)</f>
        <v>0</v>
      </c>
      <c r="L155">
        <f>IF(ISNUMBER(SEARCH(Table1[[#This Row],[their_ent_2]],Table1[[#This Row],[my_ent_2]])), 1, 0)</f>
        <v>1</v>
      </c>
    </row>
    <row r="156" spans="1:12" hidden="1" x14ac:dyDescent="0.3">
      <c r="A156" t="s">
        <v>574</v>
      </c>
      <c r="B156" t="s">
        <v>467</v>
      </c>
      <c r="C156" t="s">
        <v>94</v>
      </c>
      <c r="D156" t="s">
        <v>54</v>
      </c>
      <c r="E156" t="s">
        <v>575</v>
      </c>
      <c r="F156">
        <v>0</v>
      </c>
      <c r="G156">
        <v>154</v>
      </c>
      <c r="H156">
        <f>IF(Table1[[#This Row],[my_ent_1]]=Table1[[#This Row],[their_ent_1]], 1, 0)</f>
        <v>0</v>
      </c>
      <c r="I156">
        <f>IF(Table1[[#This Row],[my_ent_2]]=Table1[[#This Row],[their_ent_2]], 1, 0)</f>
        <v>0</v>
      </c>
      <c r="J156">
        <f>IF(Table1[[#This Row],[same_1]]=1 &amp; Table1[[#This Row],[same_2]]=1, 1, 0)</f>
        <v>0</v>
      </c>
      <c r="K156">
        <f>IF(ISNUMBER(SEARCH(Table1[[#This Row],[their_ent_1]],Table1[[#This Row],[my_ent_1]])), 1, 0)</f>
        <v>1</v>
      </c>
      <c r="L156">
        <f>IF(ISNUMBER(SEARCH(Table1[[#This Row],[their_ent_2]],Table1[[#This Row],[my_ent_2]])), 1, 0)</f>
        <v>0</v>
      </c>
    </row>
    <row r="157" spans="1:12" hidden="1" x14ac:dyDescent="0.3">
      <c r="A157" t="s">
        <v>576</v>
      </c>
      <c r="B157" t="s">
        <v>577</v>
      </c>
      <c r="C157" t="s">
        <v>499</v>
      </c>
      <c r="D157" t="s">
        <v>499</v>
      </c>
      <c r="E157" t="s">
        <v>578</v>
      </c>
      <c r="F157">
        <v>0</v>
      </c>
      <c r="G157">
        <v>155</v>
      </c>
      <c r="H157">
        <f>IF(Table1[[#This Row],[my_ent_1]]=Table1[[#This Row],[their_ent_1]], 1, 0)</f>
        <v>0</v>
      </c>
      <c r="I157">
        <f>IF(Table1[[#This Row],[my_ent_2]]=Table1[[#This Row],[their_ent_2]], 1, 0)</f>
        <v>0</v>
      </c>
      <c r="J157">
        <f>IF(Table1[[#This Row],[same_1]]=1 &amp; Table1[[#This Row],[same_2]]=1, 1, 0)</f>
        <v>0</v>
      </c>
      <c r="K157">
        <f>IF(ISNUMBER(SEARCH(Table1[[#This Row],[their_ent_1]],Table1[[#This Row],[my_ent_1]])), 1, 0)</f>
        <v>0</v>
      </c>
      <c r="L157">
        <f>IF(ISNUMBER(SEARCH(Table1[[#This Row],[their_ent_2]],Table1[[#This Row],[my_ent_2]])), 1, 0)</f>
        <v>0</v>
      </c>
    </row>
    <row r="158" spans="1:12" hidden="1" x14ac:dyDescent="0.3">
      <c r="A158" t="s">
        <v>579</v>
      </c>
      <c r="B158" t="s">
        <v>580</v>
      </c>
      <c r="C158" t="s">
        <v>487</v>
      </c>
      <c r="D158" t="s">
        <v>54</v>
      </c>
      <c r="E158" t="s">
        <v>581</v>
      </c>
      <c r="F158">
        <v>0</v>
      </c>
      <c r="G158">
        <v>156</v>
      </c>
      <c r="H158">
        <f>IF(Table1[[#This Row],[my_ent_1]]=Table1[[#This Row],[their_ent_1]], 1, 0)</f>
        <v>0</v>
      </c>
      <c r="I158">
        <f>IF(Table1[[#This Row],[my_ent_2]]=Table1[[#This Row],[their_ent_2]], 1, 0)</f>
        <v>0</v>
      </c>
      <c r="J158">
        <f>IF(Table1[[#This Row],[same_1]]=1 &amp; Table1[[#This Row],[same_2]]=1, 1, 0)</f>
        <v>0</v>
      </c>
      <c r="K158">
        <f>IF(ISNUMBER(SEARCH(Table1[[#This Row],[their_ent_1]],Table1[[#This Row],[my_ent_1]])), 1, 0)</f>
        <v>0</v>
      </c>
      <c r="L158">
        <f>IF(ISNUMBER(SEARCH(Table1[[#This Row],[their_ent_2]],Table1[[#This Row],[my_ent_2]])), 1, 0)</f>
        <v>0</v>
      </c>
    </row>
    <row r="159" spans="1:12" hidden="1" x14ac:dyDescent="0.3">
      <c r="A159" t="s">
        <v>582</v>
      </c>
      <c r="B159" t="s">
        <v>583</v>
      </c>
      <c r="C159" t="s">
        <v>583</v>
      </c>
      <c r="D159" t="s">
        <v>584</v>
      </c>
      <c r="E159" t="s">
        <v>585</v>
      </c>
      <c r="F159">
        <v>0</v>
      </c>
      <c r="G159">
        <v>157</v>
      </c>
      <c r="H159">
        <f>IF(Table1[[#This Row],[my_ent_1]]=Table1[[#This Row],[their_ent_1]], 1, 0)</f>
        <v>1</v>
      </c>
      <c r="I159">
        <f>IF(Table1[[#This Row],[my_ent_2]]=Table1[[#This Row],[their_ent_2]], 1, 0)</f>
        <v>0</v>
      </c>
      <c r="J159">
        <f>IF(Table1[[#This Row],[same_1]]=1 &amp; Table1[[#This Row],[same_2]]=1, 1, 0)</f>
        <v>0</v>
      </c>
      <c r="K159">
        <f>IF(ISNUMBER(SEARCH(Table1[[#This Row],[their_ent_1]],Table1[[#This Row],[my_ent_1]])), 1, 0)</f>
        <v>1</v>
      </c>
      <c r="L159">
        <f>IF(ISNUMBER(SEARCH(Table1[[#This Row],[their_ent_2]],Table1[[#This Row],[my_ent_2]])), 1, 0)</f>
        <v>0</v>
      </c>
    </row>
    <row r="160" spans="1:12" hidden="1" x14ac:dyDescent="0.3">
      <c r="A160" t="s">
        <v>586</v>
      </c>
      <c r="B160" t="s">
        <v>587</v>
      </c>
      <c r="C160" t="s">
        <v>588</v>
      </c>
      <c r="D160" t="s">
        <v>588</v>
      </c>
      <c r="E160" t="s">
        <v>199</v>
      </c>
      <c r="F160">
        <v>0</v>
      </c>
      <c r="G160">
        <v>158</v>
      </c>
      <c r="H160">
        <f>IF(Table1[[#This Row],[my_ent_1]]=Table1[[#This Row],[their_ent_1]], 1, 0)</f>
        <v>0</v>
      </c>
      <c r="I160">
        <f>IF(Table1[[#This Row],[my_ent_2]]=Table1[[#This Row],[their_ent_2]], 1, 0)</f>
        <v>0</v>
      </c>
      <c r="J160">
        <f>IF(Table1[[#This Row],[same_1]]=1 &amp; Table1[[#This Row],[same_2]]=1, 1, 0)</f>
        <v>0</v>
      </c>
      <c r="K160">
        <f>IF(ISNUMBER(SEARCH(Table1[[#This Row],[their_ent_1]],Table1[[#This Row],[my_ent_1]])), 1, 0)</f>
        <v>0</v>
      </c>
      <c r="L160">
        <f>IF(ISNUMBER(SEARCH(Table1[[#This Row],[their_ent_2]],Table1[[#This Row],[my_ent_2]])), 1, 0)</f>
        <v>0</v>
      </c>
    </row>
    <row r="161" spans="1:12" hidden="1" x14ac:dyDescent="0.3">
      <c r="A161" t="s">
        <v>589</v>
      </c>
      <c r="B161" t="s">
        <v>590</v>
      </c>
      <c r="C161" t="s">
        <v>591</v>
      </c>
      <c r="D161" t="s">
        <v>592</v>
      </c>
      <c r="E161" t="s">
        <v>592</v>
      </c>
      <c r="F161">
        <v>0</v>
      </c>
      <c r="G161">
        <v>159</v>
      </c>
      <c r="H161">
        <f>IF(Table1[[#This Row],[my_ent_1]]=Table1[[#This Row],[their_ent_1]], 1, 0)</f>
        <v>0</v>
      </c>
      <c r="I161">
        <f>IF(Table1[[#This Row],[my_ent_2]]=Table1[[#This Row],[their_ent_2]], 1, 0)</f>
        <v>1</v>
      </c>
      <c r="J161">
        <f>IF(Table1[[#This Row],[same_1]]=1 &amp; Table1[[#This Row],[same_2]]=1, 1, 0)</f>
        <v>0</v>
      </c>
      <c r="K161">
        <f>IF(ISNUMBER(SEARCH(Table1[[#This Row],[their_ent_1]],Table1[[#This Row],[my_ent_1]])), 1, 0)</f>
        <v>0</v>
      </c>
      <c r="L161">
        <f>IF(ISNUMBER(SEARCH(Table1[[#This Row],[their_ent_2]],Table1[[#This Row],[my_ent_2]])), 1, 0)</f>
        <v>1</v>
      </c>
    </row>
    <row r="162" spans="1:12" x14ac:dyDescent="0.3">
      <c r="A162" t="s">
        <v>593</v>
      </c>
      <c r="B162" t="s">
        <v>513</v>
      </c>
      <c r="C162" t="s">
        <v>513</v>
      </c>
      <c r="D162" t="s">
        <v>241</v>
      </c>
      <c r="E162" t="s">
        <v>34</v>
      </c>
      <c r="F162">
        <v>0</v>
      </c>
      <c r="G162">
        <v>160</v>
      </c>
      <c r="H162">
        <f>IF(Table1[[#This Row],[my_ent_1]]=Table1[[#This Row],[their_ent_1]], 1, 0)</f>
        <v>1</v>
      </c>
      <c r="I162">
        <f>IF(Table1[[#This Row],[my_ent_2]]=Table1[[#This Row],[their_ent_2]], 1, 0)</f>
        <v>0</v>
      </c>
      <c r="J162">
        <f>IF(Table1[[#This Row],[same_1]]=1 &amp; Table1[[#This Row],[same_2]]=1, 1, 0)</f>
        <v>0</v>
      </c>
      <c r="K162">
        <f>IF(ISNUMBER(SEARCH(Table1[[#This Row],[their_ent_1]],Table1[[#This Row],[my_ent_1]])), 1, 0)</f>
        <v>1</v>
      </c>
      <c r="L162">
        <f>IF(ISNUMBER(SEARCH(Table1[[#This Row],[their_ent_2]],Table1[[#This Row],[my_ent_2]])), 1, 0)</f>
        <v>1</v>
      </c>
    </row>
    <row r="163" spans="1:12" hidden="1" x14ac:dyDescent="0.3">
      <c r="A163" t="s">
        <v>594</v>
      </c>
      <c r="B163" t="s">
        <v>34</v>
      </c>
      <c r="C163" t="s">
        <v>470</v>
      </c>
      <c r="D163" t="s">
        <v>267</v>
      </c>
      <c r="E163" t="s">
        <v>7</v>
      </c>
      <c r="F163">
        <v>0</v>
      </c>
      <c r="G163">
        <v>161</v>
      </c>
      <c r="H163">
        <f>IF(Table1[[#This Row],[my_ent_1]]=Table1[[#This Row],[their_ent_1]], 1, 0)</f>
        <v>0</v>
      </c>
      <c r="I163">
        <f>IF(Table1[[#This Row],[my_ent_2]]=Table1[[#This Row],[their_ent_2]], 1, 0)</f>
        <v>0</v>
      </c>
      <c r="J163">
        <f>IF(Table1[[#This Row],[same_1]]=1 &amp; Table1[[#This Row],[same_2]]=1, 1, 0)</f>
        <v>0</v>
      </c>
      <c r="K163">
        <f>IF(ISNUMBER(SEARCH(Table1[[#This Row],[their_ent_1]],Table1[[#This Row],[my_ent_1]])), 1, 0)</f>
        <v>0</v>
      </c>
      <c r="L163">
        <f>IF(ISNUMBER(SEARCH(Table1[[#This Row],[their_ent_2]],Table1[[#This Row],[my_ent_2]])), 1, 0)</f>
        <v>0</v>
      </c>
    </row>
    <row r="164" spans="1:12" hidden="1" x14ac:dyDescent="0.3">
      <c r="A164" t="s">
        <v>595</v>
      </c>
      <c r="B164" t="s">
        <v>596</v>
      </c>
      <c r="C164" t="s">
        <v>107</v>
      </c>
      <c r="D164" t="s">
        <v>467</v>
      </c>
      <c r="E164" t="s">
        <v>597</v>
      </c>
      <c r="F164">
        <v>0</v>
      </c>
      <c r="G164">
        <v>162</v>
      </c>
      <c r="H164">
        <f>IF(Table1[[#This Row],[my_ent_1]]=Table1[[#This Row],[their_ent_1]], 1, 0)</f>
        <v>0</v>
      </c>
      <c r="I164">
        <f>IF(Table1[[#This Row],[my_ent_2]]=Table1[[#This Row],[their_ent_2]], 1, 0)</f>
        <v>0</v>
      </c>
      <c r="J164">
        <f>IF(Table1[[#This Row],[same_1]]=1 &amp; Table1[[#This Row],[same_2]]=1, 1, 0)</f>
        <v>0</v>
      </c>
      <c r="K164">
        <f>IF(ISNUMBER(SEARCH(Table1[[#This Row],[their_ent_1]],Table1[[#This Row],[my_ent_1]])), 1, 0)</f>
        <v>1</v>
      </c>
      <c r="L164">
        <f>IF(ISNUMBER(SEARCH(Table1[[#This Row],[their_ent_2]],Table1[[#This Row],[my_ent_2]])), 1, 0)</f>
        <v>0</v>
      </c>
    </row>
    <row r="165" spans="1:12" hidden="1" x14ac:dyDescent="0.3">
      <c r="A165" t="s">
        <v>598</v>
      </c>
      <c r="B165" t="s">
        <v>599</v>
      </c>
      <c r="C165" t="s">
        <v>599</v>
      </c>
      <c r="D165" t="s">
        <v>600</v>
      </c>
      <c r="E165" t="s">
        <v>601</v>
      </c>
      <c r="F165">
        <v>0</v>
      </c>
      <c r="G165">
        <v>163</v>
      </c>
      <c r="H165">
        <f>IF(Table1[[#This Row],[my_ent_1]]=Table1[[#This Row],[their_ent_1]], 1, 0)</f>
        <v>1</v>
      </c>
      <c r="I165">
        <f>IF(Table1[[#This Row],[my_ent_2]]=Table1[[#This Row],[their_ent_2]], 1, 0)</f>
        <v>0</v>
      </c>
      <c r="J165">
        <f>IF(Table1[[#This Row],[same_1]]=1 &amp; Table1[[#This Row],[same_2]]=1, 1, 0)</f>
        <v>0</v>
      </c>
      <c r="K165">
        <f>IF(ISNUMBER(SEARCH(Table1[[#This Row],[their_ent_1]],Table1[[#This Row],[my_ent_1]])), 1, 0)</f>
        <v>1</v>
      </c>
      <c r="L165">
        <f>IF(ISNUMBER(SEARCH(Table1[[#This Row],[their_ent_2]],Table1[[#This Row],[my_ent_2]])), 1, 0)</f>
        <v>0</v>
      </c>
    </row>
    <row r="166" spans="1:12" hidden="1" x14ac:dyDescent="0.3">
      <c r="A166" t="s">
        <v>602</v>
      </c>
      <c r="B166" t="s">
        <v>603</v>
      </c>
      <c r="C166" t="s">
        <v>603</v>
      </c>
      <c r="D166" t="s">
        <v>604</v>
      </c>
      <c r="E166" t="s">
        <v>605</v>
      </c>
      <c r="F166">
        <v>0</v>
      </c>
      <c r="G166">
        <v>164</v>
      </c>
      <c r="H166">
        <f>IF(Table1[[#This Row],[my_ent_1]]=Table1[[#This Row],[their_ent_1]], 1, 0)</f>
        <v>1</v>
      </c>
      <c r="I166">
        <f>IF(Table1[[#This Row],[my_ent_2]]=Table1[[#This Row],[their_ent_2]], 1, 0)</f>
        <v>0</v>
      </c>
      <c r="J166">
        <f>IF(Table1[[#This Row],[same_1]]=1 &amp; Table1[[#This Row],[same_2]]=1, 1, 0)</f>
        <v>0</v>
      </c>
      <c r="K166">
        <f>IF(ISNUMBER(SEARCH(Table1[[#This Row],[their_ent_1]],Table1[[#This Row],[my_ent_1]])), 1, 0)</f>
        <v>1</v>
      </c>
      <c r="L166">
        <f>IF(ISNUMBER(SEARCH(Table1[[#This Row],[their_ent_2]],Table1[[#This Row],[my_ent_2]])), 1, 0)</f>
        <v>0</v>
      </c>
    </row>
    <row r="167" spans="1:12" hidden="1" x14ac:dyDescent="0.3">
      <c r="A167" t="s">
        <v>606</v>
      </c>
      <c r="B167" t="s">
        <v>607</v>
      </c>
      <c r="C167" t="s">
        <v>607</v>
      </c>
      <c r="D167" t="s">
        <v>608</v>
      </c>
      <c r="E167" t="s">
        <v>609</v>
      </c>
      <c r="F167">
        <v>0</v>
      </c>
      <c r="G167">
        <v>165</v>
      </c>
      <c r="H167">
        <f>IF(Table1[[#This Row],[my_ent_1]]=Table1[[#This Row],[their_ent_1]], 1, 0)</f>
        <v>1</v>
      </c>
      <c r="I167">
        <f>IF(Table1[[#This Row],[my_ent_2]]=Table1[[#This Row],[their_ent_2]], 1, 0)</f>
        <v>0</v>
      </c>
      <c r="J167">
        <f>IF(Table1[[#This Row],[same_1]]=1 &amp; Table1[[#This Row],[same_2]]=1, 1, 0)</f>
        <v>0</v>
      </c>
      <c r="K167">
        <f>IF(ISNUMBER(SEARCH(Table1[[#This Row],[their_ent_1]],Table1[[#This Row],[my_ent_1]])), 1, 0)</f>
        <v>1</v>
      </c>
      <c r="L167">
        <f>IF(ISNUMBER(SEARCH(Table1[[#This Row],[their_ent_2]],Table1[[#This Row],[my_ent_2]])), 1, 0)</f>
        <v>0</v>
      </c>
    </row>
    <row r="168" spans="1:12" x14ac:dyDescent="0.3">
      <c r="A168" t="s">
        <v>610</v>
      </c>
      <c r="B168" t="s">
        <v>147</v>
      </c>
      <c r="C168" t="s">
        <v>611</v>
      </c>
      <c r="D168" t="s">
        <v>612</v>
      </c>
      <c r="E168" t="s">
        <v>613</v>
      </c>
      <c r="F168">
        <v>0</v>
      </c>
      <c r="G168">
        <v>166</v>
      </c>
      <c r="H168">
        <f>IF(Table1[[#This Row],[my_ent_1]]=Table1[[#This Row],[their_ent_1]], 1, 0)</f>
        <v>0</v>
      </c>
      <c r="I168">
        <f>IF(Table1[[#This Row],[my_ent_2]]=Table1[[#This Row],[their_ent_2]], 1, 0)</f>
        <v>0</v>
      </c>
      <c r="J168">
        <f>IF(Table1[[#This Row],[same_1]]=1 &amp; Table1[[#This Row],[same_2]]=1, 1, 0)</f>
        <v>0</v>
      </c>
      <c r="K168">
        <f>IF(ISNUMBER(SEARCH(Table1[[#This Row],[their_ent_1]],Table1[[#This Row],[my_ent_1]])), 1, 0)</f>
        <v>1</v>
      </c>
      <c r="L168">
        <f>IF(ISNUMBER(SEARCH(Table1[[#This Row],[their_ent_2]],Table1[[#This Row],[my_ent_2]])), 1, 0)</f>
        <v>1</v>
      </c>
    </row>
    <row r="169" spans="1:12" hidden="1" x14ac:dyDescent="0.3">
      <c r="A169" t="s">
        <v>614</v>
      </c>
      <c r="B169" t="s">
        <v>615</v>
      </c>
      <c r="C169" t="s">
        <v>615</v>
      </c>
      <c r="D169" t="s">
        <v>615</v>
      </c>
      <c r="E169" t="s">
        <v>616</v>
      </c>
      <c r="F169">
        <v>0</v>
      </c>
      <c r="G169">
        <v>167</v>
      </c>
      <c r="H169">
        <f>IF(Table1[[#This Row],[my_ent_1]]=Table1[[#This Row],[their_ent_1]], 1, 0)</f>
        <v>1</v>
      </c>
      <c r="I169">
        <f>IF(Table1[[#This Row],[my_ent_2]]=Table1[[#This Row],[their_ent_2]], 1, 0)</f>
        <v>0</v>
      </c>
      <c r="J169">
        <f>IF(Table1[[#This Row],[same_1]]=1 &amp; Table1[[#This Row],[same_2]]=1, 1, 0)</f>
        <v>0</v>
      </c>
      <c r="K169">
        <f>IF(ISNUMBER(SEARCH(Table1[[#This Row],[their_ent_1]],Table1[[#This Row],[my_ent_1]])), 1, 0)</f>
        <v>1</v>
      </c>
      <c r="L169">
        <f>IF(ISNUMBER(SEARCH(Table1[[#This Row],[their_ent_2]],Table1[[#This Row],[my_ent_2]])), 1, 0)</f>
        <v>0</v>
      </c>
    </row>
    <row r="170" spans="1:12" hidden="1" x14ac:dyDescent="0.3">
      <c r="A170" t="s">
        <v>617</v>
      </c>
      <c r="B170" t="s">
        <v>618</v>
      </c>
      <c r="C170" t="s">
        <v>618</v>
      </c>
      <c r="D170" t="s">
        <v>94</v>
      </c>
      <c r="E170" t="s">
        <v>619</v>
      </c>
      <c r="F170">
        <v>0</v>
      </c>
      <c r="G170">
        <v>168</v>
      </c>
      <c r="H170">
        <f>IF(Table1[[#This Row],[my_ent_1]]=Table1[[#This Row],[their_ent_1]], 1, 0)</f>
        <v>1</v>
      </c>
      <c r="I170">
        <f>IF(Table1[[#This Row],[my_ent_2]]=Table1[[#This Row],[their_ent_2]], 1, 0)</f>
        <v>0</v>
      </c>
      <c r="J170">
        <f>IF(Table1[[#This Row],[same_1]]=1 &amp; Table1[[#This Row],[same_2]]=1, 1, 0)</f>
        <v>0</v>
      </c>
      <c r="K170">
        <f>IF(ISNUMBER(SEARCH(Table1[[#This Row],[their_ent_1]],Table1[[#This Row],[my_ent_1]])), 1, 0)</f>
        <v>1</v>
      </c>
      <c r="L170">
        <f>IF(ISNUMBER(SEARCH(Table1[[#This Row],[their_ent_2]],Table1[[#This Row],[my_ent_2]])), 1, 0)</f>
        <v>0</v>
      </c>
    </row>
    <row r="171" spans="1:12" x14ac:dyDescent="0.3">
      <c r="A171" t="s">
        <v>620</v>
      </c>
      <c r="B171" t="s">
        <v>621</v>
      </c>
      <c r="C171" t="s">
        <v>621</v>
      </c>
      <c r="D171" t="s">
        <v>622</v>
      </c>
      <c r="E171" t="s">
        <v>148</v>
      </c>
      <c r="F171">
        <v>0</v>
      </c>
      <c r="G171">
        <v>169</v>
      </c>
      <c r="H171">
        <f>IF(Table1[[#This Row],[my_ent_1]]=Table1[[#This Row],[their_ent_1]], 1, 0)</f>
        <v>1</v>
      </c>
      <c r="I171">
        <f>IF(Table1[[#This Row],[my_ent_2]]=Table1[[#This Row],[their_ent_2]], 1, 0)</f>
        <v>0</v>
      </c>
      <c r="J171">
        <f>IF(Table1[[#This Row],[same_1]]=1 &amp; Table1[[#This Row],[same_2]]=1, 1, 0)</f>
        <v>0</v>
      </c>
      <c r="K171">
        <f>IF(ISNUMBER(SEARCH(Table1[[#This Row],[their_ent_1]],Table1[[#This Row],[my_ent_1]])), 1, 0)</f>
        <v>1</v>
      </c>
      <c r="L171">
        <f>IF(ISNUMBER(SEARCH(Table1[[#This Row],[their_ent_2]],Table1[[#This Row],[my_ent_2]])), 1, 0)</f>
        <v>1</v>
      </c>
    </row>
    <row r="172" spans="1:12" x14ac:dyDescent="0.3">
      <c r="A172" t="s">
        <v>623</v>
      </c>
      <c r="B172" t="s">
        <v>137</v>
      </c>
      <c r="C172" t="s">
        <v>138</v>
      </c>
      <c r="D172" t="s">
        <v>624</v>
      </c>
      <c r="E172" t="s">
        <v>624</v>
      </c>
      <c r="F172">
        <v>0</v>
      </c>
      <c r="G172">
        <v>170</v>
      </c>
      <c r="H172">
        <f>IF(Table1[[#This Row],[my_ent_1]]=Table1[[#This Row],[their_ent_1]], 1, 0)</f>
        <v>0</v>
      </c>
      <c r="I172">
        <f>IF(Table1[[#This Row],[my_ent_2]]=Table1[[#This Row],[their_ent_2]], 1, 0)</f>
        <v>1</v>
      </c>
      <c r="J172">
        <f>IF(Table1[[#This Row],[same_1]]=1 &amp; Table1[[#This Row],[same_2]]=1, 1, 0)</f>
        <v>0</v>
      </c>
      <c r="K172">
        <f>IF(ISNUMBER(SEARCH(Table1[[#This Row],[their_ent_1]],Table1[[#This Row],[my_ent_1]])), 1, 0)</f>
        <v>1</v>
      </c>
      <c r="L172">
        <f>IF(ISNUMBER(SEARCH(Table1[[#This Row],[their_ent_2]],Table1[[#This Row],[my_ent_2]])), 1, 0)</f>
        <v>1</v>
      </c>
    </row>
    <row r="173" spans="1:12" hidden="1" x14ac:dyDescent="0.3">
      <c r="A173" t="s">
        <v>625</v>
      </c>
      <c r="B173" t="s">
        <v>626</v>
      </c>
      <c r="C173" t="s">
        <v>627</v>
      </c>
      <c r="D173" t="s">
        <v>628</v>
      </c>
      <c r="E173" t="s">
        <v>629</v>
      </c>
      <c r="F173">
        <v>0</v>
      </c>
      <c r="G173">
        <v>171</v>
      </c>
      <c r="H173">
        <f>IF(Table1[[#This Row],[my_ent_1]]=Table1[[#This Row],[their_ent_1]], 1, 0)</f>
        <v>0</v>
      </c>
      <c r="I173">
        <f>IF(Table1[[#This Row],[my_ent_2]]=Table1[[#This Row],[their_ent_2]], 1, 0)</f>
        <v>0</v>
      </c>
      <c r="J173">
        <f>IF(Table1[[#This Row],[same_1]]=1 &amp; Table1[[#This Row],[same_2]]=1, 1, 0)</f>
        <v>0</v>
      </c>
      <c r="K173">
        <f>IF(ISNUMBER(SEARCH(Table1[[#This Row],[their_ent_1]],Table1[[#This Row],[my_ent_1]])), 1, 0)</f>
        <v>0</v>
      </c>
      <c r="L173">
        <f>IF(ISNUMBER(SEARCH(Table1[[#This Row],[their_ent_2]],Table1[[#This Row],[my_ent_2]])), 1, 0)</f>
        <v>0</v>
      </c>
    </row>
    <row r="174" spans="1:12" x14ac:dyDescent="0.3">
      <c r="A174" t="s">
        <v>630</v>
      </c>
      <c r="B174" t="s">
        <v>290</v>
      </c>
      <c r="C174" t="s">
        <v>290</v>
      </c>
      <c r="D174" t="s">
        <v>631</v>
      </c>
      <c r="E174" t="s">
        <v>94</v>
      </c>
      <c r="F174">
        <v>0</v>
      </c>
      <c r="G174">
        <v>172</v>
      </c>
      <c r="H174">
        <f>IF(Table1[[#This Row],[my_ent_1]]=Table1[[#This Row],[their_ent_1]], 1, 0)</f>
        <v>1</v>
      </c>
      <c r="I174">
        <f>IF(Table1[[#This Row],[my_ent_2]]=Table1[[#This Row],[their_ent_2]], 1, 0)</f>
        <v>0</v>
      </c>
      <c r="J174">
        <f>IF(Table1[[#This Row],[same_1]]=1 &amp; Table1[[#This Row],[same_2]]=1, 1, 0)</f>
        <v>0</v>
      </c>
      <c r="K174">
        <f>IF(ISNUMBER(SEARCH(Table1[[#This Row],[their_ent_1]],Table1[[#This Row],[my_ent_1]])), 1, 0)</f>
        <v>1</v>
      </c>
      <c r="L174">
        <f>IF(ISNUMBER(SEARCH(Table1[[#This Row],[their_ent_2]],Table1[[#This Row],[my_ent_2]])), 1, 0)</f>
        <v>1</v>
      </c>
    </row>
    <row r="175" spans="1:12" hidden="1" x14ac:dyDescent="0.3">
      <c r="A175" t="s">
        <v>632</v>
      </c>
      <c r="B175" t="s">
        <v>142</v>
      </c>
      <c r="C175" t="s">
        <v>633</v>
      </c>
      <c r="D175" t="s">
        <v>634</v>
      </c>
      <c r="E175" t="s">
        <v>634</v>
      </c>
      <c r="F175">
        <v>0</v>
      </c>
      <c r="G175">
        <v>173</v>
      </c>
      <c r="H175">
        <f>IF(Table1[[#This Row],[my_ent_1]]=Table1[[#This Row],[their_ent_1]], 1, 0)</f>
        <v>0</v>
      </c>
      <c r="I175">
        <f>IF(Table1[[#This Row],[my_ent_2]]=Table1[[#This Row],[their_ent_2]], 1, 0)</f>
        <v>1</v>
      </c>
      <c r="J175">
        <f>IF(Table1[[#This Row],[same_1]]=1 &amp; Table1[[#This Row],[same_2]]=1, 1, 0)</f>
        <v>0</v>
      </c>
      <c r="K175">
        <f>IF(ISNUMBER(SEARCH(Table1[[#This Row],[their_ent_1]],Table1[[#This Row],[my_ent_1]])), 1, 0)</f>
        <v>0</v>
      </c>
      <c r="L175">
        <f>IF(ISNUMBER(SEARCH(Table1[[#This Row],[their_ent_2]],Table1[[#This Row],[my_ent_2]])), 1, 0)</f>
        <v>1</v>
      </c>
    </row>
    <row r="176" spans="1:12" hidden="1" x14ac:dyDescent="0.3">
      <c r="A176" t="s">
        <v>635</v>
      </c>
      <c r="B176" t="s">
        <v>636</v>
      </c>
      <c r="C176" t="s">
        <v>193</v>
      </c>
      <c r="D176" t="s">
        <v>34</v>
      </c>
      <c r="E176" t="s">
        <v>34</v>
      </c>
      <c r="F176">
        <v>0</v>
      </c>
      <c r="G176">
        <v>174</v>
      </c>
      <c r="H176">
        <f>IF(Table1[[#This Row],[my_ent_1]]=Table1[[#This Row],[their_ent_1]], 1, 0)</f>
        <v>0</v>
      </c>
      <c r="I176">
        <f>IF(Table1[[#This Row],[my_ent_2]]=Table1[[#This Row],[their_ent_2]], 1, 0)</f>
        <v>1</v>
      </c>
      <c r="J176">
        <f>IF(Table1[[#This Row],[same_1]]=1 &amp; Table1[[#This Row],[same_2]]=1, 1, 0)</f>
        <v>0</v>
      </c>
      <c r="K176">
        <f>IF(ISNUMBER(SEARCH(Table1[[#This Row],[their_ent_1]],Table1[[#This Row],[my_ent_1]])), 1, 0)</f>
        <v>0</v>
      </c>
      <c r="L176">
        <f>IF(ISNUMBER(SEARCH(Table1[[#This Row],[their_ent_2]],Table1[[#This Row],[my_ent_2]])), 1, 0)</f>
        <v>1</v>
      </c>
    </row>
    <row r="177" spans="1:12" hidden="1" x14ac:dyDescent="0.3">
      <c r="A177" t="s">
        <v>637</v>
      </c>
      <c r="B177" t="s">
        <v>638</v>
      </c>
      <c r="C177" t="s">
        <v>639</v>
      </c>
      <c r="D177" t="s">
        <v>639</v>
      </c>
      <c r="E177" t="s">
        <v>148</v>
      </c>
      <c r="F177">
        <v>0</v>
      </c>
      <c r="G177">
        <v>175</v>
      </c>
      <c r="H177">
        <f>IF(Table1[[#This Row],[my_ent_1]]=Table1[[#This Row],[their_ent_1]], 1, 0)</f>
        <v>0</v>
      </c>
      <c r="I177">
        <f>IF(Table1[[#This Row],[my_ent_2]]=Table1[[#This Row],[their_ent_2]], 1, 0)</f>
        <v>0</v>
      </c>
      <c r="J177">
        <f>IF(Table1[[#This Row],[same_1]]=1 &amp; Table1[[#This Row],[same_2]]=1, 1, 0)</f>
        <v>0</v>
      </c>
      <c r="K177">
        <f>IF(ISNUMBER(SEARCH(Table1[[#This Row],[their_ent_1]],Table1[[#This Row],[my_ent_1]])), 1, 0)</f>
        <v>0</v>
      </c>
      <c r="L177">
        <f>IF(ISNUMBER(SEARCH(Table1[[#This Row],[their_ent_2]],Table1[[#This Row],[my_ent_2]])), 1, 0)</f>
        <v>0</v>
      </c>
    </row>
    <row r="178" spans="1:12" hidden="1" x14ac:dyDescent="0.3">
      <c r="A178" t="s">
        <v>640</v>
      </c>
      <c r="B178" t="s">
        <v>641</v>
      </c>
      <c r="C178" t="s">
        <v>642</v>
      </c>
      <c r="D178" t="s">
        <v>643</v>
      </c>
      <c r="E178" t="s">
        <v>644</v>
      </c>
      <c r="F178">
        <v>0</v>
      </c>
      <c r="G178">
        <v>176</v>
      </c>
      <c r="H178">
        <f>IF(Table1[[#This Row],[my_ent_1]]=Table1[[#This Row],[their_ent_1]], 1, 0)</f>
        <v>0</v>
      </c>
      <c r="I178">
        <f>IF(Table1[[#This Row],[my_ent_2]]=Table1[[#This Row],[their_ent_2]], 1, 0)</f>
        <v>0</v>
      </c>
      <c r="J178">
        <f>IF(Table1[[#This Row],[same_1]]=1 &amp; Table1[[#This Row],[same_2]]=1, 1, 0)</f>
        <v>0</v>
      </c>
      <c r="K178">
        <f>IF(ISNUMBER(SEARCH(Table1[[#This Row],[their_ent_1]],Table1[[#This Row],[my_ent_1]])), 1, 0)</f>
        <v>0</v>
      </c>
      <c r="L178">
        <f>IF(ISNUMBER(SEARCH(Table1[[#This Row],[their_ent_2]],Table1[[#This Row],[my_ent_2]])), 1, 0)</f>
        <v>0</v>
      </c>
    </row>
    <row r="179" spans="1:12" hidden="1" x14ac:dyDescent="0.3">
      <c r="A179" t="s">
        <v>645</v>
      </c>
      <c r="B179" t="s">
        <v>646</v>
      </c>
      <c r="C179" t="s">
        <v>647</v>
      </c>
      <c r="D179" t="s">
        <v>54</v>
      </c>
      <c r="E179" t="s">
        <v>648</v>
      </c>
      <c r="F179">
        <v>0</v>
      </c>
      <c r="G179">
        <v>177</v>
      </c>
      <c r="H179">
        <f>IF(Table1[[#This Row],[my_ent_1]]=Table1[[#This Row],[their_ent_1]], 1, 0)</f>
        <v>0</v>
      </c>
      <c r="I179">
        <f>IF(Table1[[#This Row],[my_ent_2]]=Table1[[#This Row],[their_ent_2]], 1, 0)</f>
        <v>0</v>
      </c>
      <c r="J179">
        <f>IF(Table1[[#This Row],[same_1]]=1 &amp; Table1[[#This Row],[same_2]]=1, 1, 0)</f>
        <v>0</v>
      </c>
      <c r="K179">
        <f>IF(ISNUMBER(SEARCH(Table1[[#This Row],[their_ent_1]],Table1[[#This Row],[my_ent_1]])), 1, 0)</f>
        <v>1</v>
      </c>
      <c r="L179">
        <f>IF(ISNUMBER(SEARCH(Table1[[#This Row],[their_ent_2]],Table1[[#This Row],[my_ent_2]])), 1, 0)</f>
        <v>0</v>
      </c>
    </row>
    <row r="180" spans="1:12" hidden="1" x14ac:dyDescent="0.3">
      <c r="A180" t="s">
        <v>649</v>
      </c>
      <c r="B180" t="s">
        <v>650</v>
      </c>
      <c r="C180" t="s">
        <v>651</v>
      </c>
      <c r="D180" t="s">
        <v>651</v>
      </c>
      <c r="E180" t="s">
        <v>652</v>
      </c>
      <c r="F180">
        <v>0</v>
      </c>
      <c r="G180">
        <v>178</v>
      </c>
      <c r="H180">
        <f>IF(Table1[[#This Row],[my_ent_1]]=Table1[[#This Row],[their_ent_1]], 1, 0)</f>
        <v>0</v>
      </c>
      <c r="I180">
        <f>IF(Table1[[#This Row],[my_ent_2]]=Table1[[#This Row],[their_ent_2]], 1, 0)</f>
        <v>0</v>
      </c>
      <c r="J180">
        <f>IF(Table1[[#This Row],[same_1]]=1 &amp; Table1[[#This Row],[same_2]]=1, 1, 0)</f>
        <v>0</v>
      </c>
      <c r="K180">
        <f>IF(ISNUMBER(SEARCH(Table1[[#This Row],[their_ent_1]],Table1[[#This Row],[my_ent_1]])), 1, 0)</f>
        <v>0</v>
      </c>
      <c r="L180">
        <f>IF(ISNUMBER(SEARCH(Table1[[#This Row],[their_ent_2]],Table1[[#This Row],[my_ent_2]])), 1, 0)</f>
        <v>0</v>
      </c>
    </row>
    <row r="181" spans="1:12" hidden="1" x14ac:dyDescent="0.3">
      <c r="A181" t="s">
        <v>653</v>
      </c>
      <c r="B181" t="s">
        <v>241</v>
      </c>
      <c r="C181" t="s">
        <v>34</v>
      </c>
      <c r="D181" t="s">
        <v>654</v>
      </c>
      <c r="E181" t="s">
        <v>655</v>
      </c>
      <c r="F181">
        <v>0</v>
      </c>
      <c r="G181">
        <v>179</v>
      </c>
      <c r="H181">
        <f>IF(Table1[[#This Row],[my_ent_1]]=Table1[[#This Row],[their_ent_1]], 1, 0)</f>
        <v>0</v>
      </c>
      <c r="I181">
        <f>IF(Table1[[#This Row],[my_ent_2]]=Table1[[#This Row],[their_ent_2]], 1, 0)</f>
        <v>0</v>
      </c>
      <c r="J181">
        <f>IF(Table1[[#This Row],[same_1]]=1 &amp; Table1[[#This Row],[same_2]]=1, 1, 0)</f>
        <v>0</v>
      </c>
      <c r="K181">
        <f>IF(ISNUMBER(SEARCH(Table1[[#This Row],[their_ent_1]],Table1[[#This Row],[my_ent_1]])), 1, 0)</f>
        <v>1</v>
      </c>
      <c r="L181">
        <f>IF(ISNUMBER(SEARCH(Table1[[#This Row],[their_ent_2]],Table1[[#This Row],[my_ent_2]])), 1, 0)</f>
        <v>0</v>
      </c>
    </row>
    <row r="182" spans="1:12" x14ac:dyDescent="0.3">
      <c r="A182" t="s">
        <v>656</v>
      </c>
      <c r="B182" t="s">
        <v>657</v>
      </c>
      <c r="C182" t="s">
        <v>657</v>
      </c>
      <c r="D182" t="s">
        <v>658</v>
      </c>
      <c r="E182" t="s">
        <v>278</v>
      </c>
      <c r="F182">
        <v>0</v>
      </c>
      <c r="G182">
        <v>180</v>
      </c>
      <c r="H182">
        <f>IF(Table1[[#This Row],[my_ent_1]]=Table1[[#This Row],[their_ent_1]], 1, 0)</f>
        <v>1</v>
      </c>
      <c r="I182">
        <f>IF(Table1[[#This Row],[my_ent_2]]=Table1[[#This Row],[their_ent_2]], 1, 0)</f>
        <v>0</v>
      </c>
      <c r="J182">
        <f>IF(Table1[[#This Row],[same_1]]=1 &amp; Table1[[#This Row],[same_2]]=1, 1, 0)</f>
        <v>0</v>
      </c>
      <c r="K182">
        <f>IF(ISNUMBER(SEARCH(Table1[[#This Row],[their_ent_1]],Table1[[#This Row],[my_ent_1]])), 1, 0)</f>
        <v>1</v>
      </c>
      <c r="L182">
        <f>IF(ISNUMBER(SEARCH(Table1[[#This Row],[their_ent_2]],Table1[[#This Row],[my_ent_2]])), 1, 0)</f>
        <v>1</v>
      </c>
    </row>
    <row r="183" spans="1:12" x14ac:dyDescent="0.3">
      <c r="A183" t="s">
        <v>659</v>
      </c>
      <c r="B183" t="s">
        <v>660</v>
      </c>
      <c r="C183" t="s">
        <v>661</v>
      </c>
      <c r="D183" t="s">
        <v>34</v>
      </c>
      <c r="E183" t="s">
        <v>34</v>
      </c>
      <c r="F183">
        <v>0</v>
      </c>
      <c r="G183">
        <v>181</v>
      </c>
      <c r="H183">
        <f>IF(Table1[[#This Row],[my_ent_1]]=Table1[[#This Row],[their_ent_1]], 1, 0)</f>
        <v>0</v>
      </c>
      <c r="I183">
        <f>IF(Table1[[#This Row],[my_ent_2]]=Table1[[#This Row],[their_ent_2]], 1, 0)</f>
        <v>1</v>
      </c>
      <c r="J183">
        <f>IF(Table1[[#This Row],[same_1]]=1 &amp; Table1[[#This Row],[same_2]]=1, 1, 0)</f>
        <v>0</v>
      </c>
      <c r="K183">
        <f>IF(ISNUMBER(SEARCH(Table1[[#This Row],[their_ent_1]],Table1[[#This Row],[my_ent_1]])), 1, 0)</f>
        <v>1</v>
      </c>
      <c r="L183">
        <f>IF(ISNUMBER(SEARCH(Table1[[#This Row],[their_ent_2]],Table1[[#This Row],[my_ent_2]])), 1, 0)</f>
        <v>1</v>
      </c>
    </row>
    <row r="184" spans="1:12" hidden="1" x14ac:dyDescent="0.3">
      <c r="A184" t="s">
        <v>662</v>
      </c>
      <c r="B184" t="s">
        <v>663</v>
      </c>
      <c r="C184" t="s">
        <v>664</v>
      </c>
      <c r="D184" t="s">
        <v>665</v>
      </c>
      <c r="E184" t="s">
        <v>666</v>
      </c>
      <c r="F184">
        <v>0</v>
      </c>
      <c r="G184">
        <v>182</v>
      </c>
      <c r="H184">
        <f>IF(Table1[[#This Row],[my_ent_1]]=Table1[[#This Row],[their_ent_1]], 1, 0)</f>
        <v>0</v>
      </c>
      <c r="I184">
        <f>IF(Table1[[#This Row],[my_ent_2]]=Table1[[#This Row],[their_ent_2]], 1, 0)</f>
        <v>0</v>
      </c>
      <c r="J184">
        <f>IF(Table1[[#This Row],[same_1]]=1 &amp; Table1[[#This Row],[same_2]]=1, 1, 0)</f>
        <v>0</v>
      </c>
      <c r="K184">
        <f>IF(ISNUMBER(SEARCH(Table1[[#This Row],[their_ent_1]],Table1[[#This Row],[my_ent_1]])), 1, 0)</f>
        <v>0</v>
      </c>
      <c r="L184">
        <f>IF(ISNUMBER(SEARCH(Table1[[#This Row],[their_ent_2]],Table1[[#This Row],[my_ent_2]])), 1, 0)</f>
        <v>0</v>
      </c>
    </row>
    <row r="185" spans="1:12" x14ac:dyDescent="0.3">
      <c r="A185" t="s">
        <v>667</v>
      </c>
      <c r="B185" t="s">
        <v>147</v>
      </c>
      <c r="C185" t="s">
        <v>611</v>
      </c>
      <c r="D185" t="s">
        <v>404</v>
      </c>
      <c r="E185" t="s">
        <v>404</v>
      </c>
      <c r="F185">
        <v>0</v>
      </c>
      <c r="G185">
        <v>183</v>
      </c>
      <c r="H185">
        <f>IF(Table1[[#This Row],[my_ent_1]]=Table1[[#This Row],[their_ent_1]], 1, 0)</f>
        <v>0</v>
      </c>
      <c r="I185">
        <f>IF(Table1[[#This Row],[my_ent_2]]=Table1[[#This Row],[their_ent_2]], 1, 0)</f>
        <v>1</v>
      </c>
      <c r="J185">
        <f>IF(Table1[[#This Row],[same_1]]=1 &amp; Table1[[#This Row],[same_2]]=1, 1, 0)</f>
        <v>0</v>
      </c>
      <c r="K185">
        <f>IF(ISNUMBER(SEARCH(Table1[[#This Row],[their_ent_1]],Table1[[#This Row],[my_ent_1]])), 1, 0)</f>
        <v>1</v>
      </c>
      <c r="L185">
        <f>IF(ISNUMBER(SEARCH(Table1[[#This Row],[their_ent_2]],Table1[[#This Row],[my_ent_2]])), 1, 0)</f>
        <v>1</v>
      </c>
    </row>
    <row r="186" spans="1:12" hidden="1" x14ac:dyDescent="0.3">
      <c r="A186" t="s">
        <v>668</v>
      </c>
      <c r="B186" t="s">
        <v>669</v>
      </c>
      <c r="C186" t="s">
        <v>669</v>
      </c>
      <c r="D186" t="s">
        <v>670</v>
      </c>
      <c r="E186" t="s">
        <v>671</v>
      </c>
      <c r="F186">
        <v>0</v>
      </c>
      <c r="G186">
        <v>184</v>
      </c>
      <c r="H186">
        <f>IF(Table1[[#This Row],[my_ent_1]]=Table1[[#This Row],[their_ent_1]], 1, 0)</f>
        <v>1</v>
      </c>
      <c r="I186">
        <f>IF(Table1[[#This Row],[my_ent_2]]=Table1[[#This Row],[their_ent_2]], 1, 0)</f>
        <v>0</v>
      </c>
      <c r="J186">
        <f>IF(Table1[[#This Row],[same_1]]=1 &amp; Table1[[#This Row],[same_2]]=1, 1, 0)</f>
        <v>0</v>
      </c>
      <c r="K186">
        <f>IF(ISNUMBER(SEARCH(Table1[[#This Row],[their_ent_1]],Table1[[#This Row],[my_ent_1]])), 1, 0)</f>
        <v>1</v>
      </c>
      <c r="L186">
        <f>IF(ISNUMBER(SEARCH(Table1[[#This Row],[their_ent_2]],Table1[[#This Row],[my_ent_2]])), 1, 0)</f>
        <v>0</v>
      </c>
    </row>
    <row r="187" spans="1:12" x14ac:dyDescent="0.3">
      <c r="A187" t="s">
        <v>672</v>
      </c>
      <c r="B187" t="s">
        <v>352</v>
      </c>
      <c r="C187" t="s">
        <v>352</v>
      </c>
      <c r="D187" t="s">
        <v>673</v>
      </c>
      <c r="E187" t="s">
        <v>34</v>
      </c>
      <c r="F187">
        <v>0</v>
      </c>
      <c r="G187">
        <v>185</v>
      </c>
      <c r="H187">
        <f>IF(Table1[[#This Row],[my_ent_1]]=Table1[[#This Row],[their_ent_1]], 1, 0)</f>
        <v>1</v>
      </c>
      <c r="I187">
        <f>IF(Table1[[#This Row],[my_ent_2]]=Table1[[#This Row],[their_ent_2]], 1, 0)</f>
        <v>0</v>
      </c>
      <c r="J187">
        <f>IF(Table1[[#This Row],[same_1]]=1 &amp; Table1[[#This Row],[same_2]]=1, 1, 0)</f>
        <v>0</v>
      </c>
      <c r="K187">
        <f>IF(ISNUMBER(SEARCH(Table1[[#This Row],[their_ent_1]],Table1[[#This Row],[my_ent_1]])), 1, 0)</f>
        <v>1</v>
      </c>
      <c r="L187">
        <f>IF(ISNUMBER(SEARCH(Table1[[#This Row],[their_ent_2]],Table1[[#This Row],[my_ent_2]])), 1, 0)</f>
        <v>1</v>
      </c>
    </row>
    <row r="188" spans="1:12" x14ac:dyDescent="0.3">
      <c r="A188" t="s">
        <v>674</v>
      </c>
      <c r="B188" t="s">
        <v>675</v>
      </c>
      <c r="C188" t="s">
        <v>676</v>
      </c>
      <c r="D188" t="s">
        <v>677</v>
      </c>
      <c r="E188" t="s">
        <v>678</v>
      </c>
      <c r="F188">
        <v>0</v>
      </c>
      <c r="G188">
        <v>186</v>
      </c>
      <c r="H188">
        <f>IF(Table1[[#This Row],[my_ent_1]]=Table1[[#This Row],[their_ent_1]], 1, 0)</f>
        <v>0</v>
      </c>
      <c r="I188">
        <f>IF(Table1[[#This Row],[my_ent_2]]=Table1[[#This Row],[their_ent_2]], 1, 0)</f>
        <v>0</v>
      </c>
      <c r="J188">
        <f>IF(Table1[[#This Row],[same_1]]=1 &amp; Table1[[#This Row],[same_2]]=1, 1, 0)</f>
        <v>0</v>
      </c>
      <c r="K188">
        <f>IF(ISNUMBER(SEARCH(Table1[[#This Row],[their_ent_1]],Table1[[#This Row],[my_ent_1]])), 1, 0)</f>
        <v>1</v>
      </c>
      <c r="L188">
        <f>IF(ISNUMBER(SEARCH(Table1[[#This Row],[their_ent_2]],Table1[[#This Row],[my_ent_2]])), 1, 0)</f>
        <v>1</v>
      </c>
    </row>
    <row r="189" spans="1:12" hidden="1" x14ac:dyDescent="0.3">
      <c r="A189" t="s">
        <v>679</v>
      </c>
      <c r="B189" t="s">
        <v>578</v>
      </c>
      <c r="C189" t="s">
        <v>578</v>
      </c>
      <c r="D189" t="s">
        <v>680</v>
      </c>
      <c r="E189" t="s">
        <v>681</v>
      </c>
      <c r="F189">
        <v>0</v>
      </c>
      <c r="G189">
        <v>187</v>
      </c>
      <c r="H189">
        <f>IF(Table1[[#This Row],[my_ent_1]]=Table1[[#This Row],[their_ent_1]], 1, 0)</f>
        <v>1</v>
      </c>
      <c r="I189">
        <f>IF(Table1[[#This Row],[my_ent_2]]=Table1[[#This Row],[their_ent_2]], 1, 0)</f>
        <v>0</v>
      </c>
      <c r="J189">
        <f>IF(Table1[[#This Row],[same_1]]=1 &amp; Table1[[#This Row],[same_2]]=1, 1, 0)</f>
        <v>0</v>
      </c>
      <c r="K189">
        <f>IF(ISNUMBER(SEARCH(Table1[[#This Row],[their_ent_1]],Table1[[#This Row],[my_ent_1]])), 1, 0)</f>
        <v>1</v>
      </c>
      <c r="L189">
        <f>IF(ISNUMBER(SEARCH(Table1[[#This Row],[their_ent_2]],Table1[[#This Row],[my_ent_2]])), 1, 0)</f>
        <v>0</v>
      </c>
    </row>
    <row r="190" spans="1:12" hidden="1" x14ac:dyDescent="0.3">
      <c r="A190" t="s">
        <v>682</v>
      </c>
      <c r="B190" t="s">
        <v>142</v>
      </c>
      <c r="C190" t="s">
        <v>683</v>
      </c>
      <c r="D190" t="s">
        <v>200</v>
      </c>
      <c r="E190" t="s">
        <v>143</v>
      </c>
      <c r="F190">
        <v>0</v>
      </c>
      <c r="G190">
        <v>188</v>
      </c>
      <c r="H190">
        <f>IF(Table1[[#This Row],[my_ent_1]]=Table1[[#This Row],[their_ent_1]], 1, 0)</f>
        <v>0</v>
      </c>
      <c r="I190">
        <f>IF(Table1[[#This Row],[my_ent_2]]=Table1[[#This Row],[their_ent_2]], 1, 0)</f>
        <v>0</v>
      </c>
      <c r="J190">
        <f>IF(Table1[[#This Row],[same_1]]=1 &amp; Table1[[#This Row],[same_2]]=1, 1, 0)</f>
        <v>0</v>
      </c>
      <c r="K190">
        <f>IF(ISNUMBER(SEARCH(Table1[[#This Row],[their_ent_1]],Table1[[#This Row],[my_ent_1]])), 1, 0)</f>
        <v>0</v>
      </c>
      <c r="L190">
        <f>IF(ISNUMBER(SEARCH(Table1[[#This Row],[their_ent_2]],Table1[[#This Row],[my_ent_2]])), 1, 0)</f>
        <v>0</v>
      </c>
    </row>
    <row r="191" spans="1:12" hidden="1" x14ac:dyDescent="0.3">
      <c r="A191" t="s">
        <v>684</v>
      </c>
      <c r="B191" t="s">
        <v>385</v>
      </c>
      <c r="C191" t="s">
        <v>685</v>
      </c>
      <c r="D191" t="s">
        <v>686</v>
      </c>
      <c r="E191">
        <v>66</v>
      </c>
      <c r="F191">
        <v>0</v>
      </c>
      <c r="G191">
        <v>189</v>
      </c>
      <c r="H191">
        <f>IF(Table1[[#This Row],[my_ent_1]]=Table1[[#This Row],[their_ent_1]], 1, 0)</f>
        <v>0</v>
      </c>
      <c r="I191">
        <f>IF(Table1[[#This Row],[my_ent_2]]=Table1[[#This Row],[their_ent_2]], 1, 0)</f>
        <v>0</v>
      </c>
      <c r="J191">
        <f>IF(Table1[[#This Row],[same_1]]=1 &amp; Table1[[#This Row],[same_2]]=1, 1, 0)</f>
        <v>0</v>
      </c>
      <c r="K191">
        <f>IF(ISNUMBER(SEARCH(Table1[[#This Row],[their_ent_1]],Table1[[#This Row],[my_ent_1]])), 1, 0)</f>
        <v>0</v>
      </c>
      <c r="L191">
        <f>IF(ISNUMBER(SEARCH(Table1[[#This Row],[their_ent_2]],Table1[[#This Row],[my_ent_2]])), 1, 0)</f>
        <v>0</v>
      </c>
    </row>
    <row r="192" spans="1:12" hidden="1" x14ac:dyDescent="0.3">
      <c r="A192" t="s">
        <v>687</v>
      </c>
      <c r="B192" t="s">
        <v>688</v>
      </c>
      <c r="C192" t="s">
        <v>519</v>
      </c>
      <c r="D192" t="s">
        <v>235</v>
      </c>
      <c r="E192" t="s">
        <v>236</v>
      </c>
      <c r="F192">
        <v>0</v>
      </c>
      <c r="G192">
        <v>190</v>
      </c>
      <c r="H192">
        <f>IF(Table1[[#This Row],[my_ent_1]]=Table1[[#This Row],[their_ent_1]], 1, 0)</f>
        <v>0</v>
      </c>
      <c r="I192">
        <f>IF(Table1[[#This Row],[my_ent_2]]=Table1[[#This Row],[their_ent_2]], 1, 0)</f>
        <v>0</v>
      </c>
      <c r="J192">
        <f>IF(Table1[[#This Row],[same_1]]=1 &amp; Table1[[#This Row],[same_2]]=1, 1, 0)</f>
        <v>0</v>
      </c>
      <c r="K192">
        <f>IF(ISNUMBER(SEARCH(Table1[[#This Row],[their_ent_1]],Table1[[#This Row],[my_ent_1]])), 1, 0)</f>
        <v>0</v>
      </c>
      <c r="L192">
        <f>IF(ISNUMBER(SEARCH(Table1[[#This Row],[their_ent_2]],Table1[[#This Row],[my_ent_2]])), 1, 0)</f>
        <v>1</v>
      </c>
    </row>
    <row r="193" spans="1:12" hidden="1" x14ac:dyDescent="0.3">
      <c r="A193" t="s">
        <v>689</v>
      </c>
      <c r="B193" t="s">
        <v>690</v>
      </c>
      <c r="C193" t="s">
        <v>690</v>
      </c>
      <c r="D193" t="s">
        <v>691</v>
      </c>
      <c r="E193" t="s">
        <v>692</v>
      </c>
      <c r="F193">
        <v>0</v>
      </c>
      <c r="G193">
        <v>191</v>
      </c>
      <c r="H193">
        <f>IF(Table1[[#This Row],[my_ent_1]]=Table1[[#This Row],[their_ent_1]], 1, 0)</f>
        <v>1</v>
      </c>
      <c r="I193">
        <f>IF(Table1[[#This Row],[my_ent_2]]=Table1[[#This Row],[their_ent_2]], 1, 0)</f>
        <v>0</v>
      </c>
      <c r="J193">
        <f>IF(Table1[[#This Row],[same_1]]=1 &amp; Table1[[#This Row],[same_2]]=1, 1, 0)</f>
        <v>0</v>
      </c>
      <c r="K193">
        <f>IF(ISNUMBER(SEARCH(Table1[[#This Row],[their_ent_1]],Table1[[#This Row],[my_ent_1]])), 1, 0)</f>
        <v>1</v>
      </c>
      <c r="L193">
        <f>IF(ISNUMBER(SEARCH(Table1[[#This Row],[their_ent_2]],Table1[[#This Row],[my_ent_2]])), 1, 0)</f>
        <v>0</v>
      </c>
    </row>
    <row r="194" spans="1:12" hidden="1" x14ac:dyDescent="0.3">
      <c r="A194" t="s">
        <v>693</v>
      </c>
      <c r="B194" t="s">
        <v>15</v>
      </c>
      <c r="C194" t="s">
        <v>694</v>
      </c>
      <c r="D194" t="s">
        <v>694</v>
      </c>
      <c r="E194" t="s">
        <v>695</v>
      </c>
      <c r="F194">
        <v>0</v>
      </c>
      <c r="G194">
        <v>192</v>
      </c>
      <c r="H194">
        <f>IF(Table1[[#This Row],[my_ent_1]]=Table1[[#This Row],[their_ent_1]], 1, 0)</f>
        <v>0</v>
      </c>
      <c r="I194">
        <f>IF(Table1[[#This Row],[my_ent_2]]=Table1[[#This Row],[their_ent_2]], 1, 0)</f>
        <v>0</v>
      </c>
      <c r="J194">
        <f>IF(Table1[[#This Row],[same_1]]=1 &amp; Table1[[#This Row],[same_2]]=1, 1, 0)</f>
        <v>0</v>
      </c>
      <c r="K194">
        <f>IF(ISNUMBER(SEARCH(Table1[[#This Row],[their_ent_1]],Table1[[#This Row],[my_ent_1]])), 1, 0)</f>
        <v>0</v>
      </c>
      <c r="L194">
        <f>IF(ISNUMBER(SEARCH(Table1[[#This Row],[their_ent_2]],Table1[[#This Row],[my_ent_2]])), 1, 0)</f>
        <v>0</v>
      </c>
    </row>
    <row r="195" spans="1:12" hidden="1" x14ac:dyDescent="0.3">
      <c r="A195" t="s">
        <v>696</v>
      </c>
      <c r="B195" t="s">
        <v>697</v>
      </c>
      <c r="C195" t="s">
        <v>34</v>
      </c>
      <c r="D195" t="s">
        <v>698</v>
      </c>
      <c r="E195" t="s">
        <v>699</v>
      </c>
      <c r="F195">
        <v>0</v>
      </c>
      <c r="G195">
        <v>193</v>
      </c>
      <c r="H195">
        <f>IF(Table1[[#This Row],[my_ent_1]]=Table1[[#This Row],[their_ent_1]], 1, 0)</f>
        <v>0</v>
      </c>
      <c r="I195">
        <f>IF(Table1[[#This Row],[my_ent_2]]=Table1[[#This Row],[their_ent_2]], 1, 0)</f>
        <v>0</v>
      </c>
      <c r="J195">
        <f>IF(Table1[[#This Row],[same_1]]=1 &amp; Table1[[#This Row],[same_2]]=1, 1, 0)</f>
        <v>0</v>
      </c>
      <c r="K195">
        <f>IF(ISNUMBER(SEARCH(Table1[[#This Row],[their_ent_1]],Table1[[#This Row],[my_ent_1]])), 1, 0)</f>
        <v>0</v>
      </c>
      <c r="L195">
        <f>IF(ISNUMBER(SEARCH(Table1[[#This Row],[their_ent_2]],Table1[[#This Row],[my_ent_2]])), 1, 0)</f>
        <v>0</v>
      </c>
    </row>
    <row r="196" spans="1:12" hidden="1" x14ac:dyDescent="0.3">
      <c r="A196" t="s">
        <v>700</v>
      </c>
      <c r="B196" t="s">
        <v>701</v>
      </c>
      <c r="C196" t="s">
        <v>575</v>
      </c>
      <c r="D196" t="s">
        <v>54</v>
      </c>
      <c r="E196" t="s">
        <v>701</v>
      </c>
      <c r="F196">
        <v>0</v>
      </c>
      <c r="G196">
        <v>194</v>
      </c>
      <c r="H196">
        <f>IF(Table1[[#This Row],[my_ent_1]]=Table1[[#This Row],[their_ent_1]], 1, 0)</f>
        <v>0</v>
      </c>
      <c r="I196">
        <f>IF(Table1[[#This Row],[my_ent_2]]=Table1[[#This Row],[their_ent_2]], 1, 0)</f>
        <v>0</v>
      </c>
      <c r="J196">
        <f>IF(Table1[[#This Row],[same_1]]=1 &amp; Table1[[#This Row],[same_2]]=1, 1, 0)</f>
        <v>0</v>
      </c>
      <c r="K196">
        <f>IF(ISNUMBER(SEARCH(Table1[[#This Row],[their_ent_1]],Table1[[#This Row],[my_ent_1]])), 1, 0)</f>
        <v>0</v>
      </c>
      <c r="L196">
        <f>IF(ISNUMBER(SEARCH(Table1[[#This Row],[their_ent_2]],Table1[[#This Row],[my_ent_2]])), 1, 0)</f>
        <v>0</v>
      </c>
    </row>
    <row r="197" spans="1:12" hidden="1" x14ac:dyDescent="0.3">
      <c r="A197" t="s">
        <v>702</v>
      </c>
      <c r="B197" t="s">
        <v>703</v>
      </c>
      <c r="C197" t="s">
        <v>703</v>
      </c>
      <c r="D197" t="s">
        <v>94</v>
      </c>
      <c r="E197" t="s">
        <v>77</v>
      </c>
      <c r="F197">
        <v>0</v>
      </c>
      <c r="G197">
        <v>195</v>
      </c>
      <c r="H197">
        <f>IF(Table1[[#This Row],[my_ent_1]]=Table1[[#This Row],[their_ent_1]], 1, 0)</f>
        <v>1</v>
      </c>
      <c r="I197">
        <f>IF(Table1[[#This Row],[my_ent_2]]=Table1[[#This Row],[their_ent_2]], 1, 0)</f>
        <v>0</v>
      </c>
      <c r="J197">
        <f>IF(Table1[[#This Row],[same_1]]=1 &amp; Table1[[#This Row],[same_2]]=1, 1, 0)</f>
        <v>0</v>
      </c>
      <c r="K197">
        <f>IF(ISNUMBER(SEARCH(Table1[[#This Row],[their_ent_1]],Table1[[#This Row],[my_ent_1]])), 1, 0)</f>
        <v>1</v>
      </c>
      <c r="L197">
        <f>IF(ISNUMBER(SEARCH(Table1[[#This Row],[their_ent_2]],Table1[[#This Row],[my_ent_2]])), 1, 0)</f>
        <v>0</v>
      </c>
    </row>
    <row r="198" spans="1:12" hidden="1" x14ac:dyDescent="0.3">
      <c r="A198" t="s">
        <v>704</v>
      </c>
      <c r="B198" t="s">
        <v>705</v>
      </c>
      <c r="C198" t="s">
        <v>706</v>
      </c>
      <c r="D198" t="s">
        <v>707</v>
      </c>
      <c r="E198" t="s">
        <v>707</v>
      </c>
      <c r="F198">
        <v>0</v>
      </c>
      <c r="G198">
        <v>196</v>
      </c>
      <c r="H198">
        <f>IF(Table1[[#This Row],[my_ent_1]]=Table1[[#This Row],[their_ent_1]], 1, 0)</f>
        <v>0</v>
      </c>
      <c r="I198">
        <f>IF(Table1[[#This Row],[my_ent_2]]=Table1[[#This Row],[their_ent_2]], 1, 0)</f>
        <v>1</v>
      </c>
      <c r="J198">
        <f>IF(Table1[[#This Row],[same_1]]=1 &amp; Table1[[#This Row],[same_2]]=1, 1, 0)</f>
        <v>0</v>
      </c>
      <c r="K198">
        <f>IF(ISNUMBER(SEARCH(Table1[[#This Row],[their_ent_1]],Table1[[#This Row],[my_ent_1]])), 1, 0)</f>
        <v>0</v>
      </c>
      <c r="L198">
        <f>IF(ISNUMBER(SEARCH(Table1[[#This Row],[their_ent_2]],Table1[[#This Row],[my_ent_2]])), 1, 0)</f>
        <v>1</v>
      </c>
    </row>
    <row r="199" spans="1:12" hidden="1" x14ac:dyDescent="0.3">
      <c r="A199" t="e">
        <f>- Growth slowed among Chinese and euro zone services firms in September, surveys showed on Tuesday, with Ireland and Spain tipping back into decline and Asias emerging powerhouses continuing to outstrip Europe.</f>
        <v>#NAME?</v>
      </c>
      <c r="B199" t="s">
        <v>708</v>
      </c>
      <c r="C199" t="s">
        <v>708</v>
      </c>
      <c r="D199" t="s">
        <v>709</v>
      </c>
      <c r="E199" t="s">
        <v>710</v>
      </c>
      <c r="F199">
        <v>0</v>
      </c>
      <c r="G199">
        <v>197</v>
      </c>
      <c r="H199">
        <f>IF(Table1[[#This Row],[my_ent_1]]=Table1[[#This Row],[their_ent_1]], 1, 0)</f>
        <v>1</v>
      </c>
      <c r="I199">
        <f>IF(Table1[[#This Row],[my_ent_2]]=Table1[[#This Row],[their_ent_2]], 1, 0)</f>
        <v>0</v>
      </c>
      <c r="J199">
        <f>IF(Table1[[#This Row],[same_1]]=1 &amp; Table1[[#This Row],[same_2]]=1, 1, 0)</f>
        <v>0</v>
      </c>
      <c r="K199">
        <f>IF(ISNUMBER(SEARCH(Table1[[#This Row],[their_ent_1]],Table1[[#This Row],[my_ent_1]])), 1, 0)</f>
        <v>1</v>
      </c>
      <c r="L199">
        <f>IF(ISNUMBER(SEARCH(Table1[[#This Row],[their_ent_2]],Table1[[#This Row],[my_ent_2]])), 1, 0)</f>
        <v>0</v>
      </c>
    </row>
    <row r="200" spans="1:12" hidden="1" x14ac:dyDescent="0.3">
      <c r="A200" t="s">
        <v>711</v>
      </c>
      <c r="B200" t="s">
        <v>708</v>
      </c>
      <c r="C200" t="s">
        <v>708</v>
      </c>
      <c r="D200" t="s">
        <v>712</v>
      </c>
      <c r="E200" t="s">
        <v>713</v>
      </c>
      <c r="F200">
        <v>0</v>
      </c>
      <c r="G200">
        <v>198</v>
      </c>
      <c r="H200">
        <f>IF(Table1[[#This Row],[my_ent_1]]=Table1[[#This Row],[their_ent_1]], 1, 0)</f>
        <v>1</v>
      </c>
      <c r="I200">
        <f>IF(Table1[[#This Row],[my_ent_2]]=Table1[[#This Row],[their_ent_2]], 1, 0)</f>
        <v>0</v>
      </c>
      <c r="J200">
        <f>IF(Table1[[#This Row],[same_1]]=1 &amp; Table1[[#This Row],[same_2]]=1, 1, 0)</f>
        <v>0</v>
      </c>
      <c r="K200">
        <f>IF(ISNUMBER(SEARCH(Table1[[#This Row],[their_ent_1]],Table1[[#This Row],[my_ent_1]])), 1, 0)</f>
        <v>1</v>
      </c>
      <c r="L200">
        <f>IF(ISNUMBER(SEARCH(Table1[[#This Row],[their_ent_2]],Table1[[#This Row],[my_ent_2]])), 1, 0)</f>
        <v>0</v>
      </c>
    </row>
    <row r="201" spans="1:12" hidden="1" x14ac:dyDescent="0.3">
      <c r="A201" t="s">
        <v>714</v>
      </c>
      <c r="B201" t="s">
        <v>715</v>
      </c>
      <c r="C201" t="s">
        <v>30</v>
      </c>
      <c r="D201" t="s">
        <v>58</v>
      </c>
      <c r="E201" t="s">
        <v>58</v>
      </c>
      <c r="F201">
        <v>0</v>
      </c>
      <c r="G201">
        <v>199</v>
      </c>
      <c r="H201">
        <f>IF(Table1[[#This Row],[my_ent_1]]=Table1[[#This Row],[their_ent_1]], 1, 0)</f>
        <v>0</v>
      </c>
      <c r="I201">
        <f>IF(Table1[[#This Row],[my_ent_2]]=Table1[[#This Row],[their_ent_2]], 1, 0)</f>
        <v>1</v>
      </c>
      <c r="J201">
        <f>IF(Table1[[#This Row],[same_1]]=1 &amp; Table1[[#This Row],[same_2]]=1, 1, 0)</f>
        <v>0</v>
      </c>
      <c r="K201">
        <f>IF(ISNUMBER(SEARCH(Table1[[#This Row],[their_ent_1]],Table1[[#This Row],[my_ent_1]])), 1, 0)</f>
        <v>0</v>
      </c>
      <c r="L201">
        <f>IF(ISNUMBER(SEARCH(Table1[[#This Row],[their_ent_2]],Table1[[#This Row],[my_ent_2]])), 1, 0)</f>
        <v>1</v>
      </c>
    </row>
    <row r="202" spans="1:12" hidden="1" x14ac:dyDescent="0.3">
      <c r="A202" t="s">
        <v>716</v>
      </c>
      <c r="B202" t="s">
        <v>54</v>
      </c>
      <c r="C202" t="s">
        <v>717</v>
      </c>
      <c r="D202" t="s">
        <v>54</v>
      </c>
      <c r="E202" t="s">
        <v>718</v>
      </c>
      <c r="F202">
        <v>0</v>
      </c>
      <c r="G202">
        <v>200</v>
      </c>
      <c r="H202">
        <f>IF(Table1[[#This Row],[my_ent_1]]=Table1[[#This Row],[their_ent_1]], 1, 0)</f>
        <v>0</v>
      </c>
      <c r="I202">
        <f>IF(Table1[[#This Row],[my_ent_2]]=Table1[[#This Row],[their_ent_2]], 1, 0)</f>
        <v>0</v>
      </c>
      <c r="J202">
        <f>IF(Table1[[#This Row],[same_1]]=1 &amp; Table1[[#This Row],[same_2]]=1, 1, 0)</f>
        <v>0</v>
      </c>
      <c r="K202">
        <f>IF(ISNUMBER(SEARCH(Table1[[#This Row],[their_ent_1]],Table1[[#This Row],[my_ent_1]])), 1, 0)</f>
        <v>0</v>
      </c>
      <c r="L202">
        <f>IF(ISNUMBER(SEARCH(Table1[[#This Row],[their_ent_2]],Table1[[#This Row],[my_ent_2]])), 1, 0)</f>
        <v>0</v>
      </c>
    </row>
    <row r="203" spans="1:12" hidden="1" x14ac:dyDescent="0.3">
      <c r="A203" t="s">
        <v>719</v>
      </c>
      <c r="B203" t="s">
        <v>720</v>
      </c>
      <c r="C203" t="s">
        <v>15</v>
      </c>
      <c r="D203" t="s">
        <v>721</v>
      </c>
      <c r="E203" t="s">
        <v>722</v>
      </c>
      <c r="F203">
        <v>0</v>
      </c>
      <c r="G203">
        <v>201</v>
      </c>
      <c r="H203">
        <f>IF(Table1[[#This Row],[my_ent_1]]=Table1[[#This Row],[their_ent_1]], 1, 0)</f>
        <v>0</v>
      </c>
      <c r="I203">
        <f>IF(Table1[[#This Row],[my_ent_2]]=Table1[[#This Row],[their_ent_2]], 1, 0)</f>
        <v>0</v>
      </c>
      <c r="J203">
        <f>IF(Table1[[#This Row],[same_1]]=1 &amp; Table1[[#This Row],[same_2]]=1, 1, 0)</f>
        <v>0</v>
      </c>
      <c r="K203">
        <f>IF(ISNUMBER(SEARCH(Table1[[#This Row],[their_ent_1]],Table1[[#This Row],[my_ent_1]])), 1, 0)</f>
        <v>0</v>
      </c>
      <c r="L203">
        <f>IF(ISNUMBER(SEARCH(Table1[[#This Row],[their_ent_2]],Table1[[#This Row],[my_ent_2]])), 1, 0)</f>
        <v>0</v>
      </c>
    </row>
    <row r="204" spans="1:12" hidden="1" x14ac:dyDescent="0.3">
      <c r="A204" t="s">
        <v>723</v>
      </c>
      <c r="B204" t="s">
        <v>292</v>
      </c>
      <c r="C204" t="s">
        <v>724</v>
      </c>
      <c r="D204" t="s">
        <v>725</v>
      </c>
      <c r="E204" t="s">
        <v>725</v>
      </c>
      <c r="F204">
        <v>0</v>
      </c>
      <c r="G204">
        <v>202</v>
      </c>
      <c r="H204">
        <f>IF(Table1[[#This Row],[my_ent_1]]=Table1[[#This Row],[their_ent_1]], 1, 0)</f>
        <v>0</v>
      </c>
      <c r="I204">
        <f>IF(Table1[[#This Row],[my_ent_2]]=Table1[[#This Row],[their_ent_2]], 1, 0)</f>
        <v>1</v>
      </c>
      <c r="J204">
        <f>IF(Table1[[#This Row],[same_1]]=1 &amp; Table1[[#This Row],[same_2]]=1, 1, 0)</f>
        <v>0</v>
      </c>
      <c r="K204">
        <f>IF(ISNUMBER(SEARCH(Table1[[#This Row],[their_ent_1]],Table1[[#This Row],[my_ent_1]])), 1, 0)</f>
        <v>0</v>
      </c>
      <c r="L204">
        <f>IF(ISNUMBER(SEARCH(Table1[[#This Row],[their_ent_2]],Table1[[#This Row],[my_ent_2]])), 1, 0)</f>
        <v>1</v>
      </c>
    </row>
    <row r="205" spans="1:12" hidden="1" x14ac:dyDescent="0.3">
      <c r="A205" t="s">
        <v>726</v>
      </c>
      <c r="B205" t="s">
        <v>7</v>
      </c>
      <c r="C205" t="s">
        <v>7</v>
      </c>
      <c r="D205" t="s">
        <v>36</v>
      </c>
      <c r="E205" t="s">
        <v>15</v>
      </c>
      <c r="F205">
        <v>0</v>
      </c>
      <c r="G205">
        <v>203</v>
      </c>
      <c r="H205">
        <f>IF(Table1[[#This Row],[my_ent_1]]=Table1[[#This Row],[their_ent_1]], 1, 0)</f>
        <v>1</v>
      </c>
      <c r="I205">
        <f>IF(Table1[[#This Row],[my_ent_2]]=Table1[[#This Row],[their_ent_2]], 1, 0)</f>
        <v>0</v>
      </c>
      <c r="J205">
        <f>IF(Table1[[#This Row],[same_1]]=1 &amp; Table1[[#This Row],[same_2]]=1, 1, 0)</f>
        <v>0</v>
      </c>
      <c r="K205">
        <f>IF(ISNUMBER(SEARCH(Table1[[#This Row],[their_ent_1]],Table1[[#This Row],[my_ent_1]])), 1, 0)</f>
        <v>1</v>
      </c>
      <c r="L205">
        <f>IF(ISNUMBER(SEARCH(Table1[[#This Row],[their_ent_2]],Table1[[#This Row],[my_ent_2]])), 1, 0)</f>
        <v>0</v>
      </c>
    </row>
    <row r="206" spans="1:12" hidden="1" x14ac:dyDescent="0.3">
      <c r="A206" t="s">
        <v>727</v>
      </c>
      <c r="B206" t="s">
        <v>728</v>
      </c>
      <c r="C206" t="s">
        <v>729</v>
      </c>
      <c r="D206" t="s">
        <v>729</v>
      </c>
      <c r="E206" t="s">
        <v>695</v>
      </c>
      <c r="F206">
        <v>0</v>
      </c>
      <c r="G206">
        <v>204</v>
      </c>
      <c r="H206">
        <f>IF(Table1[[#This Row],[my_ent_1]]=Table1[[#This Row],[their_ent_1]], 1, 0)</f>
        <v>0</v>
      </c>
      <c r="I206">
        <f>IF(Table1[[#This Row],[my_ent_2]]=Table1[[#This Row],[their_ent_2]], 1, 0)</f>
        <v>0</v>
      </c>
      <c r="J206">
        <f>IF(Table1[[#This Row],[same_1]]=1 &amp; Table1[[#This Row],[same_2]]=1, 1, 0)</f>
        <v>0</v>
      </c>
      <c r="K206">
        <f>IF(ISNUMBER(SEARCH(Table1[[#This Row],[their_ent_1]],Table1[[#This Row],[my_ent_1]])), 1, 0)</f>
        <v>0</v>
      </c>
      <c r="L206">
        <f>IF(ISNUMBER(SEARCH(Table1[[#This Row],[their_ent_2]],Table1[[#This Row],[my_ent_2]])), 1, 0)</f>
        <v>0</v>
      </c>
    </row>
    <row r="207" spans="1:12" hidden="1" x14ac:dyDescent="0.3">
      <c r="A207" t="s">
        <v>730</v>
      </c>
      <c r="B207" t="s">
        <v>103</v>
      </c>
      <c r="C207" t="s">
        <v>324</v>
      </c>
      <c r="D207" t="s">
        <v>731</v>
      </c>
      <c r="E207" t="s">
        <v>731</v>
      </c>
      <c r="F207">
        <v>0</v>
      </c>
      <c r="G207">
        <v>205</v>
      </c>
      <c r="H207">
        <f>IF(Table1[[#This Row],[my_ent_1]]=Table1[[#This Row],[their_ent_1]], 1, 0)</f>
        <v>0</v>
      </c>
      <c r="I207">
        <f>IF(Table1[[#This Row],[my_ent_2]]=Table1[[#This Row],[their_ent_2]], 1, 0)</f>
        <v>1</v>
      </c>
      <c r="J207">
        <f>IF(Table1[[#This Row],[same_1]]=1 &amp; Table1[[#This Row],[same_2]]=1, 1, 0)</f>
        <v>0</v>
      </c>
      <c r="K207">
        <f>IF(ISNUMBER(SEARCH(Table1[[#This Row],[their_ent_1]],Table1[[#This Row],[my_ent_1]])), 1, 0)</f>
        <v>0</v>
      </c>
      <c r="L207">
        <f>IF(ISNUMBER(SEARCH(Table1[[#This Row],[their_ent_2]],Table1[[#This Row],[my_ent_2]])), 1, 0)</f>
        <v>1</v>
      </c>
    </row>
    <row r="208" spans="1:12" hidden="1" x14ac:dyDescent="0.3">
      <c r="A208" t="s">
        <v>732</v>
      </c>
      <c r="B208" t="s">
        <v>401</v>
      </c>
      <c r="C208" t="s">
        <v>30</v>
      </c>
      <c r="D208" t="s">
        <v>54</v>
      </c>
      <c r="E208" t="s">
        <v>80</v>
      </c>
      <c r="F208">
        <v>0</v>
      </c>
      <c r="G208">
        <v>206</v>
      </c>
      <c r="H208">
        <f>IF(Table1[[#This Row],[my_ent_1]]=Table1[[#This Row],[their_ent_1]], 1, 0)</f>
        <v>0</v>
      </c>
      <c r="I208">
        <f>IF(Table1[[#This Row],[my_ent_2]]=Table1[[#This Row],[their_ent_2]], 1, 0)</f>
        <v>0</v>
      </c>
      <c r="J208">
        <f>IF(Table1[[#This Row],[same_1]]=1 &amp; Table1[[#This Row],[same_2]]=1, 1, 0)</f>
        <v>0</v>
      </c>
      <c r="K208">
        <f>IF(ISNUMBER(SEARCH(Table1[[#This Row],[their_ent_1]],Table1[[#This Row],[my_ent_1]])), 1, 0)</f>
        <v>1</v>
      </c>
      <c r="L208">
        <f>IF(ISNUMBER(SEARCH(Table1[[#This Row],[their_ent_2]],Table1[[#This Row],[my_ent_2]])), 1, 0)</f>
        <v>0</v>
      </c>
    </row>
    <row r="209" spans="1:12" x14ac:dyDescent="0.3">
      <c r="A209" t="s">
        <v>733</v>
      </c>
      <c r="B209" t="s">
        <v>734</v>
      </c>
      <c r="C209" t="s">
        <v>735</v>
      </c>
      <c r="D209" t="s">
        <v>622</v>
      </c>
      <c r="E209" t="s">
        <v>148</v>
      </c>
      <c r="F209">
        <v>0</v>
      </c>
      <c r="G209">
        <v>207</v>
      </c>
      <c r="H209">
        <f>IF(Table1[[#This Row],[my_ent_1]]=Table1[[#This Row],[their_ent_1]], 1, 0)</f>
        <v>0</v>
      </c>
      <c r="I209">
        <f>IF(Table1[[#This Row],[my_ent_2]]=Table1[[#This Row],[their_ent_2]], 1, 0)</f>
        <v>0</v>
      </c>
      <c r="J209">
        <f>IF(Table1[[#This Row],[same_1]]=1 &amp; Table1[[#This Row],[same_2]]=1, 1, 0)</f>
        <v>0</v>
      </c>
      <c r="K209">
        <f>IF(ISNUMBER(SEARCH(Table1[[#This Row],[their_ent_1]],Table1[[#This Row],[my_ent_1]])), 1, 0)</f>
        <v>1</v>
      </c>
      <c r="L209">
        <f>IF(ISNUMBER(SEARCH(Table1[[#This Row],[their_ent_2]],Table1[[#This Row],[my_ent_2]])), 1, 0)</f>
        <v>1</v>
      </c>
    </row>
    <row r="210" spans="1:12" hidden="1" x14ac:dyDescent="0.3">
      <c r="A210" t="s">
        <v>736</v>
      </c>
      <c r="B210" t="s">
        <v>737</v>
      </c>
      <c r="C210" t="s">
        <v>138</v>
      </c>
      <c r="D210" t="s">
        <v>738</v>
      </c>
      <c r="E210" t="s">
        <v>738</v>
      </c>
      <c r="F210">
        <v>0</v>
      </c>
      <c r="G210">
        <v>208</v>
      </c>
      <c r="H210">
        <f>IF(Table1[[#This Row],[my_ent_1]]=Table1[[#This Row],[their_ent_1]], 1, 0)</f>
        <v>0</v>
      </c>
      <c r="I210">
        <f>IF(Table1[[#This Row],[my_ent_2]]=Table1[[#This Row],[their_ent_2]], 1, 0)</f>
        <v>1</v>
      </c>
      <c r="J210">
        <f>IF(Table1[[#This Row],[same_1]]=1 &amp; Table1[[#This Row],[same_2]]=1, 1, 0)</f>
        <v>0</v>
      </c>
      <c r="K210">
        <f>IF(ISNUMBER(SEARCH(Table1[[#This Row],[their_ent_1]],Table1[[#This Row],[my_ent_1]])), 1, 0)</f>
        <v>0</v>
      </c>
      <c r="L210">
        <f>IF(ISNUMBER(SEARCH(Table1[[#This Row],[their_ent_2]],Table1[[#This Row],[my_ent_2]])), 1, 0)</f>
        <v>1</v>
      </c>
    </row>
    <row r="211" spans="1:12" hidden="1" x14ac:dyDescent="0.3">
      <c r="A211" t="s">
        <v>739</v>
      </c>
      <c r="B211" t="s">
        <v>740</v>
      </c>
      <c r="C211" t="s">
        <v>741</v>
      </c>
      <c r="D211" t="s">
        <v>742</v>
      </c>
      <c r="E211" t="s">
        <v>740</v>
      </c>
      <c r="F211">
        <v>0</v>
      </c>
      <c r="G211">
        <v>209</v>
      </c>
      <c r="H211">
        <f>IF(Table1[[#This Row],[my_ent_1]]=Table1[[#This Row],[their_ent_1]], 1, 0)</f>
        <v>0</v>
      </c>
      <c r="I211">
        <f>IF(Table1[[#This Row],[my_ent_2]]=Table1[[#This Row],[their_ent_2]], 1, 0)</f>
        <v>0</v>
      </c>
      <c r="J211">
        <f>IF(Table1[[#This Row],[same_1]]=1 &amp; Table1[[#This Row],[same_2]]=1, 1, 0)</f>
        <v>0</v>
      </c>
      <c r="K211">
        <f>IF(ISNUMBER(SEARCH(Table1[[#This Row],[their_ent_1]],Table1[[#This Row],[my_ent_1]])), 1, 0)</f>
        <v>0</v>
      </c>
      <c r="L211">
        <f>IF(ISNUMBER(SEARCH(Table1[[#This Row],[their_ent_2]],Table1[[#This Row],[my_ent_2]])), 1, 0)</f>
        <v>0</v>
      </c>
    </row>
    <row r="212" spans="1:12" hidden="1" x14ac:dyDescent="0.3">
      <c r="A212" t="s">
        <v>743</v>
      </c>
      <c r="B212" t="s">
        <v>744</v>
      </c>
      <c r="C212" t="s">
        <v>745</v>
      </c>
      <c r="D212" t="s">
        <v>746</v>
      </c>
      <c r="E212" t="s">
        <v>747</v>
      </c>
      <c r="F212">
        <v>0</v>
      </c>
      <c r="G212">
        <v>210</v>
      </c>
      <c r="H212">
        <f>IF(Table1[[#This Row],[my_ent_1]]=Table1[[#This Row],[their_ent_1]], 1, 0)</f>
        <v>0</v>
      </c>
      <c r="I212">
        <f>IF(Table1[[#This Row],[my_ent_2]]=Table1[[#This Row],[their_ent_2]], 1, 0)</f>
        <v>0</v>
      </c>
      <c r="J212">
        <f>IF(Table1[[#This Row],[same_1]]=1 &amp; Table1[[#This Row],[same_2]]=1, 1, 0)</f>
        <v>0</v>
      </c>
      <c r="K212">
        <f>IF(ISNUMBER(SEARCH(Table1[[#This Row],[their_ent_1]],Table1[[#This Row],[my_ent_1]])), 1, 0)</f>
        <v>0</v>
      </c>
      <c r="L212">
        <f>IF(ISNUMBER(SEARCH(Table1[[#This Row],[their_ent_2]],Table1[[#This Row],[my_ent_2]])), 1, 0)</f>
        <v>0</v>
      </c>
    </row>
    <row r="213" spans="1:12" x14ac:dyDescent="0.3">
      <c r="A213" t="s">
        <v>748</v>
      </c>
      <c r="B213" t="s">
        <v>59</v>
      </c>
      <c r="C213" t="s">
        <v>59</v>
      </c>
      <c r="D213" t="s">
        <v>401</v>
      </c>
      <c r="E213" t="s">
        <v>30</v>
      </c>
      <c r="F213">
        <v>0</v>
      </c>
      <c r="G213">
        <v>211</v>
      </c>
      <c r="H213">
        <f>IF(Table1[[#This Row],[my_ent_1]]=Table1[[#This Row],[their_ent_1]], 1, 0)</f>
        <v>1</v>
      </c>
      <c r="I213">
        <f>IF(Table1[[#This Row],[my_ent_2]]=Table1[[#This Row],[their_ent_2]], 1, 0)</f>
        <v>0</v>
      </c>
      <c r="J213">
        <f>IF(Table1[[#This Row],[same_1]]=1 &amp; Table1[[#This Row],[same_2]]=1, 1, 0)</f>
        <v>0</v>
      </c>
      <c r="K213">
        <f>IF(ISNUMBER(SEARCH(Table1[[#This Row],[their_ent_1]],Table1[[#This Row],[my_ent_1]])), 1, 0)</f>
        <v>1</v>
      </c>
      <c r="L213">
        <f>IF(ISNUMBER(SEARCH(Table1[[#This Row],[their_ent_2]],Table1[[#This Row],[my_ent_2]])), 1, 0)</f>
        <v>1</v>
      </c>
    </row>
    <row r="214" spans="1:12" hidden="1" x14ac:dyDescent="0.3">
      <c r="A214" t="s">
        <v>749</v>
      </c>
      <c r="B214" t="s">
        <v>750</v>
      </c>
      <c r="C214" t="s">
        <v>751</v>
      </c>
      <c r="D214" t="s">
        <v>751</v>
      </c>
      <c r="E214" t="s">
        <v>752</v>
      </c>
      <c r="F214">
        <v>0</v>
      </c>
      <c r="G214">
        <v>212</v>
      </c>
      <c r="H214">
        <f>IF(Table1[[#This Row],[my_ent_1]]=Table1[[#This Row],[their_ent_1]], 1, 0)</f>
        <v>0</v>
      </c>
      <c r="I214">
        <f>IF(Table1[[#This Row],[my_ent_2]]=Table1[[#This Row],[their_ent_2]], 1, 0)</f>
        <v>0</v>
      </c>
      <c r="J214">
        <f>IF(Table1[[#This Row],[same_1]]=1 &amp; Table1[[#This Row],[same_2]]=1, 1, 0)</f>
        <v>0</v>
      </c>
      <c r="K214">
        <f>IF(ISNUMBER(SEARCH(Table1[[#This Row],[their_ent_1]],Table1[[#This Row],[my_ent_1]])), 1, 0)</f>
        <v>0</v>
      </c>
      <c r="L214">
        <f>IF(ISNUMBER(SEARCH(Table1[[#This Row],[their_ent_2]],Table1[[#This Row],[my_ent_2]])), 1, 0)</f>
        <v>0</v>
      </c>
    </row>
    <row r="215" spans="1:12" hidden="1" x14ac:dyDescent="0.3">
      <c r="A215" t="s">
        <v>753</v>
      </c>
      <c r="B215" t="s">
        <v>7</v>
      </c>
      <c r="C215" t="s">
        <v>7</v>
      </c>
      <c r="D215" t="s">
        <v>344</v>
      </c>
      <c r="E215" t="s">
        <v>754</v>
      </c>
      <c r="F215">
        <v>0</v>
      </c>
      <c r="G215">
        <v>213</v>
      </c>
      <c r="H215">
        <f>IF(Table1[[#This Row],[my_ent_1]]=Table1[[#This Row],[their_ent_1]], 1, 0)</f>
        <v>1</v>
      </c>
      <c r="I215">
        <f>IF(Table1[[#This Row],[my_ent_2]]=Table1[[#This Row],[their_ent_2]], 1, 0)</f>
        <v>0</v>
      </c>
      <c r="J215">
        <f>IF(Table1[[#This Row],[same_1]]=1 &amp; Table1[[#This Row],[same_2]]=1, 1, 0)</f>
        <v>0</v>
      </c>
      <c r="K215">
        <f>IF(ISNUMBER(SEARCH(Table1[[#This Row],[their_ent_1]],Table1[[#This Row],[my_ent_1]])), 1, 0)</f>
        <v>1</v>
      </c>
      <c r="L215">
        <f>IF(ISNUMBER(SEARCH(Table1[[#This Row],[their_ent_2]],Table1[[#This Row],[my_ent_2]])), 1, 0)</f>
        <v>0</v>
      </c>
    </row>
    <row r="216" spans="1:12" hidden="1" x14ac:dyDescent="0.3">
      <c r="A216" t="s">
        <v>755</v>
      </c>
      <c r="B216" t="s">
        <v>756</v>
      </c>
      <c r="C216" t="s">
        <v>757</v>
      </c>
      <c r="D216" t="s">
        <v>758</v>
      </c>
      <c r="E216" t="s">
        <v>759</v>
      </c>
      <c r="F216">
        <v>0</v>
      </c>
      <c r="G216">
        <v>214</v>
      </c>
      <c r="H216">
        <f>IF(Table1[[#This Row],[my_ent_1]]=Table1[[#This Row],[their_ent_1]], 1, 0)</f>
        <v>0</v>
      </c>
      <c r="I216">
        <f>IF(Table1[[#This Row],[my_ent_2]]=Table1[[#This Row],[their_ent_2]], 1, 0)</f>
        <v>0</v>
      </c>
      <c r="J216">
        <f>IF(Table1[[#This Row],[same_1]]=1 &amp; Table1[[#This Row],[same_2]]=1, 1, 0)</f>
        <v>0</v>
      </c>
      <c r="K216">
        <f>IF(ISNUMBER(SEARCH(Table1[[#This Row],[their_ent_1]],Table1[[#This Row],[my_ent_1]])), 1, 0)</f>
        <v>1</v>
      </c>
      <c r="L216">
        <f>IF(ISNUMBER(SEARCH(Table1[[#This Row],[their_ent_2]],Table1[[#This Row],[my_ent_2]])), 1, 0)</f>
        <v>0</v>
      </c>
    </row>
    <row r="217" spans="1:12" hidden="1" x14ac:dyDescent="0.3">
      <c r="A217" t="s">
        <v>760</v>
      </c>
      <c r="B217" t="s">
        <v>525</v>
      </c>
      <c r="C217" t="s">
        <v>525</v>
      </c>
      <c r="D217" t="s">
        <v>618</v>
      </c>
      <c r="E217" t="s">
        <v>761</v>
      </c>
      <c r="F217">
        <v>0</v>
      </c>
      <c r="G217">
        <v>215</v>
      </c>
      <c r="H217">
        <f>IF(Table1[[#This Row],[my_ent_1]]=Table1[[#This Row],[their_ent_1]], 1, 0)</f>
        <v>1</v>
      </c>
      <c r="I217">
        <f>IF(Table1[[#This Row],[my_ent_2]]=Table1[[#This Row],[their_ent_2]], 1, 0)</f>
        <v>0</v>
      </c>
      <c r="J217">
        <f>IF(Table1[[#This Row],[same_1]]=1 &amp; Table1[[#This Row],[same_2]]=1, 1, 0)</f>
        <v>0</v>
      </c>
      <c r="K217">
        <f>IF(ISNUMBER(SEARCH(Table1[[#This Row],[their_ent_1]],Table1[[#This Row],[my_ent_1]])), 1, 0)</f>
        <v>1</v>
      </c>
      <c r="L217">
        <f>IF(ISNUMBER(SEARCH(Table1[[#This Row],[their_ent_2]],Table1[[#This Row],[my_ent_2]])), 1, 0)</f>
        <v>0</v>
      </c>
    </row>
    <row r="218" spans="1:12" hidden="1" x14ac:dyDescent="0.3">
      <c r="A218" t="s">
        <v>762</v>
      </c>
      <c r="B218" t="s">
        <v>763</v>
      </c>
      <c r="C218" t="s">
        <v>183</v>
      </c>
      <c r="D218" t="s">
        <v>58</v>
      </c>
      <c r="E218" t="s">
        <v>764</v>
      </c>
      <c r="F218">
        <v>0</v>
      </c>
      <c r="G218">
        <v>216</v>
      </c>
      <c r="H218">
        <f>IF(Table1[[#This Row],[my_ent_1]]=Table1[[#This Row],[their_ent_1]], 1, 0)</f>
        <v>0</v>
      </c>
      <c r="I218">
        <f>IF(Table1[[#This Row],[my_ent_2]]=Table1[[#This Row],[their_ent_2]], 1, 0)</f>
        <v>0</v>
      </c>
      <c r="J218">
        <f>IF(Table1[[#This Row],[same_1]]=1 &amp; Table1[[#This Row],[same_2]]=1, 1, 0)</f>
        <v>0</v>
      </c>
      <c r="K218">
        <f>IF(ISNUMBER(SEARCH(Table1[[#This Row],[their_ent_1]],Table1[[#This Row],[my_ent_1]])), 1, 0)</f>
        <v>0</v>
      </c>
      <c r="L218">
        <f>IF(ISNUMBER(SEARCH(Table1[[#This Row],[their_ent_2]],Table1[[#This Row],[my_ent_2]])), 1, 0)</f>
        <v>0</v>
      </c>
    </row>
    <row r="219" spans="1:12" hidden="1" x14ac:dyDescent="0.3">
      <c r="A219" t="s">
        <v>765</v>
      </c>
      <c r="B219" t="s">
        <v>766</v>
      </c>
      <c r="C219" t="s">
        <v>767</v>
      </c>
      <c r="D219" t="s">
        <v>768</v>
      </c>
      <c r="E219" t="s">
        <v>769</v>
      </c>
      <c r="F219">
        <v>0</v>
      </c>
      <c r="G219">
        <v>217</v>
      </c>
      <c r="H219">
        <f>IF(Table1[[#This Row],[my_ent_1]]=Table1[[#This Row],[their_ent_1]], 1, 0)</f>
        <v>0</v>
      </c>
      <c r="I219">
        <f>IF(Table1[[#This Row],[my_ent_2]]=Table1[[#This Row],[their_ent_2]], 1, 0)</f>
        <v>0</v>
      </c>
      <c r="J219">
        <f>IF(Table1[[#This Row],[same_1]]=1 &amp; Table1[[#This Row],[same_2]]=1, 1, 0)</f>
        <v>0</v>
      </c>
      <c r="K219">
        <f>IF(ISNUMBER(SEARCH(Table1[[#This Row],[their_ent_1]],Table1[[#This Row],[my_ent_1]])), 1, 0)</f>
        <v>1</v>
      </c>
      <c r="L219">
        <f>IF(ISNUMBER(SEARCH(Table1[[#This Row],[their_ent_2]],Table1[[#This Row],[my_ent_2]])), 1, 0)</f>
        <v>0</v>
      </c>
    </row>
    <row r="220" spans="1:12" hidden="1" x14ac:dyDescent="0.3">
      <c r="A220" t="s">
        <v>770</v>
      </c>
      <c r="B220" t="s">
        <v>771</v>
      </c>
      <c r="C220" t="s">
        <v>772</v>
      </c>
      <c r="D220" t="s">
        <v>65</v>
      </c>
      <c r="E220" t="s">
        <v>773</v>
      </c>
      <c r="F220">
        <v>0</v>
      </c>
      <c r="G220">
        <v>218</v>
      </c>
      <c r="H220">
        <f>IF(Table1[[#This Row],[my_ent_1]]=Table1[[#This Row],[their_ent_1]], 1, 0)</f>
        <v>0</v>
      </c>
      <c r="I220">
        <f>IF(Table1[[#This Row],[my_ent_2]]=Table1[[#This Row],[their_ent_2]], 1, 0)</f>
        <v>0</v>
      </c>
      <c r="J220">
        <f>IF(Table1[[#This Row],[same_1]]=1 &amp; Table1[[#This Row],[same_2]]=1, 1, 0)</f>
        <v>0</v>
      </c>
      <c r="K220">
        <f>IF(ISNUMBER(SEARCH(Table1[[#This Row],[their_ent_1]],Table1[[#This Row],[my_ent_1]])), 1, 0)</f>
        <v>0</v>
      </c>
      <c r="L220">
        <f>IF(ISNUMBER(SEARCH(Table1[[#This Row],[their_ent_2]],Table1[[#This Row],[my_ent_2]])), 1, 0)</f>
        <v>0</v>
      </c>
    </row>
    <row r="221" spans="1:12" hidden="1" x14ac:dyDescent="0.3">
      <c r="A221" t="s">
        <v>774</v>
      </c>
      <c r="B221" t="s">
        <v>775</v>
      </c>
      <c r="C221" t="s">
        <v>776</v>
      </c>
      <c r="D221" t="s">
        <v>777</v>
      </c>
      <c r="E221" t="s">
        <v>778</v>
      </c>
      <c r="F221">
        <v>0</v>
      </c>
      <c r="G221">
        <v>219</v>
      </c>
      <c r="H221">
        <f>IF(Table1[[#This Row],[my_ent_1]]=Table1[[#This Row],[their_ent_1]], 1, 0)</f>
        <v>0</v>
      </c>
      <c r="I221">
        <f>IF(Table1[[#This Row],[my_ent_2]]=Table1[[#This Row],[their_ent_2]], 1, 0)</f>
        <v>0</v>
      </c>
      <c r="J221">
        <f>IF(Table1[[#This Row],[same_1]]=1 &amp; Table1[[#This Row],[same_2]]=1, 1, 0)</f>
        <v>0</v>
      </c>
      <c r="K221">
        <f>IF(ISNUMBER(SEARCH(Table1[[#This Row],[their_ent_1]],Table1[[#This Row],[my_ent_1]])), 1, 0)</f>
        <v>1</v>
      </c>
      <c r="L221">
        <f>IF(ISNUMBER(SEARCH(Table1[[#This Row],[their_ent_2]],Table1[[#This Row],[my_ent_2]])), 1, 0)</f>
        <v>0</v>
      </c>
    </row>
    <row r="222" spans="1:12" hidden="1" x14ac:dyDescent="0.3">
      <c r="A222" t="s">
        <v>779</v>
      </c>
      <c r="B222" t="s">
        <v>780</v>
      </c>
      <c r="C222" t="s">
        <v>781</v>
      </c>
      <c r="D222" t="s">
        <v>121</v>
      </c>
      <c r="E222" t="s">
        <v>782</v>
      </c>
      <c r="F222">
        <v>0</v>
      </c>
      <c r="G222">
        <v>220</v>
      </c>
      <c r="H222">
        <f>IF(Table1[[#This Row],[my_ent_1]]=Table1[[#This Row],[their_ent_1]], 1, 0)</f>
        <v>0</v>
      </c>
      <c r="I222">
        <f>IF(Table1[[#This Row],[my_ent_2]]=Table1[[#This Row],[their_ent_2]], 1, 0)</f>
        <v>0</v>
      </c>
      <c r="J222">
        <f>IF(Table1[[#This Row],[same_1]]=1 &amp; Table1[[#This Row],[same_2]]=1, 1, 0)</f>
        <v>0</v>
      </c>
      <c r="K222">
        <f>IF(ISNUMBER(SEARCH(Table1[[#This Row],[their_ent_1]],Table1[[#This Row],[my_ent_1]])), 1, 0)</f>
        <v>0</v>
      </c>
      <c r="L222">
        <f>IF(ISNUMBER(SEARCH(Table1[[#This Row],[their_ent_2]],Table1[[#This Row],[my_ent_2]])), 1, 0)</f>
        <v>0</v>
      </c>
    </row>
    <row r="223" spans="1:12" x14ac:dyDescent="0.3">
      <c r="A223" t="s">
        <v>783</v>
      </c>
      <c r="B223" t="s">
        <v>784</v>
      </c>
      <c r="C223" t="s">
        <v>784</v>
      </c>
      <c r="D223" t="s">
        <v>785</v>
      </c>
      <c r="E223" t="s">
        <v>786</v>
      </c>
      <c r="F223">
        <v>0</v>
      </c>
      <c r="G223">
        <v>221</v>
      </c>
      <c r="H223">
        <f>IF(Table1[[#This Row],[my_ent_1]]=Table1[[#This Row],[their_ent_1]], 1, 0)</f>
        <v>1</v>
      </c>
      <c r="I223">
        <f>IF(Table1[[#This Row],[my_ent_2]]=Table1[[#This Row],[their_ent_2]], 1, 0)</f>
        <v>0</v>
      </c>
      <c r="J223">
        <f>IF(Table1[[#This Row],[same_1]]=1 &amp; Table1[[#This Row],[same_2]]=1, 1, 0)</f>
        <v>0</v>
      </c>
      <c r="K223">
        <f>IF(ISNUMBER(SEARCH(Table1[[#This Row],[their_ent_1]],Table1[[#This Row],[my_ent_1]])), 1, 0)</f>
        <v>1</v>
      </c>
      <c r="L223">
        <f>IF(ISNUMBER(SEARCH(Table1[[#This Row],[their_ent_2]],Table1[[#This Row],[my_ent_2]])), 1, 0)</f>
        <v>1</v>
      </c>
    </row>
    <row r="224" spans="1:12" hidden="1" x14ac:dyDescent="0.3">
      <c r="A224" t="s">
        <v>787</v>
      </c>
      <c r="B224" t="s">
        <v>54</v>
      </c>
      <c r="C224" t="s">
        <v>80</v>
      </c>
      <c r="D224" t="s">
        <v>54</v>
      </c>
      <c r="E224" t="s">
        <v>788</v>
      </c>
      <c r="F224">
        <v>0</v>
      </c>
      <c r="G224">
        <v>222</v>
      </c>
      <c r="H224">
        <f>IF(Table1[[#This Row],[my_ent_1]]=Table1[[#This Row],[their_ent_1]], 1, 0)</f>
        <v>0</v>
      </c>
      <c r="I224">
        <f>IF(Table1[[#This Row],[my_ent_2]]=Table1[[#This Row],[their_ent_2]], 1, 0)</f>
        <v>0</v>
      </c>
      <c r="J224">
        <f>IF(Table1[[#This Row],[same_1]]=1 &amp; Table1[[#This Row],[same_2]]=1, 1, 0)</f>
        <v>0</v>
      </c>
      <c r="K224">
        <f>IF(ISNUMBER(SEARCH(Table1[[#This Row],[their_ent_1]],Table1[[#This Row],[my_ent_1]])), 1, 0)</f>
        <v>0</v>
      </c>
      <c r="L224">
        <f>IF(ISNUMBER(SEARCH(Table1[[#This Row],[their_ent_2]],Table1[[#This Row],[my_ent_2]])), 1, 0)</f>
        <v>0</v>
      </c>
    </row>
    <row r="225" spans="1:12" x14ac:dyDescent="0.3">
      <c r="A225" t="s">
        <v>789</v>
      </c>
      <c r="B225" t="s">
        <v>790</v>
      </c>
      <c r="C225" t="s">
        <v>791</v>
      </c>
      <c r="D225" t="s">
        <v>792</v>
      </c>
      <c r="E225" t="s">
        <v>792</v>
      </c>
      <c r="F225">
        <v>0</v>
      </c>
      <c r="G225">
        <v>223</v>
      </c>
      <c r="H225">
        <f>IF(Table1[[#This Row],[my_ent_1]]=Table1[[#This Row],[their_ent_1]], 1, 0)</f>
        <v>0</v>
      </c>
      <c r="I225">
        <f>IF(Table1[[#This Row],[my_ent_2]]=Table1[[#This Row],[their_ent_2]], 1, 0)</f>
        <v>1</v>
      </c>
      <c r="J225">
        <f>IF(Table1[[#This Row],[same_1]]=1 &amp; Table1[[#This Row],[same_2]]=1, 1, 0)</f>
        <v>0</v>
      </c>
      <c r="K225">
        <f>IF(ISNUMBER(SEARCH(Table1[[#This Row],[their_ent_1]],Table1[[#This Row],[my_ent_1]])), 1, 0)</f>
        <v>1</v>
      </c>
      <c r="L225">
        <f>IF(ISNUMBER(SEARCH(Table1[[#This Row],[their_ent_2]],Table1[[#This Row],[my_ent_2]])), 1, 0)</f>
        <v>1</v>
      </c>
    </row>
    <row r="226" spans="1:12" hidden="1" x14ac:dyDescent="0.3">
      <c r="A226" t="s">
        <v>793</v>
      </c>
      <c r="B226" t="s">
        <v>794</v>
      </c>
      <c r="C226" t="s">
        <v>369</v>
      </c>
      <c r="D226" t="s">
        <v>79</v>
      </c>
      <c r="E226" t="s">
        <v>795</v>
      </c>
      <c r="F226">
        <v>0</v>
      </c>
      <c r="G226">
        <v>224</v>
      </c>
      <c r="H226">
        <f>IF(Table1[[#This Row],[my_ent_1]]=Table1[[#This Row],[their_ent_1]], 1, 0)</f>
        <v>0</v>
      </c>
      <c r="I226">
        <f>IF(Table1[[#This Row],[my_ent_2]]=Table1[[#This Row],[their_ent_2]], 1, 0)</f>
        <v>0</v>
      </c>
      <c r="J226">
        <f>IF(Table1[[#This Row],[same_1]]=1 &amp; Table1[[#This Row],[same_2]]=1, 1, 0)</f>
        <v>0</v>
      </c>
      <c r="K226">
        <f>IF(ISNUMBER(SEARCH(Table1[[#This Row],[their_ent_1]],Table1[[#This Row],[my_ent_1]])), 1, 0)</f>
        <v>0</v>
      </c>
      <c r="L226">
        <f>IF(ISNUMBER(SEARCH(Table1[[#This Row],[their_ent_2]],Table1[[#This Row],[my_ent_2]])), 1, 0)</f>
        <v>0</v>
      </c>
    </row>
    <row r="227" spans="1:12" hidden="1" x14ac:dyDescent="0.3">
      <c r="A227" t="s">
        <v>796</v>
      </c>
      <c r="B227" t="s">
        <v>691</v>
      </c>
      <c r="C227" t="s">
        <v>797</v>
      </c>
      <c r="D227" t="s">
        <v>235</v>
      </c>
      <c r="E227" t="s">
        <v>236</v>
      </c>
      <c r="F227">
        <v>0</v>
      </c>
      <c r="G227">
        <v>225</v>
      </c>
      <c r="H227">
        <f>IF(Table1[[#This Row],[my_ent_1]]=Table1[[#This Row],[their_ent_1]], 1, 0)</f>
        <v>0</v>
      </c>
      <c r="I227">
        <f>IF(Table1[[#This Row],[my_ent_2]]=Table1[[#This Row],[their_ent_2]], 1, 0)</f>
        <v>0</v>
      </c>
      <c r="J227">
        <f>IF(Table1[[#This Row],[same_1]]=1 &amp; Table1[[#This Row],[same_2]]=1, 1, 0)</f>
        <v>0</v>
      </c>
      <c r="K227">
        <f>IF(ISNUMBER(SEARCH(Table1[[#This Row],[their_ent_1]],Table1[[#This Row],[my_ent_1]])), 1, 0)</f>
        <v>0</v>
      </c>
      <c r="L227">
        <f>IF(ISNUMBER(SEARCH(Table1[[#This Row],[their_ent_2]],Table1[[#This Row],[my_ent_2]])), 1, 0)</f>
        <v>1</v>
      </c>
    </row>
    <row r="228" spans="1:12" hidden="1" x14ac:dyDescent="0.3">
      <c r="A228" t="s">
        <v>798</v>
      </c>
      <c r="B228" t="s">
        <v>799</v>
      </c>
      <c r="C228" t="s">
        <v>800</v>
      </c>
      <c r="D228" t="s">
        <v>7</v>
      </c>
      <c r="E228" t="s">
        <v>7</v>
      </c>
      <c r="F228">
        <v>0</v>
      </c>
      <c r="G228">
        <v>226</v>
      </c>
      <c r="H228">
        <f>IF(Table1[[#This Row],[my_ent_1]]=Table1[[#This Row],[their_ent_1]], 1, 0)</f>
        <v>0</v>
      </c>
      <c r="I228">
        <f>IF(Table1[[#This Row],[my_ent_2]]=Table1[[#This Row],[their_ent_2]], 1, 0)</f>
        <v>1</v>
      </c>
      <c r="J228">
        <f>IF(Table1[[#This Row],[same_1]]=1 &amp; Table1[[#This Row],[same_2]]=1, 1, 0)</f>
        <v>0</v>
      </c>
      <c r="K228">
        <f>IF(ISNUMBER(SEARCH(Table1[[#This Row],[their_ent_1]],Table1[[#This Row],[my_ent_1]])), 1, 0)</f>
        <v>0</v>
      </c>
      <c r="L228">
        <f>IF(ISNUMBER(SEARCH(Table1[[#This Row],[their_ent_2]],Table1[[#This Row],[my_ent_2]])), 1, 0)</f>
        <v>1</v>
      </c>
    </row>
    <row r="229" spans="1:12" hidden="1" x14ac:dyDescent="0.3">
      <c r="A229" t="s">
        <v>801</v>
      </c>
      <c r="B229" t="s">
        <v>802</v>
      </c>
      <c r="C229" t="s">
        <v>803</v>
      </c>
      <c r="D229" t="s">
        <v>804</v>
      </c>
      <c r="E229" t="s">
        <v>805</v>
      </c>
      <c r="F229">
        <v>0</v>
      </c>
      <c r="G229">
        <v>227</v>
      </c>
      <c r="H229">
        <f>IF(Table1[[#This Row],[my_ent_1]]=Table1[[#This Row],[their_ent_1]], 1, 0)</f>
        <v>0</v>
      </c>
      <c r="I229">
        <f>IF(Table1[[#This Row],[my_ent_2]]=Table1[[#This Row],[their_ent_2]], 1, 0)</f>
        <v>0</v>
      </c>
      <c r="J229">
        <f>IF(Table1[[#This Row],[same_1]]=1 &amp; Table1[[#This Row],[same_2]]=1, 1, 0)</f>
        <v>0</v>
      </c>
      <c r="K229">
        <f>IF(ISNUMBER(SEARCH(Table1[[#This Row],[their_ent_1]],Table1[[#This Row],[my_ent_1]])), 1, 0)</f>
        <v>0</v>
      </c>
      <c r="L229">
        <f>IF(ISNUMBER(SEARCH(Table1[[#This Row],[their_ent_2]],Table1[[#This Row],[my_ent_2]])), 1, 0)</f>
        <v>0</v>
      </c>
    </row>
    <row r="230" spans="1:12" x14ac:dyDescent="0.3">
      <c r="A230" t="s">
        <v>806</v>
      </c>
      <c r="B230" t="s">
        <v>807</v>
      </c>
      <c r="C230" t="s">
        <v>808</v>
      </c>
      <c r="D230" t="s">
        <v>809</v>
      </c>
      <c r="E230" t="s">
        <v>810</v>
      </c>
      <c r="F230">
        <v>0</v>
      </c>
      <c r="G230">
        <v>228</v>
      </c>
      <c r="H230">
        <f>IF(Table1[[#This Row],[my_ent_1]]=Table1[[#This Row],[their_ent_1]], 1, 0)</f>
        <v>0</v>
      </c>
      <c r="I230">
        <f>IF(Table1[[#This Row],[my_ent_2]]=Table1[[#This Row],[their_ent_2]], 1, 0)</f>
        <v>0</v>
      </c>
      <c r="J230">
        <f>IF(Table1[[#This Row],[same_1]]=1 &amp; Table1[[#This Row],[same_2]]=1, 1, 0)</f>
        <v>0</v>
      </c>
      <c r="K230">
        <f>IF(ISNUMBER(SEARCH(Table1[[#This Row],[their_ent_1]],Table1[[#This Row],[my_ent_1]])), 1, 0)</f>
        <v>1</v>
      </c>
      <c r="L230">
        <f>IF(ISNUMBER(SEARCH(Table1[[#This Row],[their_ent_2]],Table1[[#This Row],[my_ent_2]])), 1, 0)</f>
        <v>1</v>
      </c>
    </row>
    <row r="231" spans="1:12" hidden="1" x14ac:dyDescent="0.3">
      <c r="A231" t="s">
        <v>811</v>
      </c>
      <c r="B231" t="s">
        <v>812</v>
      </c>
      <c r="C231" t="s">
        <v>813</v>
      </c>
      <c r="D231" t="s">
        <v>814</v>
      </c>
      <c r="E231" t="s">
        <v>815</v>
      </c>
      <c r="F231">
        <v>0</v>
      </c>
      <c r="G231">
        <v>229</v>
      </c>
      <c r="H231">
        <f>IF(Table1[[#This Row],[my_ent_1]]=Table1[[#This Row],[their_ent_1]], 1, 0)</f>
        <v>0</v>
      </c>
      <c r="I231">
        <f>IF(Table1[[#This Row],[my_ent_2]]=Table1[[#This Row],[their_ent_2]], 1, 0)</f>
        <v>0</v>
      </c>
      <c r="J231">
        <f>IF(Table1[[#This Row],[same_1]]=1 &amp; Table1[[#This Row],[same_2]]=1, 1, 0)</f>
        <v>0</v>
      </c>
      <c r="K231">
        <f>IF(ISNUMBER(SEARCH(Table1[[#This Row],[their_ent_1]],Table1[[#This Row],[my_ent_1]])), 1, 0)</f>
        <v>0</v>
      </c>
      <c r="L231">
        <f>IF(ISNUMBER(SEARCH(Table1[[#This Row],[their_ent_2]],Table1[[#This Row],[my_ent_2]])), 1, 0)</f>
        <v>0</v>
      </c>
    </row>
    <row r="232" spans="1:12" hidden="1" x14ac:dyDescent="0.3">
      <c r="A232" t="s">
        <v>816</v>
      </c>
      <c r="B232" t="s">
        <v>51</v>
      </c>
      <c r="C232" t="s">
        <v>817</v>
      </c>
      <c r="D232" t="s">
        <v>818</v>
      </c>
      <c r="E232" t="s">
        <v>819</v>
      </c>
      <c r="F232">
        <v>0</v>
      </c>
      <c r="G232">
        <v>230</v>
      </c>
      <c r="H232">
        <f>IF(Table1[[#This Row],[my_ent_1]]=Table1[[#This Row],[their_ent_1]], 1, 0)</f>
        <v>0</v>
      </c>
      <c r="I232">
        <f>IF(Table1[[#This Row],[my_ent_2]]=Table1[[#This Row],[their_ent_2]], 1, 0)</f>
        <v>0</v>
      </c>
      <c r="J232">
        <f>IF(Table1[[#This Row],[same_1]]=1 &amp; Table1[[#This Row],[same_2]]=1, 1, 0)</f>
        <v>0</v>
      </c>
      <c r="K232">
        <f>IF(ISNUMBER(SEARCH(Table1[[#This Row],[their_ent_1]],Table1[[#This Row],[my_ent_1]])), 1, 0)</f>
        <v>0</v>
      </c>
      <c r="L232">
        <f>IF(ISNUMBER(SEARCH(Table1[[#This Row],[their_ent_2]],Table1[[#This Row],[my_ent_2]])), 1, 0)</f>
        <v>0</v>
      </c>
    </row>
    <row r="233" spans="1:12" hidden="1" x14ac:dyDescent="0.3">
      <c r="A233" t="s">
        <v>820</v>
      </c>
      <c r="B233" t="s">
        <v>821</v>
      </c>
      <c r="C233" t="s">
        <v>822</v>
      </c>
      <c r="D233" t="s">
        <v>823</v>
      </c>
      <c r="E233" t="s">
        <v>824</v>
      </c>
      <c r="F233">
        <v>0</v>
      </c>
      <c r="G233">
        <v>231</v>
      </c>
      <c r="H233">
        <f>IF(Table1[[#This Row],[my_ent_1]]=Table1[[#This Row],[their_ent_1]], 1, 0)</f>
        <v>0</v>
      </c>
      <c r="I233">
        <f>IF(Table1[[#This Row],[my_ent_2]]=Table1[[#This Row],[their_ent_2]], 1, 0)</f>
        <v>0</v>
      </c>
      <c r="J233">
        <f>IF(Table1[[#This Row],[same_1]]=1 &amp; Table1[[#This Row],[same_2]]=1, 1, 0)</f>
        <v>0</v>
      </c>
      <c r="K233">
        <f>IF(ISNUMBER(SEARCH(Table1[[#This Row],[their_ent_1]],Table1[[#This Row],[my_ent_1]])), 1, 0)</f>
        <v>0</v>
      </c>
      <c r="L233">
        <f>IF(ISNUMBER(SEARCH(Table1[[#This Row],[their_ent_2]],Table1[[#This Row],[my_ent_2]])), 1, 0)</f>
        <v>0</v>
      </c>
    </row>
    <row r="234" spans="1:12" x14ac:dyDescent="0.3">
      <c r="A234" t="s">
        <v>825</v>
      </c>
      <c r="B234" t="s">
        <v>826</v>
      </c>
      <c r="C234" t="s">
        <v>827</v>
      </c>
      <c r="D234" t="s">
        <v>828</v>
      </c>
      <c r="E234" t="s">
        <v>828</v>
      </c>
      <c r="F234">
        <v>0</v>
      </c>
      <c r="G234">
        <v>232</v>
      </c>
      <c r="H234">
        <f>IF(Table1[[#This Row],[my_ent_1]]=Table1[[#This Row],[their_ent_1]], 1, 0)</f>
        <v>0</v>
      </c>
      <c r="I234">
        <f>IF(Table1[[#This Row],[my_ent_2]]=Table1[[#This Row],[their_ent_2]], 1, 0)</f>
        <v>1</v>
      </c>
      <c r="J234">
        <f>IF(Table1[[#This Row],[same_1]]=1 &amp; Table1[[#This Row],[same_2]]=1, 1, 0)</f>
        <v>0</v>
      </c>
      <c r="K234">
        <f>IF(ISNUMBER(SEARCH(Table1[[#This Row],[their_ent_1]],Table1[[#This Row],[my_ent_1]])), 1, 0)</f>
        <v>1</v>
      </c>
      <c r="L234">
        <f>IF(ISNUMBER(SEARCH(Table1[[#This Row],[their_ent_2]],Table1[[#This Row],[my_ent_2]])), 1, 0)</f>
        <v>1</v>
      </c>
    </row>
    <row r="235" spans="1:12" hidden="1" x14ac:dyDescent="0.3">
      <c r="A235" t="s">
        <v>829</v>
      </c>
      <c r="B235" t="s">
        <v>7</v>
      </c>
      <c r="C235" t="s">
        <v>169</v>
      </c>
      <c r="D235" t="s">
        <v>169</v>
      </c>
      <c r="E235" t="s">
        <v>830</v>
      </c>
      <c r="F235">
        <v>0</v>
      </c>
      <c r="G235">
        <v>233</v>
      </c>
      <c r="H235">
        <f>IF(Table1[[#This Row],[my_ent_1]]=Table1[[#This Row],[their_ent_1]], 1, 0)</f>
        <v>0</v>
      </c>
      <c r="I235">
        <f>IF(Table1[[#This Row],[my_ent_2]]=Table1[[#This Row],[their_ent_2]], 1, 0)</f>
        <v>0</v>
      </c>
      <c r="J235">
        <f>IF(Table1[[#This Row],[same_1]]=1 &amp; Table1[[#This Row],[same_2]]=1, 1, 0)</f>
        <v>0</v>
      </c>
      <c r="K235">
        <f>IF(ISNUMBER(SEARCH(Table1[[#This Row],[their_ent_1]],Table1[[#This Row],[my_ent_1]])), 1, 0)</f>
        <v>0</v>
      </c>
      <c r="L235">
        <f>IF(ISNUMBER(SEARCH(Table1[[#This Row],[their_ent_2]],Table1[[#This Row],[my_ent_2]])), 1, 0)</f>
        <v>0</v>
      </c>
    </row>
    <row r="236" spans="1:12" x14ac:dyDescent="0.3">
      <c r="A236" t="s">
        <v>831</v>
      </c>
      <c r="B236" t="s">
        <v>832</v>
      </c>
      <c r="C236" t="s">
        <v>833</v>
      </c>
      <c r="D236" t="s">
        <v>834</v>
      </c>
      <c r="E236" t="s">
        <v>834</v>
      </c>
      <c r="F236">
        <v>0</v>
      </c>
      <c r="G236">
        <v>234</v>
      </c>
      <c r="H236">
        <f>IF(Table1[[#This Row],[my_ent_1]]=Table1[[#This Row],[their_ent_1]], 1, 0)</f>
        <v>0</v>
      </c>
      <c r="I236">
        <f>IF(Table1[[#This Row],[my_ent_2]]=Table1[[#This Row],[their_ent_2]], 1, 0)</f>
        <v>1</v>
      </c>
      <c r="J236">
        <f>IF(Table1[[#This Row],[same_1]]=1 &amp; Table1[[#This Row],[same_2]]=1, 1, 0)</f>
        <v>0</v>
      </c>
      <c r="K236">
        <f>IF(ISNUMBER(SEARCH(Table1[[#This Row],[their_ent_1]],Table1[[#This Row],[my_ent_1]])), 1, 0)</f>
        <v>1</v>
      </c>
      <c r="L236">
        <f>IF(ISNUMBER(SEARCH(Table1[[#This Row],[their_ent_2]],Table1[[#This Row],[my_ent_2]])), 1, 0)</f>
        <v>1</v>
      </c>
    </row>
    <row r="237" spans="1:12" hidden="1" x14ac:dyDescent="0.3">
      <c r="A237" t="s">
        <v>835</v>
      </c>
      <c r="B237" t="s">
        <v>525</v>
      </c>
      <c r="C237" t="s">
        <v>836</v>
      </c>
      <c r="D237" t="s">
        <v>836</v>
      </c>
      <c r="E237" t="s">
        <v>837</v>
      </c>
      <c r="F237">
        <v>0</v>
      </c>
      <c r="G237">
        <v>235</v>
      </c>
      <c r="H237">
        <f>IF(Table1[[#This Row],[my_ent_1]]=Table1[[#This Row],[their_ent_1]], 1, 0)</f>
        <v>0</v>
      </c>
      <c r="I237">
        <f>IF(Table1[[#This Row],[my_ent_2]]=Table1[[#This Row],[their_ent_2]], 1, 0)</f>
        <v>0</v>
      </c>
      <c r="J237">
        <f>IF(Table1[[#This Row],[same_1]]=1 &amp; Table1[[#This Row],[same_2]]=1, 1, 0)</f>
        <v>0</v>
      </c>
      <c r="K237">
        <f>IF(ISNUMBER(SEARCH(Table1[[#This Row],[their_ent_1]],Table1[[#This Row],[my_ent_1]])), 1, 0)</f>
        <v>0</v>
      </c>
      <c r="L237">
        <f>IF(ISNUMBER(SEARCH(Table1[[#This Row],[their_ent_2]],Table1[[#This Row],[my_ent_2]])), 1, 0)</f>
        <v>0</v>
      </c>
    </row>
    <row r="238" spans="1:12" hidden="1" x14ac:dyDescent="0.3">
      <c r="A238" t="s">
        <v>838</v>
      </c>
      <c r="B238" t="s">
        <v>839</v>
      </c>
      <c r="C238" t="s">
        <v>840</v>
      </c>
      <c r="D238" t="s">
        <v>841</v>
      </c>
      <c r="E238" t="s">
        <v>842</v>
      </c>
      <c r="F238">
        <v>0</v>
      </c>
      <c r="G238">
        <v>236</v>
      </c>
      <c r="H238">
        <f>IF(Table1[[#This Row],[my_ent_1]]=Table1[[#This Row],[their_ent_1]], 1, 0)</f>
        <v>0</v>
      </c>
      <c r="I238">
        <f>IF(Table1[[#This Row],[my_ent_2]]=Table1[[#This Row],[their_ent_2]], 1, 0)</f>
        <v>0</v>
      </c>
      <c r="J238">
        <f>IF(Table1[[#This Row],[same_1]]=1 &amp; Table1[[#This Row],[same_2]]=1, 1, 0)</f>
        <v>0</v>
      </c>
      <c r="K238">
        <f>IF(ISNUMBER(SEARCH(Table1[[#This Row],[their_ent_1]],Table1[[#This Row],[my_ent_1]])), 1, 0)</f>
        <v>0</v>
      </c>
      <c r="L238">
        <f>IF(ISNUMBER(SEARCH(Table1[[#This Row],[their_ent_2]],Table1[[#This Row],[my_ent_2]])), 1, 0)</f>
        <v>0</v>
      </c>
    </row>
    <row r="239" spans="1:12" hidden="1" x14ac:dyDescent="0.3">
      <c r="A239" t="s">
        <v>843</v>
      </c>
      <c r="B239" t="s">
        <v>58</v>
      </c>
      <c r="C239" t="s">
        <v>844</v>
      </c>
      <c r="D239" t="s">
        <v>845</v>
      </c>
      <c r="E239" t="s">
        <v>846</v>
      </c>
      <c r="F239">
        <v>0</v>
      </c>
      <c r="G239">
        <v>237</v>
      </c>
      <c r="H239">
        <f>IF(Table1[[#This Row],[my_ent_1]]=Table1[[#This Row],[their_ent_1]], 1, 0)</f>
        <v>0</v>
      </c>
      <c r="I239">
        <f>IF(Table1[[#This Row],[my_ent_2]]=Table1[[#This Row],[their_ent_2]], 1, 0)</f>
        <v>0</v>
      </c>
      <c r="J239">
        <f>IF(Table1[[#This Row],[same_1]]=1 &amp; Table1[[#This Row],[same_2]]=1, 1, 0)</f>
        <v>0</v>
      </c>
      <c r="K239">
        <f>IF(ISNUMBER(SEARCH(Table1[[#This Row],[their_ent_1]],Table1[[#This Row],[my_ent_1]])), 1, 0)</f>
        <v>0</v>
      </c>
      <c r="L239">
        <f>IF(ISNUMBER(SEARCH(Table1[[#This Row],[their_ent_2]],Table1[[#This Row],[my_ent_2]])), 1, 0)</f>
        <v>0</v>
      </c>
    </row>
    <row r="240" spans="1:12" hidden="1" x14ac:dyDescent="0.3">
      <c r="A240" t="s">
        <v>598</v>
      </c>
      <c r="B240" t="s">
        <v>599</v>
      </c>
      <c r="C240" t="s">
        <v>599</v>
      </c>
      <c r="D240" t="s">
        <v>600</v>
      </c>
      <c r="E240" t="s">
        <v>601</v>
      </c>
      <c r="F240">
        <v>0</v>
      </c>
      <c r="G240">
        <v>238</v>
      </c>
      <c r="H240">
        <f>IF(Table1[[#This Row],[my_ent_1]]=Table1[[#This Row],[their_ent_1]], 1, 0)</f>
        <v>1</v>
      </c>
      <c r="I240">
        <f>IF(Table1[[#This Row],[my_ent_2]]=Table1[[#This Row],[their_ent_2]], 1, 0)</f>
        <v>0</v>
      </c>
      <c r="J240">
        <f>IF(Table1[[#This Row],[same_1]]=1 &amp; Table1[[#This Row],[same_2]]=1, 1, 0)</f>
        <v>0</v>
      </c>
      <c r="K240">
        <f>IF(ISNUMBER(SEARCH(Table1[[#This Row],[their_ent_1]],Table1[[#This Row],[my_ent_1]])), 1, 0)</f>
        <v>1</v>
      </c>
      <c r="L240">
        <f>IF(ISNUMBER(SEARCH(Table1[[#This Row],[their_ent_2]],Table1[[#This Row],[my_ent_2]])), 1, 0)</f>
        <v>0</v>
      </c>
    </row>
    <row r="241" spans="1:12" x14ac:dyDescent="0.3">
      <c r="A241" t="s">
        <v>847</v>
      </c>
      <c r="B241" t="s">
        <v>848</v>
      </c>
      <c r="C241" t="s">
        <v>848</v>
      </c>
      <c r="D241" t="s">
        <v>849</v>
      </c>
      <c r="E241" t="s">
        <v>468</v>
      </c>
      <c r="F241">
        <v>0</v>
      </c>
      <c r="G241">
        <v>239</v>
      </c>
      <c r="H241">
        <f>IF(Table1[[#This Row],[my_ent_1]]=Table1[[#This Row],[their_ent_1]], 1, 0)</f>
        <v>1</v>
      </c>
      <c r="I241">
        <f>IF(Table1[[#This Row],[my_ent_2]]=Table1[[#This Row],[their_ent_2]], 1, 0)</f>
        <v>0</v>
      </c>
      <c r="J241">
        <f>IF(Table1[[#This Row],[same_1]]=1 &amp; Table1[[#This Row],[same_2]]=1, 1, 0)</f>
        <v>0</v>
      </c>
      <c r="K241">
        <f>IF(ISNUMBER(SEARCH(Table1[[#This Row],[their_ent_1]],Table1[[#This Row],[my_ent_1]])), 1, 0)</f>
        <v>1</v>
      </c>
      <c r="L241">
        <f>IF(ISNUMBER(SEARCH(Table1[[#This Row],[their_ent_2]],Table1[[#This Row],[my_ent_2]])), 1, 0)</f>
        <v>1</v>
      </c>
    </row>
    <row r="242" spans="1:12" hidden="1" x14ac:dyDescent="0.3">
      <c r="A242" t="s">
        <v>850</v>
      </c>
      <c r="B242" t="s">
        <v>7</v>
      </c>
      <c r="C242" t="s">
        <v>7</v>
      </c>
      <c r="D242" t="s">
        <v>94</v>
      </c>
      <c r="E242" t="s">
        <v>138</v>
      </c>
      <c r="F242">
        <v>0</v>
      </c>
      <c r="G242">
        <v>240</v>
      </c>
      <c r="H242">
        <f>IF(Table1[[#This Row],[my_ent_1]]=Table1[[#This Row],[their_ent_1]], 1, 0)</f>
        <v>1</v>
      </c>
      <c r="I242">
        <f>IF(Table1[[#This Row],[my_ent_2]]=Table1[[#This Row],[their_ent_2]], 1, 0)</f>
        <v>0</v>
      </c>
      <c r="J242">
        <f>IF(Table1[[#This Row],[same_1]]=1 &amp; Table1[[#This Row],[same_2]]=1, 1, 0)</f>
        <v>0</v>
      </c>
      <c r="K242">
        <f>IF(ISNUMBER(SEARCH(Table1[[#This Row],[their_ent_1]],Table1[[#This Row],[my_ent_1]])), 1, 0)</f>
        <v>1</v>
      </c>
      <c r="L242">
        <f>IF(ISNUMBER(SEARCH(Table1[[#This Row],[their_ent_2]],Table1[[#This Row],[my_ent_2]])), 1, 0)</f>
        <v>0</v>
      </c>
    </row>
    <row r="243" spans="1:12" hidden="1" x14ac:dyDescent="0.3">
      <c r="A243" t="s">
        <v>851</v>
      </c>
      <c r="B243" t="s">
        <v>852</v>
      </c>
      <c r="C243" t="s">
        <v>525</v>
      </c>
      <c r="D243" t="s">
        <v>853</v>
      </c>
      <c r="E243" t="s">
        <v>357</v>
      </c>
      <c r="F243">
        <v>0</v>
      </c>
      <c r="G243">
        <v>241</v>
      </c>
      <c r="H243">
        <f>IF(Table1[[#This Row],[my_ent_1]]=Table1[[#This Row],[their_ent_1]], 1, 0)</f>
        <v>0</v>
      </c>
      <c r="I243">
        <f>IF(Table1[[#This Row],[my_ent_2]]=Table1[[#This Row],[their_ent_2]], 1, 0)</f>
        <v>0</v>
      </c>
      <c r="J243">
        <f>IF(Table1[[#This Row],[same_1]]=1 &amp; Table1[[#This Row],[same_2]]=1, 1, 0)</f>
        <v>0</v>
      </c>
      <c r="K243">
        <f>IF(ISNUMBER(SEARCH(Table1[[#This Row],[their_ent_1]],Table1[[#This Row],[my_ent_1]])), 1, 0)</f>
        <v>1</v>
      </c>
      <c r="L243">
        <f>IF(ISNUMBER(SEARCH(Table1[[#This Row],[their_ent_2]],Table1[[#This Row],[my_ent_2]])), 1, 0)</f>
        <v>0</v>
      </c>
    </row>
    <row r="244" spans="1:12" x14ac:dyDescent="0.3">
      <c r="A244" t="s">
        <v>854</v>
      </c>
      <c r="B244" t="s">
        <v>855</v>
      </c>
      <c r="C244" t="s">
        <v>856</v>
      </c>
      <c r="D244" t="s">
        <v>857</v>
      </c>
      <c r="E244" t="s">
        <v>857</v>
      </c>
      <c r="F244">
        <v>0</v>
      </c>
      <c r="G244">
        <v>242</v>
      </c>
      <c r="H244">
        <f>IF(Table1[[#This Row],[my_ent_1]]=Table1[[#This Row],[their_ent_1]], 1, 0)</f>
        <v>0</v>
      </c>
      <c r="I244">
        <f>IF(Table1[[#This Row],[my_ent_2]]=Table1[[#This Row],[their_ent_2]], 1, 0)</f>
        <v>1</v>
      </c>
      <c r="J244">
        <f>IF(Table1[[#This Row],[same_1]]=1 &amp; Table1[[#This Row],[same_2]]=1, 1, 0)</f>
        <v>0</v>
      </c>
      <c r="K244">
        <f>IF(ISNUMBER(SEARCH(Table1[[#This Row],[their_ent_1]],Table1[[#This Row],[my_ent_1]])), 1, 0)</f>
        <v>1</v>
      </c>
      <c r="L244">
        <f>IF(ISNUMBER(SEARCH(Table1[[#This Row],[their_ent_2]],Table1[[#This Row],[my_ent_2]])), 1, 0)</f>
        <v>1</v>
      </c>
    </row>
    <row r="245" spans="1:12" hidden="1" x14ac:dyDescent="0.3">
      <c r="A245" t="s">
        <v>858</v>
      </c>
      <c r="B245" t="s">
        <v>859</v>
      </c>
      <c r="C245" t="s">
        <v>73</v>
      </c>
      <c r="D245" t="s">
        <v>200</v>
      </c>
      <c r="E245" t="s">
        <v>860</v>
      </c>
      <c r="F245">
        <v>0</v>
      </c>
      <c r="G245">
        <v>243</v>
      </c>
      <c r="H245">
        <f>IF(Table1[[#This Row],[my_ent_1]]=Table1[[#This Row],[their_ent_1]], 1, 0)</f>
        <v>0</v>
      </c>
      <c r="I245">
        <f>IF(Table1[[#This Row],[my_ent_2]]=Table1[[#This Row],[their_ent_2]], 1, 0)</f>
        <v>0</v>
      </c>
      <c r="J245">
        <f>IF(Table1[[#This Row],[same_1]]=1 &amp; Table1[[#This Row],[same_2]]=1, 1, 0)</f>
        <v>0</v>
      </c>
      <c r="K245">
        <f>IF(ISNUMBER(SEARCH(Table1[[#This Row],[their_ent_1]],Table1[[#This Row],[my_ent_1]])), 1, 0)</f>
        <v>0</v>
      </c>
      <c r="L245">
        <f>IF(ISNUMBER(SEARCH(Table1[[#This Row],[their_ent_2]],Table1[[#This Row],[my_ent_2]])), 1, 0)</f>
        <v>0</v>
      </c>
    </row>
    <row r="246" spans="1:12" hidden="1" x14ac:dyDescent="0.3">
      <c r="A246" t="s">
        <v>861</v>
      </c>
      <c r="B246" t="s">
        <v>525</v>
      </c>
      <c r="C246" t="s">
        <v>525</v>
      </c>
      <c r="D246" t="s">
        <v>862</v>
      </c>
      <c r="E246" t="s">
        <v>863</v>
      </c>
      <c r="F246">
        <v>0</v>
      </c>
      <c r="G246">
        <v>244</v>
      </c>
      <c r="H246">
        <f>IF(Table1[[#This Row],[my_ent_1]]=Table1[[#This Row],[their_ent_1]], 1, 0)</f>
        <v>1</v>
      </c>
      <c r="I246">
        <f>IF(Table1[[#This Row],[my_ent_2]]=Table1[[#This Row],[their_ent_2]], 1, 0)</f>
        <v>0</v>
      </c>
      <c r="J246">
        <f>IF(Table1[[#This Row],[same_1]]=1 &amp; Table1[[#This Row],[same_2]]=1, 1, 0)</f>
        <v>0</v>
      </c>
      <c r="K246">
        <f>IF(ISNUMBER(SEARCH(Table1[[#This Row],[their_ent_1]],Table1[[#This Row],[my_ent_1]])), 1, 0)</f>
        <v>1</v>
      </c>
      <c r="L246">
        <f>IF(ISNUMBER(SEARCH(Table1[[#This Row],[their_ent_2]],Table1[[#This Row],[my_ent_2]])), 1, 0)</f>
        <v>0</v>
      </c>
    </row>
    <row r="247" spans="1:12" hidden="1" x14ac:dyDescent="0.3">
      <c r="A247" t="s">
        <v>864</v>
      </c>
      <c r="B247" t="s">
        <v>865</v>
      </c>
      <c r="C247" t="s">
        <v>866</v>
      </c>
      <c r="D247" t="s">
        <v>867</v>
      </c>
      <c r="E247" t="s">
        <v>307</v>
      </c>
      <c r="F247">
        <v>0</v>
      </c>
      <c r="G247">
        <v>245</v>
      </c>
      <c r="H247">
        <f>IF(Table1[[#This Row],[my_ent_1]]=Table1[[#This Row],[their_ent_1]], 1, 0)</f>
        <v>0</v>
      </c>
      <c r="I247">
        <f>IF(Table1[[#This Row],[my_ent_2]]=Table1[[#This Row],[their_ent_2]], 1, 0)</f>
        <v>0</v>
      </c>
      <c r="J247">
        <f>IF(Table1[[#This Row],[same_1]]=1 &amp; Table1[[#This Row],[same_2]]=1, 1, 0)</f>
        <v>0</v>
      </c>
      <c r="K247">
        <f>IF(ISNUMBER(SEARCH(Table1[[#This Row],[their_ent_1]],Table1[[#This Row],[my_ent_1]])), 1, 0)</f>
        <v>1</v>
      </c>
      <c r="L247">
        <f>IF(ISNUMBER(SEARCH(Table1[[#This Row],[their_ent_2]],Table1[[#This Row],[my_ent_2]])), 1, 0)</f>
        <v>0</v>
      </c>
    </row>
    <row r="248" spans="1:12" hidden="1" x14ac:dyDescent="0.3">
      <c r="A248" t="s">
        <v>868</v>
      </c>
      <c r="B248" t="s">
        <v>869</v>
      </c>
      <c r="C248" t="s">
        <v>870</v>
      </c>
      <c r="D248" t="s">
        <v>7</v>
      </c>
      <c r="E248" t="s">
        <v>516</v>
      </c>
      <c r="F248">
        <v>0</v>
      </c>
      <c r="G248">
        <v>246</v>
      </c>
      <c r="H248">
        <f>IF(Table1[[#This Row],[my_ent_1]]=Table1[[#This Row],[their_ent_1]], 1, 0)</f>
        <v>0</v>
      </c>
      <c r="I248">
        <f>IF(Table1[[#This Row],[my_ent_2]]=Table1[[#This Row],[their_ent_2]], 1, 0)</f>
        <v>0</v>
      </c>
      <c r="J248">
        <f>IF(Table1[[#This Row],[same_1]]=1 &amp; Table1[[#This Row],[same_2]]=1, 1, 0)</f>
        <v>0</v>
      </c>
      <c r="K248">
        <f>IF(ISNUMBER(SEARCH(Table1[[#This Row],[their_ent_1]],Table1[[#This Row],[my_ent_1]])), 1, 0)</f>
        <v>0</v>
      </c>
      <c r="L248">
        <f>IF(ISNUMBER(SEARCH(Table1[[#This Row],[their_ent_2]],Table1[[#This Row],[my_ent_2]])), 1, 0)</f>
        <v>0</v>
      </c>
    </row>
    <row r="249" spans="1:12" x14ac:dyDescent="0.3">
      <c r="A249" t="s">
        <v>871</v>
      </c>
      <c r="B249" t="s">
        <v>147</v>
      </c>
      <c r="C249" t="s">
        <v>611</v>
      </c>
      <c r="D249" t="s">
        <v>872</v>
      </c>
      <c r="E249" t="s">
        <v>873</v>
      </c>
      <c r="F249">
        <v>0</v>
      </c>
      <c r="G249">
        <v>247</v>
      </c>
      <c r="H249">
        <f>IF(Table1[[#This Row],[my_ent_1]]=Table1[[#This Row],[their_ent_1]], 1, 0)</f>
        <v>0</v>
      </c>
      <c r="I249">
        <f>IF(Table1[[#This Row],[my_ent_2]]=Table1[[#This Row],[their_ent_2]], 1, 0)</f>
        <v>0</v>
      </c>
      <c r="J249">
        <f>IF(Table1[[#This Row],[same_1]]=1 &amp; Table1[[#This Row],[same_2]]=1, 1, 0)</f>
        <v>0</v>
      </c>
      <c r="K249">
        <f>IF(ISNUMBER(SEARCH(Table1[[#This Row],[their_ent_1]],Table1[[#This Row],[my_ent_1]])), 1, 0)</f>
        <v>1</v>
      </c>
      <c r="L249">
        <f>IF(ISNUMBER(SEARCH(Table1[[#This Row],[their_ent_2]],Table1[[#This Row],[my_ent_2]])), 1, 0)</f>
        <v>1</v>
      </c>
    </row>
    <row r="250" spans="1:12" hidden="1" x14ac:dyDescent="0.3">
      <c r="A250" t="s">
        <v>874</v>
      </c>
      <c r="B250" t="s">
        <v>875</v>
      </c>
      <c r="C250" t="s">
        <v>876</v>
      </c>
      <c r="D250" t="s">
        <v>877</v>
      </c>
      <c r="E250" t="s">
        <v>877</v>
      </c>
      <c r="F250">
        <v>0</v>
      </c>
      <c r="G250">
        <v>248</v>
      </c>
      <c r="H250">
        <f>IF(Table1[[#This Row],[my_ent_1]]=Table1[[#This Row],[their_ent_1]], 1, 0)</f>
        <v>0</v>
      </c>
      <c r="I250">
        <f>IF(Table1[[#This Row],[my_ent_2]]=Table1[[#This Row],[their_ent_2]], 1, 0)</f>
        <v>1</v>
      </c>
      <c r="J250">
        <f>IF(Table1[[#This Row],[same_1]]=1 &amp; Table1[[#This Row],[same_2]]=1, 1, 0)</f>
        <v>0</v>
      </c>
      <c r="K250">
        <f>IF(ISNUMBER(SEARCH(Table1[[#This Row],[their_ent_1]],Table1[[#This Row],[my_ent_1]])), 1, 0)</f>
        <v>0</v>
      </c>
      <c r="L250">
        <f>IF(ISNUMBER(SEARCH(Table1[[#This Row],[their_ent_2]],Table1[[#This Row],[my_ent_2]])), 1, 0)</f>
        <v>1</v>
      </c>
    </row>
    <row r="251" spans="1:12" hidden="1" x14ac:dyDescent="0.3">
      <c r="A251" t="s">
        <v>878</v>
      </c>
      <c r="B251" t="s">
        <v>200</v>
      </c>
      <c r="C251" t="s">
        <v>879</v>
      </c>
      <c r="D251" t="s">
        <v>58</v>
      </c>
      <c r="E251" t="s">
        <v>516</v>
      </c>
      <c r="F251">
        <v>0</v>
      </c>
      <c r="G251">
        <v>249</v>
      </c>
      <c r="H251">
        <f>IF(Table1[[#This Row],[my_ent_1]]=Table1[[#This Row],[their_ent_1]], 1, 0)</f>
        <v>0</v>
      </c>
      <c r="I251">
        <f>IF(Table1[[#This Row],[my_ent_2]]=Table1[[#This Row],[their_ent_2]], 1, 0)</f>
        <v>0</v>
      </c>
      <c r="J251">
        <f>IF(Table1[[#This Row],[same_1]]=1 &amp; Table1[[#This Row],[same_2]]=1, 1, 0)</f>
        <v>0</v>
      </c>
      <c r="K251">
        <f>IF(ISNUMBER(SEARCH(Table1[[#This Row],[their_ent_1]],Table1[[#This Row],[my_ent_1]])), 1, 0)</f>
        <v>0</v>
      </c>
      <c r="L251">
        <f>IF(ISNUMBER(SEARCH(Table1[[#This Row],[their_ent_2]],Table1[[#This Row],[my_ent_2]])), 1, 0)</f>
        <v>0</v>
      </c>
    </row>
    <row r="252" spans="1:12" hidden="1" x14ac:dyDescent="0.3">
      <c r="A252" t="s">
        <v>880</v>
      </c>
      <c r="B252" t="s">
        <v>336</v>
      </c>
      <c r="C252" t="s">
        <v>336</v>
      </c>
      <c r="D252" t="s">
        <v>49</v>
      </c>
      <c r="E252" t="s">
        <v>80</v>
      </c>
      <c r="F252">
        <v>0</v>
      </c>
      <c r="G252">
        <v>250</v>
      </c>
      <c r="H252">
        <f>IF(Table1[[#This Row],[my_ent_1]]=Table1[[#This Row],[their_ent_1]], 1, 0)</f>
        <v>1</v>
      </c>
      <c r="I252">
        <f>IF(Table1[[#This Row],[my_ent_2]]=Table1[[#This Row],[their_ent_2]], 1, 0)</f>
        <v>0</v>
      </c>
      <c r="J252">
        <f>IF(Table1[[#This Row],[same_1]]=1 &amp; Table1[[#This Row],[same_2]]=1, 1, 0)</f>
        <v>0</v>
      </c>
      <c r="K252">
        <f>IF(ISNUMBER(SEARCH(Table1[[#This Row],[their_ent_1]],Table1[[#This Row],[my_ent_1]])), 1, 0)</f>
        <v>1</v>
      </c>
      <c r="L252">
        <f>IF(ISNUMBER(SEARCH(Table1[[#This Row],[their_ent_2]],Table1[[#This Row],[my_ent_2]])), 1, 0)</f>
        <v>0</v>
      </c>
    </row>
    <row r="253" spans="1:12" hidden="1" x14ac:dyDescent="0.3">
      <c r="A253" t="s">
        <v>881</v>
      </c>
      <c r="B253" t="s">
        <v>263</v>
      </c>
      <c r="C253" t="s">
        <v>882</v>
      </c>
      <c r="D253" t="s">
        <v>883</v>
      </c>
      <c r="E253" t="s">
        <v>884</v>
      </c>
      <c r="F253">
        <v>0</v>
      </c>
      <c r="G253">
        <v>251</v>
      </c>
      <c r="H253">
        <f>IF(Table1[[#This Row],[my_ent_1]]=Table1[[#This Row],[their_ent_1]], 1, 0)</f>
        <v>0</v>
      </c>
      <c r="I253">
        <f>IF(Table1[[#This Row],[my_ent_2]]=Table1[[#This Row],[their_ent_2]], 1, 0)</f>
        <v>0</v>
      </c>
      <c r="J253">
        <f>IF(Table1[[#This Row],[same_1]]=1 &amp; Table1[[#This Row],[same_2]]=1, 1, 0)</f>
        <v>0</v>
      </c>
      <c r="K253">
        <f>IF(ISNUMBER(SEARCH(Table1[[#This Row],[their_ent_1]],Table1[[#This Row],[my_ent_1]])), 1, 0)</f>
        <v>0</v>
      </c>
      <c r="L253">
        <f>IF(ISNUMBER(SEARCH(Table1[[#This Row],[their_ent_2]],Table1[[#This Row],[my_ent_2]])), 1, 0)</f>
        <v>0</v>
      </c>
    </row>
    <row r="254" spans="1:12" hidden="1" x14ac:dyDescent="0.3">
      <c r="A254" t="s">
        <v>885</v>
      </c>
      <c r="B254" t="s">
        <v>886</v>
      </c>
      <c r="C254" t="s">
        <v>886</v>
      </c>
      <c r="D254" t="s">
        <v>54</v>
      </c>
      <c r="E254" t="s">
        <v>256</v>
      </c>
      <c r="F254">
        <v>0</v>
      </c>
      <c r="G254">
        <v>252</v>
      </c>
      <c r="H254">
        <f>IF(Table1[[#This Row],[my_ent_1]]=Table1[[#This Row],[their_ent_1]], 1, 0)</f>
        <v>1</v>
      </c>
      <c r="I254">
        <f>IF(Table1[[#This Row],[my_ent_2]]=Table1[[#This Row],[their_ent_2]], 1, 0)</f>
        <v>0</v>
      </c>
      <c r="J254">
        <f>IF(Table1[[#This Row],[same_1]]=1 &amp; Table1[[#This Row],[same_2]]=1, 1, 0)</f>
        <v>0</v>
      </c>
      <c r="K254">
        <f>IF(ISNUMBER(SEARCH(Table1[[#This Row],[their_ent_1]],Table1[[#This Row],[my_ent_1]])), 1, 0)</f>
        <v>1</v>
      </c>
      <c r="L254">
        <f>IF(ISNUMBER(SEARCH(Table1[[#This Row],[their_ent_2]],Table1[[#This Row],[my_ent_2]])), 1, 0)</f>
        <v>0</v>
      </c>
    </row>
    <row r="255" spans="1:12" hidden="1" x14ac:dyDescent="0.3">
      <c r="A255" t="s">
        <v>887</v>
      </c>
      <c r="B255" t="s">
        <v>888</v>
      </c>
      <c r="C255" t="s">
        <v>889</v>
      </c>
      <c r="D255" t="s">
        <v>890</v>
      </c>
      <c r="E255" t="s">
        <v>890</v>
      </c>
      <c r="F255">
        <v>0</v>
      </c>
      <c r="G255">
        <v>253</v>
      </c>
      <c r="H255">
        <f>IF(Table1[[#This Row],[my_ent_1]]=Table1[[#This Row],[their_ent_1]], 1, 0)</f>
        <v>0</v>
      </c>
      <c r="I255">
        <f>IF(Table1[[#This Row],[my_ent_2]]=Table1[[#This Row],[their_ent_2]], 1, 0)</f>
        <v>1</v>
      </c>
      <c r="J255">
        <f>IF(Table1[[#This Row],[same_1]]=1 &amp; Table1[[#This Row],[same_2]]=1, 1, 0)</f>
        <v>0</v>
      </c>
      <c r="K255">
        <f>IF(ISNUMBER(SEARCH(Table1[[#This Row],[their_ent_1]],Table1[[#This Row],[my_ent_1]])), 1, 0)</f>
        <v>0</v>
      </c>
      <c r="L255">
        <f>IF(ISNUMBER(SEARCH(Table1[[#This Row],[their_ent_2]],Table1[[#This Row],[my_ent_2]])), 1, 0)</f>
        <v>1</v>
      </c>
    </row>
    <row r="256" spans="1:12" hidden="1" x14ac:dyDescent="0.3">
      <c r="A256" t="s">
        <v>891</v>
      </c>
      <c r="B256" t="s">
        <v>892</v>
      </c>
      <c r="C256" t="s">
        <v>330</v>
      </c>
      <c r="D256" t="s">
        <v>200</v>
      </c>
      <c r="E256" t="s">
        <v>200</v>
      </c>
      <c r="F256">
        <v>0</v>
      </c>
      <c r="G256">
        <v>254</v>
      </c>
      <c r="H256">
        <f>IF(Table1[[#This Row],[my_ent_1]]=Table1[[#This Row],[their_ent_1]], 1, 0)</f>
        <v>0</v>
      </c>
      <c r="I256">
        <f>IF(Table1[[#This Row],[my_ent_2]]=Table1[[#This Row],[their_ent_2]], 1, 0)</f>
        <v>1</v>
      </c>
      <c r="J256">
        <f>IF(Table1[[#This Row],[same_1]]=1 &amp; Table1[[#This Row],[same_2]]=1, 1, 0)</f>
        <v>0</v>
      </c>
      <c r="K256">
        <f>IF(ISNUMBER(SEARCH(Table1[[#This Row],[their_ent_1]],Table1[[#This Row],[my_ent_1]])), 1, 0)</f>
        <v>0</v>
      </c>
      <c r="L256">
        <f>IF(ISNUMBER(SEARCH(Table1[[#This Row],[their_ent_2]],Table1[[#This Row],[my_ent_2]])), 1, 0)</f>
        <v>1</v>
      </c>
    </row>
    <row r="257" spans="1:12" x14ac:dyDescent="0.3">
      <c r="A257" t="s">
        <v>893</v>
      </c>
      <c r="B257" t="s">
        <v>894</v>
      </c>
      <c r="C257" t="s">
        <v>895</v>
      </c>
      <c r="D257" t="s">
        <v>896</v>
      </c>
      <c r="E257" t="s">
        <v>896</v>
      </c>
      <c r="F257">
        <v>0</v>
      </c>
      <c r="G257">
        <v>255</v>
      </c>
      <c r="H257">
        <f>IF(Table1[[#This Row],[my_ent_1]]=Table1[[#This Row],[their_ent_1]], 1, 0)</f>
        <v>0</v>
      </c>
      <c r="I257">
        <f>IF(Table1[[#This Row],[my_ent_2]]=Table1[[#This Row],[their_ent_2]], 1, 0)</f>
        <v>1</v>
      </c>
      <c r="J257">
        <f>IF(Table1[[#This Row],[same_1]]=1 &amp; Table1[[#This Row],[same_2]]=1, 1, 0)</f>
        <v>0</v>
      </c>
      <c r="K257">
        <f>IF(ISNUMBER(SEARCH(Table1[[#This Row],[their_ent_1]],Table1[[#This Row],[my_ent_1]])), 1, 0)</f>
        <v>1</v>
      </c>
      <c r="L257">
        <f>IF(ISNUMBER(SEARCH(Table1[[#This Row],[their_ent_2]],Table1[[#This Row],[my_ent_2]])), 1, 0)</f>
        <v>1</v>
      </c>
    </row>
    <row r="258" spans="1:12" hidden="1" x14ac:dyDescent="0.3">
      <c r="A258" t="s">
        <v>897</v>
      </c>
      <c r="B258" t="s">
        <v>898</v>
      </c>
      <c r="C258" t="s">
        <v>899</v>
      </c>
      <c r="D258" t="s">
        <v>900</v>
      </c>
      <c r="E258" t="s">
        <v>901</v>
      </c>
      <c r="F258">
        <v>0</v>
      </c>
      <c r="G258">
        <v>256</v>
      </c>
      <c r="H258">
        <f>IF(Table1[[#This Row],[my_ent_1]]=Table1[[#This Row],[their_ent_1]], 1, 0)</f>
        <v>0</v>
      </c>
      <c r="I258">
        <f>IF(Table1[[#This Row],[my_ent_2]]=Table1[[#This Row],[their_ent_2]], 1, 0)</f>
        <v>0</v>
      </c>
      <c r="J258">
        <f>IF(Table1[[#This Row],[same_1]]=1 &amp; Table1[[#This Row],[same_2]]=1, 1, 0)</f>
        <v>0</v>
      </c>
      <c r="K258">
        <f>IF(ISNUMBER(SEARCH(Table1[[#This Row],[their_ent_1]],Table1[[#This Row],[my_ent_1]])), 1, 0)</f>
        <v>0</v>
      </c>
      <c r="L258">
        <f>IF(ISNUMBER(SEARCH(Table1[[#This Row],[their_ent_2]],Table1[[#This Row],[my_ent_2]])), 1, 0)</f>
        <v>0</v>
      </c>
    </row>
    <row r="259" spans="1:12" hidden="1" x14ac:dyDescent="0.3">
      <c r="A259" t="s">
        <v>902</v>
      </c>
      <c r="B259" t="s">
        <v>903</v>
      </c>
      <c r="C259" t="s">
        <v>296</v>
      </c>
      <c r="D259" t="s">
        <v>904</v>
      </c>
      <c r="E259" t="s">
        <v>905</v>
      </c>
      <c r="F259">
        <v>0</v>
      </c>
      <c r="G259">
        <v>257</v>
      </c>
      <c r="H259">
        <f>IF(Table1[[#This Row],[my_ent_1]]=Table1[[#This Row],[their_ent_1]], 1, 0)</f>
        <v>0</v>
      </c>
      <c r="I259">
        <f>IF(Table1[[#This Row],[my_ent_2]]=Table1[[#This Row],[their_ent_2]], 1, 0)</f>
        <v>0</v>
      </c>
      <c r="J259">
        <f>IF(Table1[[#This Row],[same_1]]=1 &amp; Table1[[#This Row],[same_2]]=1, 1, 0)</f>
        <v>0</v>
      </c>
      <c r="K259">
        <f>IF(ISNUMBER(SEARCH(Table1[[#This Row],[their_ent_1]],Table1[[#This Row],[my_ent_1]])), 1, 0)</f>
        <v>0</v>
      </c>
      <c r="L259">
        <f>IF(ISNUMBER(SEARCH(Table1[[#This Row],[their_ent_2]],Table1[[#This Row],[my_ent_2]])), 1, 0)</f>
        <v>0</v>
      </c>
    </row>
    <row r="260" spans="1:12" hidden="1" x14ac:dyDescent="0.3">
      <c r="A260" t="s">
        <v>906</v>
      </c>
      <c r="B260" t="s">
        <v>907</v>
      </c>
      <c r="C260" t="s">
        <v>585</v>
      </c>
      <c r="D260" t="s">
        <v>54</v>
      </c>
      <c r="E260" t="s">
        <v>908</v>
      </c>
      <c r="F260">
        <v>0</v>
      </c>
      <c r="G260">
        <v>258</v>
      </c>
      <c r="H260">
        <f>IF(Table1[[#This Row],[my_ent_1]]=Table1[[#This Row],[their_ent_1]], 1, 0)</f>
        <v>0</v>
      </c>
      <c r="I260">
        <f>IF(Table1[[#This Row],[my_ent_2]]=Table1[[#This Row],[their_ent_2]], 1, 0)</f>
        <v>0</v>
      </c>
      <c r="J260">
        <f>IF(Table1[[#This Row],[same_1]]=1 &amp; Table1[[#This Row],[same_2]]=1, 1, 0)</f>
        <v>0</v>
      </c>
      <c r="K260">
        <f>IF(ISNUMBER(SEARCH(Table1[[#This Row],[their_ent_1]],Table1[[#This Row],[my_ent_1]])), 1, 0)</f>
        <v>0</v>
      </c>
      <c r="L260">
        <f>IF(ISNUMBER(SEARCH(Table1[[#This Row],[their_ent_2]],Table1[[#This Row],[my_ent_2]])), 1, 0)</f>
        <v>0</v>
      </c>
    </row>
    <row r="261" spans="1:12" hidden="1" x14ac:dyDescent="0.3">
      <c r="A261" t="s">
        <v>909</v>
      </c>
      <c r="B261" t="s">
        <v>910</v>
      </c>
      <c r="C261" t="s">
        <v>910</v>
      </c>
      <c r="D261" t="s">
        <v>911</v>
      </c>
      <c r="E261" t="s">
        <v>912</v>
      </c>
      <c r="F261">
        <v>0</v>
      </c>
      <c r="G261">
        <v>259</v>
      </c>
      <c r="H261">
        <f>IF(Table1[[#This Row],[my_ent_1]]=Table1[[#This Row],[their_ent_1]], 1, 0)</f>
        <v>1</v>
      </c>
      <c r="I261">
        <f>IF(Table1[[#This Row],[my_ent_2]]=Table1[[#This Row],[their_ent_2]], 1, 0)</f>
        <v>0</v>
      </c>
      <c r="J261">
        <f>IF(Table1[[#This Row],[same_1]]=1 &amp; Table1[[#This Row],[same_2]]=1, 1, 0)</f>
        <v>0</v>
      </c>
      <c r="K261">
        <f>IF(ISNUMBER(SEARCH(Table1[[#This Row],[their_ent_1]],Table1[[#This Row],[my_ent_1]])), 1, 0)</f>
        <v>1</v>
      </c>
      <c r="L261">
        <f>IF(ISNUMBER(SEARCH(Table1[[#This Row],[their_ent_2]],Table1[[#This Row],[my_ent_2]])), 1, 0)</f>
        <v>0</v>
      </c>
    </row>
    <row r="262" spans="1:12" hidden="1" x14ac:dyDescent="0.3">
      <c r="A262" t="s">
        <v>913</v>
      </c>
      <c r="B262" t="s">
        <v>914</v>
      </c>
      <c r="C262" t="s">
        <v>914</v>
      </c>
      <c r="D262" t="s">
        <v>915</v>
      </c>
      <c r="E262" t="s">
        <v>507</v>
      </c>
      <c r="F262">
        <v>0</v>
      </c>
      <c r="G262">
        <v>260</v>
      </c>
      <c r="H262">
        <f>IF(Table1[[#This Row],[my_ent_1]]=Table1[[#This Row],[their_ent_1]], 1, 0)</f>
        <v>1</v>
      </c>
      <c r="I262">
        <f>IF(Table1[[#This Row],[my_ent_2]]=Table1[[#This Row],[their_ent_2]], 1, 0)</f>
        <v>0</v>
      </c>
      <c r="J262">
        <f>IF(Table1[[#This Row],[same_1]]=1 &amp; Table1[[#This Row],[same_2]]=1, 1, 0)</f>
        <v>0</v>
      </c>
      <c r="K262">
        <f>IF(ISNUMBER(SEARCH(Table1[[#This Row],[their_ent_1]],Table1[[#This Row],[my_ent_1]])), 1, 0)</f>
        <v>1</v>
      </c>
      <c r="L262">
        <f>IF(ISNUMBER(SEARCH(Table1[[#This Row],[their_ent_2]],Table1[[#This Row],[my_ent_2]])), 1, 0)</f>
        <v>0</v>
      </c>
    </row>
    <row r="263" spans="1:12" x14ac:dyDescent="0.3">
      <c r="A263" t="s">
        <v>916</v>
      </c>
      <c r="B263" t="s">
        <v>917</v>
      </c>
      <c r="C263" t="s">
        <v>918</v>
      </c>
      <c r="D263" t="s">
        <v>34</v>
      </c>
      <c r="E263" t="s">
        <v>34</v>
      </c>
      <c r="F263">
        <v>0</v>
      </c>
      <c r="G263">
        <v>261</v>
      </c>
      <c r="H263">
        <f>IF(Table1[[#This Row],[my_ent_1]]=Table1[[#This Row],[their_ent_1]], 1, 0)</f>
        <v>0</v>
      </c>
      <c r="I263">
        <f>IF(Table1[[#This Row],[my_ent_2]]=Table1[[#This Row],[their_ent_2]], 1, 0)</f>
        <v>1</v>
      </c>
      <c r="J263">
        <f>IF(Table1[[#This Row],[same_1]]=1 &amp; Table1[[#This Row],[same_2]]=1, 1, 0)</f>
        <v>0</v>
      </c>
      <c r="K263">
        <f>IF(ISNUMBER(SEARCH(Table1[[#This Row],[their_ent_1]],Table1[[#This Row],[my_ent_1]])), 1, 0)</f>
        <v>1</v>
      </c>
      <c r="L263">
        <f>IF(ISNUMBER(SEARCH(Table1[[#This Row],[their_ent_2]],Table1[[#This Row],[my_ent_2]])), 1, 0)</f>
        <v>1</v>
      </c>
    </row>
    <row r="264" spans="1:12" hidden="1" x14ac:dyDescent="0.3">
      <c r="A264" t="s">
        <v>919</v>
      </c>
      <c r="B264" t="s">
        <v>920</v>
      </c>
      <c r="C264" t="s">
        <v>165</v>
      </c>
      <c r="D264" t="s">
        <v>7</v>
      </c>
      <c r="E264" t="s">
        <v>921</v>
      </c>
      <c r="F264">
        <v>0</v>
      </c>
      <c r="G264">
        <v>262</v>
      </c>
      <c r="H264">
        <f>IF(Table1[[#This Row],[my_ent_1]]=Table1[[#This Row],[their_ent_1]], 1, 0)</f>
        <v>0</v>
      </c>
      <c r="I264">
        <f>IF(Table1[[#This Row],[my_ent_2]]=Table1[[#This Row],[their_ent_2]], 1, 0)</f>
        <v>0</v>
      </c>
      <c r="J264">
        <f>IF(Table1[[#This Row],[same_1]]=1 &amp; Table1[[#This Row],[same_2]]=1, 1, 0)</f>
        <v>0</v>
      </c>
      <c r="K264">
        <f>IF(ISNUMBER(SEARCH(Table1[[#This Row],[their_ent_1]],Table1[[#This Row],[my_ent_1]])), 1, 0)</f>
        <v>0</v>
      </c>
      <c r="L264">
        <f>IF(ISNUMBER(SEARCH(Table1[[#This Row],[their_ent_2]],Table1[[#This Row],[my_ent_2]])), 1, 0)</f>
        <v>0</v>
      </c>
    </row>
    <row r="265" spans="1:12" hidden="1" x14ac:dyDescent="0.3">
      <c r="A265" t="s">
        <v>922</v>
      </c>
      <c r="B265" t="s">
        <v>708</v>
      </c>
      <c r="C265" t="s">
        <v>923</v>
      </c>
      <c r="D265" t="s">
        <v>54</v>
      </c>
      <c r="E265" t="s">
        <v>708</v>
      </c>
      <c r="F265">
        <v>0</v>
      </c>
      <c r="G265">
        <v>263</v>
      </c>
      <c r="H265">
        <f>IF(Table1[[#This Row],[my_ent_1]]=Table1[[#This Row],[their_ent_1]], 1, 0)</f>
        <v>0</v>
      </c>
      <c r="I265">
        <f>IF(Table1[[#This Row],[my_ent_2]]=Table1[[#This Row],[their_ent_2]], 1, 0)</f>
        <v>0</v>
      </c>
      <c r="J265">
        <f>IF(Table1[[#This Row],[same_1]]=1 &amp; Table1[[#This Row],[same_2]]=1, 1, 0)</f>
        <v>0</v>
      </c>
      <c r="K265">
        <f>IF(ISNUMBER(SEARCH(Table1[[#This Row],[their_ent_1]],Table1[[#This Row],[my_ent_1]])), 1, 0)</f>
        <v>0</v>
      </c>
      <c r="L265">
        <f>IF(ISNUMBER(SEARCH(Table1[[#This Row],[their_ent_2]],Table1[[#This Row],[my_ent_2]])), 1, 0)</f>
        <v>0</v>
      </c>
    </row>
    <row r="266" spans="1:12" hidden="1" x14ac:dyDescent="0.3">
      <c r="A266" t="s">
        <v>924</v>
      </c>
      <c r="B266" t="s">
        <v>241</v>
      </c>
      <c r="C266" t="s">
        <v>925</v>
      </c>
      <c r="D266" t="s">
        <v>926</v>
      </c>
      <c r="E266" t="s">
        <v>927</v>
      </c>
      <c r="F266">
        <v>0</v>
      </c>
      <c r="G266">
        <v>264</v>
      </c>
      <c r="H266">
        <f>IF(Table1[[#This Row],[my_ent_1]]=Table1[[#This Row],[their_ent_1]], 1, 0)</f>
        <v>0</v>
      </c>
      <c r="I266">
        <f>IF(Table1[[#This Row],[my_ent_2]]=Table1[[#This Row],[their_ent_2]], 1, 0)</f>
        <v>0</v>
      </c>
      <c r="J266">
        <f>IF(Table1[[#This Row],[same_1]]=1 &amp; Table1[[#This Row],[same_2]]=1, 1, 0)</f>
        <v>0</v>
      </c>
      <c r="K266">
        <f>IF(ISNUMBER(SEARCH(Table1[[#This Row],[their_ent_1]],Table1[[#This Row],[my_ent_1]])), 1, 0)</f>
        <v>0</v>
      </c>
      <c r="L266">
        <f>IF(ISNUMBER(SEARCH(Table1[[#This Row],[their_ent_2]],Table1[[#This Row],[my_ent_2]])), 1, 0)</f>
        <v>0</v>
      </c>
    </row>
    <row r="267" spans="1:12" hidden="1" x14ac:dyDescent="0.3">
      <c r="A267" t="s">
        <v>928</v>
      </c>
      <c r="B267" t="s">
        <v>58</v>
      </c>
      <c r="C267" t="s">
        <v>107</v>
      </c>
      <c r="D267" t="s">
        <v>929</v>
      </c>
      <c r="E267" t="s">
        <v>929</v>
      </c>
      <c r="F267">
        <v>0</v>
      </c>
      <c r="G267">
        <v>265</v>
      </c>
      <c r="H267">
        <f>IF(Table1[[#This Row],[my_ent_1]]=Table1[[#This Row],[their_ent_1]], 1, 0)</f>
        <v>0</v>
      </c>
      <c r="I267">
        <f>IF(Table1[[#This Row],[my_ent_2]]=Table1[[#This Row],[their_ent_2]], 1, 0)</f>
        <v>1</v>
      </c>
      <c r="J267">
        <f>IF(Table1[[#This Row],[same_1]]=1 &amp; Table1[[#This Row],[same_2]]=1, 1, 0)</f>
        <v>0</v>
      </c>
      <c r="K267">
        <f>IF(ISNUMBER(SEARCH(Table1[[#This Row],[their_ent_1]],Table1[[#This Row],[my_ent_1]])), 1, 0)</f>
        <v>0</v>
      </c>
      <c r="L267">
        <f>IF(ISNUMBER(SEARCH(Table1[[#This Row],[their_ent_2]],Table1[[#This Row],[my_ent_2]])), 1, 0)</f>
        <v>1</v>
      </c>
    </row>
    <row r="268" spans="1:12" hidden="1" x14ac:dyDescent="0.3">
      <c r="A268" t="s">
        <v>930</v>
      </c>
      <c r="B268" t="s">
        <v>931</v>
      </c>
      <c r="C268" t="s">
        <v>931</v>
      </c>
      <c r="D268" t="s">
        <v>932</v>
      </c>
      <c r="E268" t="s">
        <v>933</v>
      </c>
      <c r="F268">
        <v>0</v>
      </c>
      <c r="G268">
        <v>266</v>
      </c>
      <c r="H268">
        <f>IF(Table1[[#This Row],[my_ent_1]]=Table1[[#This Row],[their_ent_1]], 1, 0)</f>
        <v>1</v>
      </c>
      <c r="I268">
        <f>IF(Table1[[#This Row],[my_ent_2]]=Table1[[#This Row],[their_ent_2]], 1, 0)</f>
        <v>0</v>
      </c>
      <c r="J268">
        <f>IF(Table1[[#This Row],[same_1]]=1 &amp; Table1[[#This Row],[same_2]]=1, 1, 0)</f>
        <v>0</v>
      </c>
      <c r="K268">
        <f>IF(ISNUMBER(SEARCH(Table1[[#This Row],[their_ent_1]],Table1[[#This Row],[my_ent_1]])), 1, 0)</f>
        <v>1</v>
      </c>
      <c r="L268">
        <f>IF(ISNUMBER(SEARCH(Table1[[#This Row],[their_ent_2]],Table1[[#This Row],[my_ent_2]])), 1, 0)</f>
        <v>0</v>
      </c>
    </row>
    <row r="269" spans="1:12" hidden="1" x14ac:dyDescent="0.3">
      <c r="A269" t="s">
        <v>934</v>
      </c>
      <c r="B269" t="s">
        <v>935</v>
      </c>
      <c r="C269" t="s">
        <v>935</v>
      </c>
      <c r="D269" t="s">
        <v>54</v>
      </c>
      <c r="E269" t="s">
        <v>936</v>
      </c>
      <c r="F269">
        <v>0</v>
      </c>
      <c r="G269">
        <v>267</v>
      </c>
      <c r="H269">
        <f>IF(Table1[[#This Row],[my_ent_1]]=Table1[[#This Row],[their_ent_1]], 1, 0)</f>
        <v>1</v>
      </c>
      <c r="I269">
        <f>IF(Table1[[#This Row],[my_ent_2]]=Table1[[#This Row],[their_ent_2]], 1, 0)</f>
        <v>0</v>
      </c>
      <c r="J269">
        <f>IF(Table1[[#This Row],[same_1]]=1 &amp; Table1[[#This Row],[same_2]]=1, 1, 0)</f>
        <v>0</v>
      </c>
      <c r="K269">
        <f>IF(ISNUMBER(SEARCH(Table1[[#This Row],[their_ent_1]],Table1[[#This Row],[my_ent_1]])), 1, 0)</f>
        <v>1</v>
      </c>
      <c r="L269">
        <f>IF(ISNUMBER(SEARCH(Table1[[#This Row],[their_ent_2]],Table1[[#This Row],[my_ent_2]])), 1, 0)</f>
        <v>0</v>
      </c>
    </row>
    <row r="270" spans="1:12" x14ac:dyDescent="0.3">
      <c r="A270" t="s">
        <v>937</v>
      </c>
      <c r="B270" t="s">
        <v>470</v>
      </c>
      <c r="C270" t="s">
        <v>470</v>
      </c>
      <c r="D270" t="s">
        <v>938</v>
      </c>
      <c r="E270" t="s">
        <v>507</v>
      </c>
      <c r="F270">
        <v>0</v>
      </c>
      <c r="G270">
        <v>268</v>
      </c>
      <c r="H270">
        <f>IF(Table1[[#This Row],[my_ent_1]]=Table1[[#This Row],[their_ent_1]], 1, 0)</f>
        <v>1</v>
      </c>
      <c r="I270">
        <f>IF(Table1[[#This Row],[my_ent_2]]=Table1[[#This Row],[their_ent_2]], 1, 0)</f>
        <v>0</v>
      </c>
      <c r="J270">
        <f>IF(Table1[[#This Row],[same_1]]=1 &amp; Table1[[#This Row],[same_2]]=1, 1, 0)</f>
        <v>0</v>
      </c>
      <c r="K270">
        <f>IF(ISNUMBER(SEARCH(Table1[[#This Row],[their_ent_1]],Table1[[#This Row],[my_ent_1]])), 1, 0)</f>
        <v>1</v>
      </c>
      <c r="L270">
        <f>IF(ISNUMBER(SEARCH(Table1[[#This Row],[their_ent_2]],Table1[[#This Row],[my_ent_2]])), 1, 0)</f>
        <v>1</v>
      </c>
    </row>
    <row r="271" spans="1:12" hidden="1" x14ac:dyDescent="0.3">
      <c r="A271" t="s">
        <v>939</v>
      </c>
      <c r="B271" t="s">
        <v>940</v>
      </c>
      <c r="C271" t="s">
        <v>941</v>
      </c>
      <c r="D271" t="s">
        <v>942</v>
      </c>
      <c r="E271" t="s">
        <v>943</v>
      </c>
      <c r="F271">
        <v>0</v>
      </c>
      <c r="G271">
        <v>269</v>
      </c>
      <c r="H271">
        <f>IF(Table1[[#This Row],[my_ent_1]]=Table1[[#This Row],[their_ent_1]], 1, 0)</f>
        <v>0</v>
      </c>
      <c r="I271">
        <f>IF(Table1[[#This Row],[my_ent_2]]=Table1[[#This Row],[their_ent_2]], 1, 0)</f>
        <v>0</v>
      </c>
      <c r="J271">
        <f>IF(Table1[[#This Row],[same_1]]=1 &amp; Table1[[#This Row],[same_2]]=1, 1, 0)</f>
        <v>0</v>
      </c>
      <c r="K271">
        <f>IF(ISNUMBER(SEARCH(Table1[[#This Row],[their_ent_1]],Table1[[#This Row],[my_ent_1]])), 1, 0)</f>
        <v>0</v>
      </c>
      <c r="L271">
        <f>IF(ISNUMBER(SEARCH(Table1[[#This Row],[their_ent_2]],Table1[[#This Row],[my_ent_2]])), 1, 0)</f>
        <v>0</v>
      </c>
    </row>
    <row r="272" spans="1:12" hidden="1" x14ac:dyDescent="0.3">
      <c r="A272" t="s">
        <v>944</v>
      </c>
      <c r="B272" t="s">
        <v>652</v>
      </c>
      <c r="C272" t="s">
        <v>945</v>
      </c>
      <c r="D272" t="s">
        <v>7</v>
      </c>
      <c r="E272" t="s">
        <v>946</v>
      </c>
      <c r="F272">
        <v>0</v>
      </c>
      <c r="G272">
        <v>270</v>
      </c>
      <c r="H272">
        <f>IF(Table1[[#This Row],[my_ent_1]]=Table1[[#This Row],[their_ent_1]], 1, 0)</f>
        <v>0</v>
      </c>
      <c r="I272">
        <f>IF(Table1[[#This Row],[my_ent_2]]=Table1[[#This Row],[their_ent_2]], 1, 0)</f>
        <v>0</v>
      </c>
      <c r="J272">
        <f>IF(Table1[[#This Row],[same_1]]=1 &amp; Table1[[#This Row],[same_2]]=1, 1, 0)</f>
        <v>0</v>
      </c>
      <c r="K272">
        <f>IF(ISNUMBER(SEARCH(Table1[[#This Row],[their_ent_1]],Table1[[#This Row],[my_ent_1]])), 1, 0)</f>
        <v>0</v>
      </c>
      <c r="L272">
        <f>IF(ISNUMBER(SEARCH(Table1[[#This Row],[their_ent_2]],Table1[[#This Row],[my_ent_2]])), 1, 0)</f>
        <v>0</v>
      </c>
    </row>
    <row r="273" spans="1:12" hidden="1" x14ac:dyDescent="0.3">
      <c r="A273" t="s">
        <v>947</v>
      </c>
      <c r="B273" t="s">
        <v>79</v>
      </c>
      <c r="C273" t="s">
        <v>948</v>
      </c>
      <c r="D273" t="s">
        <v>705</v>
      </c>
      <c r="E273" t="s">
        <v>683</v>
      </c>
      <c r="F273">
        <v>0</v>
      </c>
      <c r="G273">
        <v>271</v>
      </c>
      <c r="H273">
        <f>IF(Table1[[#This Row],[my_ent_1]]=Table1[[#This Row],[their_ent_1]], 1, 0)</f>
        <v>0</v>
      </c>
      <c r="I273">
        <f>IF(Table1[[#This Row],[my_ent_2]]=Table1[[#This Row],[their_ent_2]], 1, 0)</f>
        <v>0</v>
      </c>
      <c r="J273">
        <f>IF(Table1[[#This Row],[same_1]]=1 &amp; Table1[[#This Row],[same_2]]=1, 1, 0)</f>
        <v>0</v>
      </c>
      <c r="K273">
        <f>IF(ISNUMBER(SEARCH(Table1[[#This Row],[their_ent_1]],Table1[[#This Row],[my_ent_1]])), 1, 0)</f>
        <v>0</v>
      </c>
      <c r="L273">
        <f>IF(ISNUMBER(SEARCH(Table1[[#This Row],[their_ent_2]],Table1[[#This Row],[my_ent_2]])), 1, 0)</f>
        <v>0</v>
      </c>
    </row>
    <row r="274" spans="1:12" hidden="1" x14ac:dyDescent="0.3">
      <c r="A274" t="s">
        <v>949</v>
      </c>
      <c r="B274" t="s">
        <v>950</v>
      </c>
      <c r="C274" t="s">
        <v>950</v>
      </c>
      <c r="D274" t="s">
        <v>951</v>
      </c>
      <c r="E274" t="s">
        <v>236</v>
      </c>
      <c r="F274">
        <v>0</v>
      </c>
      <c r="G274">
        <v>272</v>
      </c>
      <c r="H274">
        <f>IF(Table1[[#This Row],[my_ent_1]]=Table1[[#This Row],[their_ent_1]], 1, 0)</f>
        <v>1</v>
      </c>
      <c r="I274">
        <f>IF(Table1[[#This Row],[my_ent_2]]=Table1[[#This Row],[their_ent_2]], 1, 0)</f>
        <v>0</v>
      </c>
      <c r="J274">
        <f>IF(Table1[[#This Row],[same_1]]=1 &amp; Table1[[#This Row],[same_2]]=1, 1, 0)</f>
        <v>0</v>
      </c>
      <c r="K274">
        <f>IF(ISNUMBER(SEARCH(Table1[[#This Row],[their_ent_1]],Table1[[#This Row],[my_ent_1]])), 1, 0)</f>
        <v>1</v>
      </c>
      <c r="L274">
        <f>IF(ISNUMBER(SEARCH(Table1[[#This Row],[their_ent_2]],Table1[[#This Row],[my_ent_2]])), 1, 0)</f>
        <v>0</v>
      </c>
    </row>
    <row r="275" spans="1:12" hidden="1" x14ac:dyDescent="0.3">
      <c r="A275" t="s">
        <v>952</v>
      </c>
      <c r="B275" t="s">
        <v>953</v>
      </c>
      <c r="C275" t="s">
        <v>954</v>
      </c>
      <c r="D275" t="s">
        <v>73</v>
      </c>
      <c r="E275" t="s">
        <v>73</v>
      </c>
      <c r="F275">
        <v>0</v>
      </c>
      <c r="G275">
        <v>273</v>
      </c>
      <c r="H275">
        <f>IF(Table1[[#This Row],[my_ent_1]]=Table1[[#This Row],[their_ent_1]], 1, 0)</f>
        <v>0</v>
      </c>
      <c r="I275">
        <f>IF(Table1[[#This Row],[my_ent_2]]=Table1[[#This Row],[their_ent_2]], 1, 0)</f>
        <v>1</v>
      </c>
      <c r="J275">
        <f>IF(Table1[[#This Row],[same_1]]=1 &amp; Table1[[#This Row],[same_2]]=1, 1, 0)</f>
        <v>0</v>
      </c>
      <c r="K275">
        <f>IF(ISNUMBER(SEARCH(Table1[[#This Row],[their_ent_1]],Table1[[#This Row],[my_ent_1]])), 1, 0)</f>
        <v>0</v>
      </c>
      <c r="L275">
        <f>IF(ISNUMBER(SEARCH(Table1[[#This Row],[their_ent_2]],Table1[[#This Row],[my_ent_2]])), 1, 0)</f>
        <v>1</v>
      </c>
    </row>
    <row r="276" spans="1:12" hidden="1" x14ac:dyDescent="0.3">
      <c r="A276" t="s">
        <v>955</v>
      </c>
      <c r="B276" t="s">
        <v>401</v>
      </c>
      <c r="C276" t="s">
        <v>956</v>
      </c>
      <c r="D276" t="s">
        <v>957</v>
      </c>
      <c r="E276" t="s">
        <v>196</v>
      </c>
      <c r="F276">
        <v>0</v>
      </c>
      <c r="G276">
        <v>274</v>
      </c>
      <c r="H276">
        <f>IF(Table1[[#This Row],[my_ent_1]]=Table1[[#This Row],[their_ent_1]], 1, 0)</f>
        <v>0</v>
      </c>
      <c r="I276">
        <f>IF(Table1[[#This Row],[my_ent_2]]=Table1[[#This Row],[their_ent_2]], 1, 0)</f>
        <v>0</v>
      </c>
      <c r="J276">
        <f>IF(Table1[[#This Row],[same_1]]=1 &amp; Table1[[#This Row],[same_2]]=1, 1, 0)</f>
        <v>0</v>
      </c>
      <c r="K276">
        <f>IF(ISNUMBER(SEARCH(Table1[[#This Row],[their_ent_1]],Table1[[#This Row],[my_ent_1]])), 1, 0)</f>
        <v>0</v>
      </c>
      <c r="L276">
        <f>IF(ISNUMBER(SEARCH(Table1[[#This Row],[their_ent_2]],Table1[[#This Row],[my_ent_2]])), 1, 0)</f>
        <v>0</v>
      </c>
    </row>
    <row r="277" spans="1:12" hidden="1" x14ac:dyDescent="0.3">
      <c r="A277" t="s">
        <v>958</v>
      </c>
      <c r="B277" t="s">
        <v>959</v>
      </c>
      <c r="C277" t="s">
        <v>959</v>
      </c>
      <c r="D277" t="s">
        <v>54</v>
      </c>
      <c r="E277" t="s">
        <v>307</v>
      </c>
      <c r="F277">
        <v>0</v>
      </c>
      <c r="G277">
        <v>275</v>
      </c>
      <c r="H277">
        <f>IF(Table1[[#This Row],[my_ent_1]]=Table1[[#This Row],[their_ent_1]], 1, 0)</f>
        <v>1</v>
      </c>
      <c r="I277">
        <f>IF(Table1[[#This Row],[my_ent_2]]=Table1[[#This Row],[their_ent_2]], 1, 0)</f>
        <v>0</v>
      </c>
      <c r="J277">
        <f>IF(Table1[[#This Row],[same_1]]=1 &amp; Table1[[#This Row],[same_2]]=1, 1, 0)</f>
        <v>0</v>
      </c>
      <c r="K277">
        <f>IF(ISNUMBER(SEARCH(Table1[[#This Row],[their_ent_1]],Table1[[#This Row],[my_ent_1]])), 1, 0)</f>
        <v>1</v>
      </c>
      <c r="L277">
        <f>IF(ISNUMBER(SEARCH(Table1[[#This Row],[their_ent_2]],Table1[[#This Row],[my_ent_2]])), 1, 0)</f>
        <v>0</v>
      </c>
    </row>
    <row r="278" spans="1:12" hidden="1" x14ac:dyDescent="0.3">
      <c r="A278" t="s">
        <v>960</v>
      </c>
      <c r="B278" t="s">
        <v>961</v>
      </c>
      <c r="C278" t="s">
        <v>94</v>
      </c>
      <c r="D278" t="s">
        <v>962</v>
      </c>
      <c r="E278" t="s">
        <v>963</v>
      </c>
      <c r="F278">
        <v>0</v>
      </c>
      <c r="G278">
        <v>276</v>
      </c>
      <c r="H278">
        <f>IF(Table1[[#This Row],[my_ent_1]]=Table1[[#This Row],[their_ent_1]], 1, 0)</f>
        <v>0</v>
      </c>
      <c r="I278">
        <f>IF(Table1[[#This Row],[my_ent_2]]=Table1[[#This Row],[their_ent_2]], 1, 0)</f>
        <v>0</v>
      </c>
      <c r="J278">
        <f>IF(Table1[[#This Row],[same_1]]=1 &amp; Table1[[#This Row],[same_2]]=1, 1, 0)</f>
        <v>0</v>
      </c>
      <c r="K278">
        <f>IF(ISNUMBER(SEARCH(Table1[[#This Row],[their_ent_1]],Table1[[#This Row],[my_ent_1]])), 1, 0)</f>
        <v>0</v>
      </c>
      <c r="L278">
        <f>IF(ISNUMBER(SEARCH(Table1[[#This Row],[their_ent_2]],Table1[[#This Row],[my_ent_2]])), 1, 0)</f>
        <v>0</v>
      </c>
    </row>
    <row r="279" spans="1:12" hidden="1" x14ac:dyDescent="0.3">
      <c r="A279" t="s">
        <v>964</v>
      </c>
      <c r="B279" t="s">
        <v>965</v>
      </c>
      <c r="C279" t="s">
        <v>966</v>
      </c>
      <c r="D279" t="s">
        <v>54</v>
      </c>
      <c r="E279" t="s">
        <v>967</v>
      </c>
      <c r="F279">
        <v>0</v>
      </c>
      <c r="G279">
        <v>277</v>
      </c>
      <c r="H279">
        <f>IF(Table1[[#This Row],[my_ent_1]]=Table1[[#This Row],[their_ent_1]], 1, 0)</f>
        <v>0</v>
      </c>
      <c r="I279">
        <f>IF(Table1[[#This Row],[my_ent_2]]=Table1[[#This Row],[their_ent_2]], 1, 0)</f>
        <v>0</v>
      </c>
      <c r="J279">
        <f>IF(Table1[[#This Row],[same_1]]=1 &amp; Table1[[#This Row],[same_2]]=1, 1, 0)</f>
        <v>0</v>
      </c>
      <c r="K279">
        <f>IF(ISNUMBER(SEARCH(Table1[[#This Row],[their_ent_1]],Table1[[#This Row],[my_ent_1]])), 1, 0)</f>
        <v>0</v>
      </c>
      <c r="L279">
        <f>IF(ISNUMBER(SEARCH(Table1[[#This Row],[their_ent_2]],Table1[[#This Row],[my_ent_2]])), 1, 0)</f>
        <v>0</v>
      </c>
    </row>
    <row r="280" spans="1:12" hidden="1" x14ac:dyDescent="0.3">
      <c r="A280" t="s">
        <v>968</v>
      </c>
      <c r="B280" t="s">
        <v>969</v>
      </c>
      <c r="C280" t="s">
        <v>969</v>
      </c>
      <c r="D280" t="s">
        <v>54</v>
      </c>
      <c r="E280" t="s">
        <v>970</v>
      </c>
      <c r="F280">
        <v>0</v>
      </c>
      <c r="G280">
        <v>278</v>
      </c>
      <c r="H280">
        <f>IF(Table1[[#This Row],[my_ent_1]]=Table1[[#This Row],[their_ent_1]], 1, 0)</f>
        <v>1</v>
      </c>
      <c r="I280">
        <f>IF(Table1[[#This Row],[my_ent_2]]=Table1[[#This Row],[their_ent_2]], 1, 0)</f>
        <v>0</v>
      </c>
      <c r="J280">
        <f>IF(Table1[[#This Row],[same_1]]=1 &amp; Table1[[#This Row],[same_2]]=1, 1, 0)</f>
        <v>0</v>
      </c>
      <c r="K280">
        <f>IF(ISNUMBER(SEARCH(Table1[[#This Row],[their_ent_1]],Table1[[#This Row],[my_ent_1]])), 1, 0)</f>
        <v>1</v>
      </c>
      <c r="L280">
        <f>IF(ISNUMBER(SEARCH(Table1[[#This Row],[their_ent_2]],Table1[[#This Row],[my_ent_2]])), 1, 0)</f>
        <v>0</v>
      </c>
    </row>
    <row r="281" spans="1:12" hidden="1" x14ac:dyDescent="0.3">
      <c r="A281" t="s">
        <v>971</v>
      </c>
      <c r="B281" t="s">
        <v>972</v>
      </c>
      <c r="C281" t="s">
        <v>80</v>
      </c>
      <c r="D281" t="s">
        <v>973</v>
      </c>
      <c r="E281" t="s">
        <v>973</v>
      </c>
      <c r="F281">
        <v>0</v>
      </c>
      <c r="G281">
        <v>279</v>
      </c>
      <c r="H281">
        <f>IF(Table1[[#This Row],[my_ent_1]]=Table1[[#This Row],[their_ent_1]], 1, 0)</f>
        <v>0</v>
      </c>
      <c r="I281">
        <f>IF(Table1[[#This Row],[my_ent_2]]=Table1[[#This Row],[their_ent_2]], 1, 0)</f>
        <v>1</v>
      </c>
      <c r="J281">
        <f>IF(Table1[[#This Row],[same_1]]=1 &amp; Table1[[#This Row],[same_2]]=1, 1, 0)</f>
        <v>0</v>
      </c>
      <c r="K281">
        <f>IF(ISNUMBER(SEARCH(Table1[[#This Row],[their_ent_1]],Table1[[#This Row],[my_ent_1]])), 1, 0)</f>
        <v>0</v>
      </c>
      <c r="L281">
        <f>IF(ISNUMBER(SEARCH(Table1[[#This Row],[their_ent_2]],Table1[[#This Row],[my_ent_2]])), 1, 0)</f>
        <v>1</v>
      </c>
    </row>
    <row r="282" spans="1:12" hidden="1" x14ac:dyDescent="0.3">
      <c r="A282" t="s">
        <v>974</v>
      </c>
      <c r="B282" t="s">
        <v>975</v>
      </c>
      <c r="C282" t="s">
        <v>976</v>
      </c>
      <c r="D282" t="s">
        <v>977</v>
      </c>
      <c r="E282" t="s">
        <v>978</v>
      </c>
      <c r="F282">
        <v>0</v>
      </c>
      <c r="G282">
        <v>280</v>
      </c>
      <c r="H282">
        <f>IF(Table1[[#This Row],[my_ent_1]]=Table1[[#This Row],[their_ent_1]], 1, 0)</f>
        <v>0</v>
      </c>
      <c r="I282">
        <f>IF(Table1[[#This Row],[my_ent_2]]=Table1[[#This Row],[their_ent_2]], 1, 0)</f>
        <v>0</v>
      </c>
      <c r="J282">
        <f>IF(Table1[[#This Row],[same_1]]=1 &amp; Table1[[#This Row],[same_2]]=1, 1, 0)</f>
        <v>0</v>
      </c>
      <c r="K282">
        <f>IF(ISNUMBER(SEARCH(Table1[[#This Row],[their_ent_1]],Table1[[#This Row],[my_ent_1]])), 1, 0)</f>
        <v>0</v>
      </c>
      <c r="L282">
        <f>IF(ISNUMBER(SEARCH(Table1[[#This Row],[their_ent_2]],Table1[[#This Row],[my_ent_2]])), 1, 0)</f>
        <v>0</v>
      </c>
    </row>
    <row r="283" spans="1:12" hidden="1" x14ac:dyDescent="0.3">
      <c r="A283" t="s">
        <v>979</v>
      </c>
      <c r="B283" t="s">
        <v>28</v>
      </c>
      <c r="C283" t="s">
        <v>980</v>
      </c>
      <c r="D283" t="s">
        <v>34</v>
      </c>
      <c r="E283" t="s">
        <v>981</v>
      </c>
      <c r="F283">
        <v>0</v>
      </c>
      <c r="G283">
        <v>281</v>
      </c>
      <c r="H283">
        <f>IF(Table1[[#This Row],[my_ent_1]]=Table1[[#This Row],[their_ent_1]], 1, 0)</f>
        <v>0</v>
      </c>
      <c r="I283">
        <f>IF(Table1[[#This Row],[my_ent_2]]=Table1[[#This Row],[their_ent_2]], 1, 0)</f>
        <v>0</v>
      </c>
      <c r="J283">
        <f>IF(Table1[[#This Row],[same_1]]=1 &amp; Table1[[#This Row],[same_2]]=1, 1, 0)</f>
        <v>0</v>
      </c>
      <c r="K283">
        <f>IF(ISNUMBER(SEARCH(Table1[[#This Row],[their_ent_1]],Table1[[#This Row],[my_ent_1]])), 1, 0)</f>
        <v>0</v>
      </c>
      <c r="L283">
        <f>IF(ISNUMBER(SEARCH(Table1[[#This Row],[their_ent_2]],Table1[[#This Row],[my_ent_2]])), 1, 0)</f>
        <v>0</v>
      </c>
    </row>
    <row r="284" spans="1:12" hidden="1" x14ac:dyDescent="0.3">
      <c r="A284" t="s">
        <v>982</v>
      </c>
      <c r="B284" t="s">
        <v>983</v>
      </c>
      <c r="C284" t="s">
        <v>983</v>
      </c>
      <c r="D284" t="s">
        <v>984</v>
      </c>
      <c r="E284" t="s">
        <v>985</v>
      </c>
      <c r="F284">
        <v>0</v>
      </c>
      <c r="G284">
        <v>282</v>
      </c>
      <c r="H284">
        <f>IF(Table1[[#This Row],[my_ent_1]]=Table1[[#This Row],[their_ent_1]], 1, 0)</f>
        <v>1</v>
      </c>
      <c r="I284">
        <f>IF(Table1[[#This Row],[my_ent_2]]=Table1[[#This Row],[their_ent_2]], 1, 0)</f>
        <v>0</v>
      </c>
      <c r="J284">
        <f>IF(Table1[[#This Row],[same_1]]=1 &amp; Table1[[#This Row],[same_2]]=1, 1, 0)</f>
        <v>0</v>
      </c>
      <c r="K284">
        <f>IF(ISNUMBER(SEARCH(Table1[[#This Row],[their_ent_1]],Table1[[#This Row],[my_ent_1]])), 1, 0)</f>
        <v>1</v>
      </c>
      <c r="L284">
        <f>IF(ISNUMBER(SEARCH(Table1[[#This Row],[their_ent_2]],Table1[[#This Row],[my_ent_2]])), 1, 0)</f>
        <v>0</v>
      </c>
    </row>
    <row r="285" spans="1:12" hidden="1" x14ac:dyDescent="0.3">
      <c r="A285" t="s">
        <v>986</v>
      </c>
      <c r="B285" t="s">
        <v>987</v>
      </c>
      <c r="C285" t="s">
        <v>988</v>
      </c>
      <c r="D285" t="s">
        <v>989</v>
      </c>
      <c r="E285" t="s">
        <v>990</v>
      </c>
      <c r="F285">
        <v>0</v>
      </c>
      <c r="G285">
        <v>283</v>
      </c>
      <c r="H285">
        <f>IF(Table1[[#This Row],[my_ent_1]]=Table1[[#This Row],[their_ent_1]], 1, 0)</f>
        <v>0</v>
      </c>
      <c r="I285">
        <f>IF(Table1[[#This Row],[my_ent_2]]=Table1[[#This Row],[their_ent_2]], 1, 0)</f>
        <v>0</v>
      </c>
      <c r="J285">
        <f>IF(Table1[[#This Row],[same_1]]=1 &amp; Table1[[#This Row],[same_2]]=1, 1, 0)</f>
        <v>0</v>
      </c>
      <c r="K285">
        <f>IF(ISNUMBER(SEARCH(Table1[[#This Row],[their_ent_1]],Table1[[#This Row],[my_ent_1]])), 1, 0)</f>
        <v>0</v>
      </c>
      <c r="L285">
        <f>IF(ISNUMBER(SEARCH(Table1[[#This Row],[their_ent_2]],Table1[[#This Row],[my_ent_2]])), 1, 0)</f>
        <v>0</v>
      </c>
    </row>
    <row r="286" spans="1:12" x14ac:dyDescent="0.3">
      <c r="A286" t="s">
        <v>991</v>
      </c>
      <c r="B286" t="s">
        <v>992</v>
      </c>
      <c r="C286" t="s">
        <v>993</v>
      </c>
      <c r="D286" t="s">
        <v>994</v>
      </c>
      <c r="E286" t="s">
        <v>994</v>
      </c>
      <c r="F286">
        <v>0</v>
      </c>
      <c r="G286">
        <v>284</v>
      </c>
      <c r="H286">
        <f>IF(Table1[[#This Row],[my_ent_1]]=Table1[[#This Row],[their_ent_1]], 1, 0)</f>
        <v>0</v>
      </c>
      <c r="I286">
        <f>IF(Table1[[#This Row],[my_ent_2]]=Table1[[#This Row],[their_ent_2]], 1, 0)</f>
        <v>1</v>
      </c>
      <c r="J286">
        <f>IF(Table1[[#This Row],[same_1]]=1 &amp; Table1[[#This Row],[same_2]]=1, 1, 0)</f>
        <v>0</v>
      </c>
      <c r="K286">
        <f>IF(ISNUMBER(SEARCH(Table1[[#This Row],[their_ent_1]],Table1[[#This Row],[my_ent_1]])), 1, 0)</f>
        <v>1</v>
      </c>
      <c r="L286">
        <f>IF(ISNUMBER(SEARCH(Table1[[#This Row],[their_ent_2]],Table1[[#This Row],[my_ent_2]])), 1, 0)</f>
        <v>1</v>
      </c>
    </row>
    <row r="287" spans="1:12" hidden="1" x14ac:dyDescent="0.3">
      <c r="A287" t="s">
        <v>995</v>
      </c>
      <c r="B287" t="s">
        <v>996</v>
      </c>
      <c r="C287" t="s">
        <v>997</v>
      </c>
      <c r="D287" t="s">
        <v>998</v>
      </c>
      <c r="E287" t="s">
        <v>996</v>
      </c>
      <c r="F287">
        <v>0</v>
      </c>
      <c r="G287">
        <v>285</v>
      </c>
      <c r="H287">
        <f>IF(Table1[[#This Row],[my_ent_1]]=Table1[[#This Row],[their_ent_1]], 1, 0)</f>
        <v>0</v>
      </c>
      <c r="I287">
        <f>IF(Table1[[#This Row],[my_ent_2]]=Table1[[#This Row],[their_ent_2]], 1, 0)</f>
        <v>0</v>
      </c>
      <c r="J287">
        <f>IF(Table1[[#This Row],[same_1]]=1 &amp; Table1[[#This Row],[same_2]]=1, 1, 0)</f>
        <v>0</v>
      </c>
      <c r="K287">
        <f>IF(ISNUMBER(SEARCH(Table1[[#This Row],[their_ent_1]],Table1[[#This Row],[my_ent_1]])), 1, 0)</f>
        <v>0</v>
      </c>
      <c r="L287">
        <f>IF(ISNUMBER(SEARCH(Table1[[#This Row],[their_ent_2]],Table1[[#This Row],[my_ent_2]])), 1, 0)</f>
        <v>0</v>
      </c>
    </row>
    <row r="288" spans="1:12" hidden="1" x14ac:dyDescent="0.3">
      <c r="A288" t="s">
        <v>999</v>
      </c>
      <c r="B288" t="s">
        <v>1000</v>
      </c>
      <c r="C288" t="s">
        <v>1001</v>
      </c>
      <c r="D288" t="s">
        <v>1002</v>
      </c>
      <c r="E288" t="s">
        <v>1003</v>
      </c>
      <c r="F288">
        <v>0</v>
      </c>
      <c r="G288">
        <v>286</v>
      </c>
      <c r="H288">
        <f>IF(Table1[[#This Row],[my_ent_1]]=Table1[[#This Row],[their_ent_1]], 1, 0)</f>
        <v>0</v>
      </c>
      <c r="I288">
        <f>IF(Table1[[#This Row],[my_ent_2]]=Table1[[#This Row],[their_ent_2]], 1, 0)</f>
        <v>0</v>
      </c>
      <c r="J288">
        <f>IF(Table1[[#This Row],[same_1]]=1 &amp; Table1[[#This Row],[same_2]]=1, 1, 0)</f>
        <v>0</v>
      </c>
      <c r="K288">
        <f>IF(ISNUMBER(SEARCH(Table1[[#This Row],[their_ent_1]],Table1[[#This Row],[my_ent_1]])), 1, 0)</f>
        <v>1</v>
      </c>
      <c r="L288">
        <f>IF(ISNUMBER(SEARCH(Table1[[#This Row],[their_ent_2]],Table1[[#This Row],[my_ent_2]])), 1, 0)</f>
        <v>0</v>
      </c>
    </row>
    <row r="289" spans="1:12" x14ac:dyDescent="0.3">
      <c r="A289" t="s">
        <v>1004</v>
      </c>
      <c r="B289" t="s">
        <v>1005</v>
      </c>
      <c r="C289" t="s">
        <v>1006</v>
      </c>
      <c r="D289" t="s">
        <v>1007</v>
      </c>
      <c r="E289" t="s">
        <v>1007</v>
      </c>
      <c r="F289">
        <v>0</v>
      </c>
      <c r="G289">
        <v>287</v>
      </c>
      <c r="H289">
        <f>IF(Table1[[#This Row],[my_ent_1]]=Table1[[#This Row],[their_ent_1]], 1, 0)</f>
        <v>0</v>
      </c>
      <c r="I289">
        <f>IF(Table1[[#This Row],[my_ent_2]]=Table1[[#This Row],[their_ent_2]], 1, 0)</f>
        <v>1</v>
      </c>
      <c r="J289">
        <f>IF(Table1[[#This Row],[same_1]]=1 &amp; Table1[[#This Row],[same_2]]=1, 1, 0)</f>
        <v>0</v>
      </c>
      <c r="K289">
        <f>IF(ISNUMBER(SEARCH(Table1[[#This Row],[their_ent_1]],Table1[[#This Row],[my_ent_1]])), 1, 0)</f>
        <v>1</v>
      </c>
      <c r="L289">
        <f>IF(ISNUMBER(SEARCH(Table1[[#This Row],[their_ent_2]],Table1[[#This Row],[my_ent_2]])), 1, 0)</f>
        <v>1</v>
      </c>
    </row>
    <row r="290" spans="1:12" x14ac:dyDescent="0.3">
      <c r="A290" t="s">
        <v>1008</v>
      </c>
      <c r="B290" t="s">
        <v>1009</v>
      </c>
      <c r="C290" t="s">
        <v>1010</v>
      </c>
      <c r="D290" t="s">
        <v>470</v>
      </c>
      <c r="E290" t="s">
        <v>470</v>
      </c>
      <c r="F290">
        <v>0</v>
      </c>
      <c r="G290">
        <v>288</v>
      </c>
      <c r="H290">
        <f>IF(Table1[[#This Row],[my_ent_1]]=Table1[[#This Row],[their_ent_1]], 1, 0)</f>
        <v>0</v>
      </c>
      <c r="I290">
        <f>IF(Table1[[#This Row],[my_ent_2]]=Table1[[#This Row],[their_ent_2]], 1, 0)</f>
        <v>1</v>
      </c>
      <c r="J290">
        <f>IF(Table1[[#This Row],[same_1]]=1 &amp; Table1[[#This Row],[same_2]]=1, 1, 0)</f>
        <v>0</v>
      </c>
      <c r="K290">
        <f>IF(ISNUMBER(SEARCH(Table1[[#This Row],[their_ent_1]],Table1[[#This Row],[my_ent_1]])), 1, 0)</f>
        <v>1</v>
      </c>
      <c r="L290">
        <f>IF(ISNUMBER(SEARCH(Table1[[#This Row],[their_ent_2]],Table1[[#This Row],[my_ent_2]])), 1, 0)</f>
        <v>1</v>
      </c>
    </row>
    <row r="291" spans="1:12" hidden="1" x14ac:dyDescent="0.3">
      <c r="A291" t="s">
        <v>1011</v>
      </c>
      <c r="B291" t="s">
        <v>1012</v>
      </c>
      <c r="C291" t="s">
        <v>1012</v>
      </c>
      <c r="D291" t="s">
        <v>49</v>
      </c>
      <c r="E291" t="s">
        <v>599</v>
      </c>
      <c r="F291">
        <v>0</v>
      </c>
      <c r="G291">
        <v>289</v>
      </c>
      <c r="H291">
        <f>IF(Table1[[#This Row],[my_ent_1]]=Table1[[#This Row],[their_ent_1]], 1, 0)</f>
        <v>1</v>
      </c>
      <c r="I291">
        <f>IF(Table1[[#This Row],[my_ent_2]]=Table1[[#This Row],[their_ent_2]], 1, 0)</f>
        <v>0</v>
      </c>
      <c r="J291">
        <f>IF(Table1[[#This Row],[same_1]]=1 &amp; Table1[[#This Row],[same_2]]=1, 1, 0)</f>
        <v>0</v>
      </c>
      <c r="K291">
        <f>IF(ISNUMBER(SEARCH(Table1[[#This Row],[their_ent_1]],Table1[[#This Row],[my_ent_1]])), 1, 0)</f>
        <v>1</v>
      </c>
      <c r="L291">
        <f>IF(ISNUMBER(SEARCH(Table1[[#This Row],[their_ent_2]],Table1[[#This Row],[my_ent_2]])), 1, 0)</f>
        <v>0</v>
      </c>
    </row>
    <row r="292" spans="1:12" hidden="1" x14ac:dyDescent="0.3">
      <c r="A292" t="s">
        <v>1013</v>
      </c>
      <c r="B292" t="s">
        <v>1014</v>
      </c>
      <c r="C292" t="s">
        <v>752</v>
      </c>
      <c r="D292" t="s">
        <v>51</v>
      </c>
      <c r="E292" t="s">
        <v>884</v>
      </c>
      <c r="F292">
        <v>0</v>
      </c>
      <c r="G292">
        <v>290</v>
      </c>
      <c r="H292">
        <f>IF(Table1[[#This Row],[my_ent_1]]=Table1[[#This Row],[their_ent_1]], 1, 0)</f>
        <v>0</v>
      </c>
      <c r="I292">
        <f>IF(Table1[[#This Row],[my_ent_2]]=Table1[[#This Row],[their_ent_2]], 1, 0)</f>
        <v>0</v>
      </c>
      <c r="J292">
        <f>IF(Table1[[#This Row],[same_1]]=1 &amp; Table1[[#This Row],[same_2]]=1, 1, 0)</f>
        <v>0</v>
      </c>
      <c r="K292">
        <f>IF(ISNUMBER(SEARCH(Table1[[#This Row],[their_ent_1]],Table1[[#This Row],[my_ent_1]])), 1, 0)</f>
        <v>1</v>
      </c>
      <c r="L292">
        <f>IF(ISNUMBER(SEARCH(Table1[[#This Row],[their_ent_2]],Table1[[#This Row],[my_ent_2]])), 1, 0)</f>
        <v>0</v>
      </c>
    </row>
    <row r="293" spans="1:12" hidden="1" x14ac:dyDescent="0.3">
      <c r="A293" t="s">
        <v>1015</v>
      </c>
      <c r="B293" t="s">
        <v>106</v>
      </c>
      <c r="C293" t="s">
        <v>1016</v>
      </c>
      <c r="D293" t="s">
        <v>1017</v>
      </c>
      <c r="E293" t="s">
        <v>1018</v>
      </c>
      <c r="F293">
        <v>0</v>
      </c>
      <c r="G293">
        <v>291</v>
      </c>
      <c r="H293">
        <f>IF(Table1[[#This Row],[my_ent_1]]=Table1[[#This Row],[their_ent_1]], 1, 0)</f>
        <v>0</v>
      </c>
      <c r="I293">
        <f>IF(Table1[[#This Row],[my_ent_2]]=Table1[[#This Row],[their_ent_2]], 1, 0)</f>
        <v>0</v>
      </c>
      <c r="J293">
        <f>IF(Table1[[#This Row],[same_1]]=1 &amp; Table1[[#This Row],[same_2]]=1, 1, 0)</f>
        <v>0</v>
      </c>
      <c r="K293">
        <f>IF(ISNUMBER(SEARCH(Table1[[#This Row],[their_ent_1]],Table1[[#This Row],[my_ent_1]])), 1, 0)</f>
        <v>0</v>
      </c>
      <c r="L293">
        <f>IF(ISNUMBER(SEARCH(Table1[[#This Row],[their_ent_2]],Table1[[#This Row],[my_ent_2]])), 1, 0)</f>
        <v>0</v>
      </c>
    </row>
    <row r="294" spans="1:12" hidden="1" x14ac:dyDescent="0.3">
      <c r="A294" t="s">
        <v>1019</v>
      </c>
      <c r="B294" t="s">
        <v>518</v>
      </c>
      <c r="C294" t="s">
        <v>382</v>
      </c>
      <c r="D294" t="s">
        <v>1020</v>
      </c>
      <c r="E294" t="s">
        <v>1021</v>
      </c>
      <c r="F294">
        <v>0</v>
      </c>
      <c r="G294">
        <v>292</v>
      </c>
      <c r="H294">
        <f>IF(Table1[[#This Row],[my_ent_1]]=Table1[[#This Row],[their_ent_1]], 1, 0)</f>
        <v>0</v>
      </c>
      <c r="I294">
        <f>IF(Table1[[#This Row],[my_ent_2]]=Table1[[#This Row],[their_ent_2]], 1, 0)</f>
        <v>0</v>
      </c>
      <c r="J294">
        <f>IF(Table1[[#This Row],[same_1]]=1 &amp; Table1[[#This Row],[same_2]]=1, 1, 0)</f>
        <v>0</v>
      </c>
      <c r="K294">
        <f>IF(ISNUMBER(SEARCH(Table1[[#This Row],[their_ent_1]],Table1[[#This Row],[my_ent_1]])), 1, 0)</f>
        <v>1</v>
      </c>
      <c r="L294">
        <f>IF(ISNUMBER(SEARCH(Table1[[#This Row],[their_ent_2]],Table1[[#This Row],[my_ent_2]])), 1, 0)</f>
        <v>0</v>
      </c>
    </row>
    <row r="295" spans="1:12" hidden="1" x14ac:dyDescent="0.3">
      <c r="A295" t="s">
        <v>1022</v>
      </c>
      <c r="B295" t="s">
        <v>467</v>
      </c>
      <c r="C295" t="s">
        <v>507</v>
      </c>
      <c r="D295" t="s">
        <v>290</v>
      </c>
      <c r="E295" t="s">
        <v>8</v>
      </c>
      <c r="F295">
        <v>0</v>
      </c>
      <c r="G295">
        <v>293</v>
      </c>
      <c r="H295">
        <f>IF(Table1[[#This Row],[my_ent_1]]=Table1[[#This Row],[their_ent_1]], 1, 0)</f>
        <v>0</v>
      </c>
      <c r="I295">
        <f>IF(Table1[[#This Row],[my_ent_2]]=Table1[[#This Row],[their_ent_2]], 1, 0)</f>
        <v>0</v>
      </c>
      <c r="J295">
        <f>IF(Table1[[#This Row],[same_1]]=1 &amp; Table1[[#This Row],[same_2]]=1, 1, 0)</f>
        <v>0</v>
      </c>
      <c r="K295">
        <f>IF(ISNUMBER(SEARCH(Table1[[#This Row],[their_ent_1]],Table1[[#This Row],[my_ent_1]])), 1, 0)</f>
        <v>0</v>
      </c>
      <c r="L295">
        <f>IF(ISNUMBER(SEARCH(Table1[[#This Row],[their_ent_2]],Table1[[#This Row],[my_ent_2]])), 1, 0)</f>
        <v>0</v>
      </c>
    </row>
    <row r="296" spans="1:12" x14ac:dyDescent="0.3">
      <c r="A296" t="s">
        <v>1023</v>
      </c>
      <c r="B296" t="s">
        <v>1024</v>
      </c>
      <c r="C296" t="s">
        <v>1025</v>
      </c>
      <c r="D296" t="s">
        <v>1026</v>
      </c>
      <c r="E296" t="s">
        <v>1026</v>
      </c>
      <c r="F296">
        <v>0</v>
      </c>
      <c r="G296">
        <v>294</v>
      </c>
      <c r="H296">
        <f>IF(Table1[[#This Row],[my_ent_1]]=Table1[[#This Row],[their_ent_1]], 1, 0)</f>
        <v>0</v>
      </c>
      <c r="I296">
        <f>IF(Table1[[#This Row],[my_ent_2]]=Table1[[#This Row],[their_ent_2]], 1, 0)</f>
        <v>1</v>
      </c>
      <c r="J296">
        <f>IF(Table1[[#This Row],[same_1]]=1 &amp; Table1[[#This Row],[same_2]]=1, 1, 0)</f>
        <v>0</v>
      </c>
      <c r="K296">
        <f>IF(ISNUMBER(SEARCH(Table1[[#This Row],[their_ent_1]],Table1[[#This Row],[my_ent_1]])), 1, 0)</f>
        <v>1</v>
      </c>
      <c r="L296">
        <f>IF(ISNUMBER(SEARCH(Table1[[#This Row],[their_ent_2]],Table1[[#This Row],[my_ent_2]])), 1, 0)</f>
        <v>1</v>
      </c>
    </row>
    <row r="297" spans="1:12" hidden="1" x14ac:dyDescent="0.3">
      <c r="A297" t="s">
        <v>1027</v>
      </c>
      <c r="B297" t="s">
        <v>1028</v>
      </c>
      <c r="C297" t="s">
        <v>34</v>
      </c>
      <c r="D297" t="s">
        <v>7</v>
      </c>
      <c r="E297" t="s">
        <v>165</v>
      </c>
      <c r="F297">
        <v>0</v>
      </c>
      <c r="G297">
        <v>295</v>
      </c>
      <c r="H297">
        <f>IF(Table1[[#This Row],[my_ent_1]]=Table1[[#This Row],[their_ent_1]], 1, 0)</f>
        <v>0</v>
      </c>
      <c r="I297">
        <f>IF(Table1[[#This Row],[my_ent_2]]=Table1[[#This Row],[their_ent_2]], 1, 0)</f>
        <v>0</v>
      </c>
      <c r="J297">
        <f>IF(Table1[[#This Row],[same_1]]=1 &amp; Table1[[#This Row],[same_2]]=1, 1, 0)</f>
        <v>0</v>
      </c>
      <c r="K297">
        <f>IF(ISNUMBER(SEARCH(Table1[[#This Row],[their_ent_1]],Table1[[#This Row],[my_ent_1]])), 1, 0)</f>
        <v>0</v>
      </c>
      <c r="L297">
        <f>IF(ISNUMBER(SEARCH(Table1[[#This Row],[their_ent_2]],Table1[[#This Row],[my_ent_2]])), 1, 0)</f>
        <v>0</v>
      </c>
    </row>
    <row r="298" spans="1:12" hidden="1" x14ac:dyDescent="0.3">
      <c r="A298" t="s">
        <v>1029</v>
      </c>
      <c r="B298" t="s">
        <v>1030</v>
      </c>
      <c r="C298" t="s">
        <v>1031</v>
      </c>
      <c r="D298" t="s">
        <v>7</v>
      </c>
      <c r="E298" t="s">
        <v>7</v>
      </c>
      <c r="F298">
        <v>0</v>
      </c>
      <c r="G298">
        <v>296</v>
      </c>
      <c r="H298">
        <f>IF(Table1[[#This Row],[my_ent_1]]=Table1[[#This Row],[their_ent_1]], 1, 0)</f>
        <v>0</v>
      </c>
      <c r="I298">
        <f>IF(Table1[[#This Row],[my_ent_2]]=Table1[[#This Row],[their_ent_2]], 1, 0)</f>
        <v>1</v>
      </c>
      <c r="J298">
        <f>IF(Table1[[#This Row],[same_1]]=1 &amp; Table1[[#This Row],[same_2]]=1, 1, 0)</f>
        <v>0</v>
      </c>
      <c r="K298">
        <f>IF(ISNUMBER(SEARCH(Table1[[#This Row],[their_ent_1]],Table1[[#This Row],[my_ent_1]])), 1, 0)</f>
        <v>0</v>
      </c>
      <c r="L298">
        <f>IF(ISNUMBER(SEARCH(Table1[[#This Row],[their_ent_2]],Table1[[#This Row],[my_ent_2]])), 1, 0)</f>
        <v>1</v>
      </c>
    </row>
    <row r="299" spans="1:12" hidden="1" x14ac:dyDescent="0.3">
      <c r="A299" t="s">
        <v>1032</v>
      </c>
      <c r="B299" t="s">
        <v>1033</v>
      </c>
      <c r="C299" t="s">
        <v>404</v>
      </c>
      <c r="D299" t="s">
        <v>1034</v>
      </c>
      <c r="E299" t="s">
        <v>611</v>
      </c>
      <c r="F299">
        <v>0</v>
      </c>
      <c r="G299">
        <v>297</v>
      </c>
      <c r="H299">
        <f>IF(Table1[[#This Row],[my_ent_1]]=Table1[[#This Row],[their_ent_1]], 1, 0)</f>
        <v>0</v>
      </c>
      <c r="I299">
        <f>IF(Table1[[#This Row],[my_ent_2]]=Table1[[#This Row],[their_ent_2]], 1, 0)</f>
        <v>0</v>
      </c>
      <c r="J299">
        <f>IF(Table1[[#This Row],[same_1]]=1 &amp; Table1[[#This Row],[same_2]]=1, 1, 0)</f>
        <v>0</v>
      </c>
      <c r="K299">
        <f>IF(ISNUMBER(SEARCH(Table1[[#This Row],[their_ent_1]],Table1[[#This Row],[my_ent_1]])), 1, 0)</f>
        <v>0</v>
      </c>
      <c r="L299">
        <f>IF(ISNUMBER(SEARCH(Table1[[#This Row],[their_ent_2]],Table1[[#This Row],[my_ent_2]])), 1, 0)</f>
        <v>1</v>
      </c>
    </row>
    <row r="300" spans="1:12" hidden="1" x14ac:dyDescent="0.3">
      <c r="A300" t="s">
        <v>1035</v>
      </c>
      <c r="B300" t="s">
        <v>1036</v>
      </c>
      <c r="C300" t="s">
        <v>1037</v>
      </c>
      <c r="D300" t="s">
        <v>1038</v>
      </c>
      <c r="E300" t="s">
        <v>1039</v>
      </c>
      <c r="F300">
        <v>0</v>
      </c>
      <c r="G300">
        <v>298</v>
      </c>
      <c r="H300">
        <f>IF(Table1[[#This Row],[my_ent_1]]=Table1[[#This Row],[their_ent_1]], 1, 0)</f>
        <v>0</v>
      </c>
      <c r="I300">
        <f>IF(Table1[[#This Row],[my_ent_2]]=Table1[[#This Row],[their_ent_2]], 1, 0)</f>
        <v>0</v>
      </c>
      <c r="J300">
        <f>IF(Table1[[#This Row],[same_1]]=1 &amp; Table1[[#This Row],[same_2]]=1, 1, 0)</f>
        <v>0</v>
      </c>
      <c r="K300">
        <f>IF(ISNUMBER(SEARCH(Table1[[#This Row],[their_ent_1]],Table1[[#This Row],[my_ent_1]])), 1, 0)</f>
        <v>0</v>
      </c>
      <c r="L300">
        <f>IF(ISNUMBER(SEARCH(Table1[[#This Row],[their_ent_2]],Table1[[#This Row],[my_ent_2]])), 1, 0)</f>
        <v>0</v>
      </c>
    </row>
    <row r="301" spans="1:12" hidden="1" x14ac:dyDescent="0.3">
      <c r="A301" t="s">
        <v>1040</v>
      </c>
      <c r="B301" t="s">
        <v>1041</v>
      </c>
      <c r="C301" t="s">
        <v>1042</v>
      </c>
      <c r="D301" t="s">
        <v>54</v>
      </c>
      <c r="E301" t="s">
        <v>1043</v>
      </c>
      <c r="F301">
        <v>0</v>
      </c>
      <c r="G301">
        <v>299</v>
      </c>
      <c r="H301">
        <f>IF(Table1[[#This Row],[my_ent_1]]=Table1[[#This Row],[their_ent_1]], 1, 0)</f>
        <v>0</v>
      </c>
      <c r="I301">
        <f>IF(Table1[[#This Row],[my_ent_2]]=Table1[[#This Row],[their_ent_2]], 1, 0)</f>
        <v>0</v>
      </c>
      <c r="J301">
        <f>IF(Table1[[#This Row],[same_1]]=1 &amp; Table1[[#This Row],[same_2]]=1, 1, 0)</f>
        <v>0</v>
      </c>
      <c r="K301">
        <f>IF(ISNUMBER(SEARCH(Table1[[#This Row],[their_ent_1]],Table1[[#This Row],[my_ent_1]])), 1, 0)</f>
        <v>1</v>
      </c>
      <c r="L301">
        <f>IF(ISNUMBER(SEARCH(Table1[[#This Row],[their_ent_2]],Table1[[#This Row],[my_ent_2]])), 1, 0)</f>
        <v>0</v>
      </c>
    </row>
    <row r="302" spans="1:12" x14ac:dyDescent="0.3">
      <c r="A302" t="s">
        <v>1044</v>
      </c>
      <c r="B302" t="s">
        <v>1045</v>
      </c>
      <c r="C302" t="s">
        <v>754</v>
      </c>
      <c r="D302" t="s">
        <v>1046</v>
      </c>
      <c r="E302" t="s">
        <v>1046</v>
      </c>
      <c r="F302">
        <v>0</v>
      </c>
      <c r="G302">
        <v>300</v>
      </c>
      <c r="H302">
        <f>IF(Table1[[#This Row],[my_ent_1]]=Table1[[#This Row],[their_ent_1]], 1, 0)</f>
        <v>0</v>
      </c>
      <c r="I302">
        <f>IF(Table1[[#This Row],[my_ent_2]]=Table1[[#This Row],[their_ent_2]], 1, 0)</f>
        <v>1</v>
      </c>
      <c r="J302">
        <f>IF(Table1[[#This Row],[same_1]]=1 &amp; Table1[[#This Row],[same_2]]=1, 1, 0)</f>
        <v>0</v>
      </c>
      <c r="K302">
        <f>IF(ISNUMBER(SEARCH(Table1[[#This Row],[their_ent_1]],Table1[[#This Row],[my_ent_1]])), 1, 0)</f>
        <v>1</v>
      </c>
      <c r="L302">
        <f>IF(ISNUMBER(SEARCH(Table1[[#This Row],[their_ent_2]],Table1[[#This Row],[my_ent_2]])), 1, 0)</f>
        <v>1</v>
      </c>
    </row>
    <row r="303" spans="1:12" hidden="1" x14ac:dyDescent="0.3">
      <c r="A303" t="s">
        <v>1047</v>
      </c>
      <c r="B303" t="s">
        <v>1048</v>
      </c>
      <c r="C303" t="s">
        <v>1049</v>
      </c>
      <c r="D303" t="s">
        <v>1050</v>
      </c>
      <c r="E303" t="s">
        <v>296</v>
      </c>
      <c r="F303">
        <v>0</v>
      </c>
      <c r="G303">
        <v>301</v>
      </c>
      <c r="H303">
        <f>IF(Table1[[#This Row],[my_ent_1]]=Table1[[#This Row],[their_ent_1]], 1, 0)</f>
        <v>0</v>
      </c>
      <c r="I303">
        <f>IF(Table1[[#This Row],[my_ent_2]]=Table1[[#This Row],[their_ent_2]], 1, 0)</f>
        <v>0</v>
      </c>
      <c r="J303">
        <f>IF(Table1[[#This Row],[same_1]]=1 &amp; Table1[[#This Row],[same_2]]=1, 1, 0)</f>
        <v>0</v>
      </c>
      <c r="K303">
        <f>IF(ISNUMBER(SEARCH(Table1[[#This Row],[their_ent_1]],Table1[[#This Row],[my_ent_1]])), 1, 0)</f>
        <v>0</v>
      </c>
      <c r="L303">
        <f>IF(ISNUMBER(SEARCH(Table1[[#This Row],[their_ent_2]],Table1[[#This Row],[my_ent_2]])), 1, 0)</f>
        <v>0</v>
      </c>
    </row>
    <row r="304" spans="1:12" hidden="1" x14ac:dyDescent="0.3">
      <c r="A304" t="s">
        <v>1051</v>
      </c>
      <c r="B304" t="s">
        <v>199</v>
      </c>
      <c r="C304" t="s">
        <v>199</v>
      </c>
      <c r="D304" t="s">
        <v>54</v>
      </c>
      <c r="E304" t="s">
        <v>98</v>
      </c>
      <c r="F304">
        <v>0</v>
      </c>
      <c r="G304">
        <v>302</v>
      </c>
      <c r="H304">
        <f>IF(Table1[[#This Row],[my_ent_1]]=Table1[[#This Row],[their_ent_1]], 1, 0)</f>
        <v>1</v>
      </c>
      <c r="I304">
        <f>IF(Table1[[#This Row],[my_ent_2]]=Table1[[#This Row],[their_ent_2]], 1, 0)</f>
        <v>0</v>
      </c>
      <c r="J304">
        <f>IF(Table1[[#This Row],[same_1]]=1 &amp; Table1[[#This Row],[same_2]]=1, 1, 0)</f>
        <v>0</v>
      </c>
      <c r="K304">
        <f>IF(ISNUMBER(SEARCH(Table1[[#This Row],[their_ent_1]],Table1[[#This Row],[my_ent_1]])), 1, 0)</f>
        <v>1</v>
      </c>
      <c r="L304">
        <f>IF(ISNUMBER(SEARCH(Table1[[#This Row],[their_ent_2]],Table1[[#This Row],[my_ent_2]])), 1, 0)</f>
        <v>0</v>
      </c>
    </row>
    <row r="305" spans="1:12" x14ac:dyDescent="0.3">
      <c r="A305" t="s">
        <v>1052</v>
      </c>
      <c r="B305" t="s">
        <v>1053</v>
      </c>
      <c r="C305" t="s">
        <v>1054</v>
      </c>
      <c r="D305" t="s">
        <v>1055</v>
      </c>
      <c r="E305" t="s">
        <v>1055</v>
      </c>
      <c r="F305">
        <v>0</v>
      </c>
      <c r="G305">
        <v>303</v>
      </c>
      <c r="H305">
        <f>IF(Table1[[#This Row],[my_ent_1]]=Table1[[#This Row],[their_ent_1]], 1, 0)</f>
        <v>0</v>
      </c>
      <c r="I305">
        <f>IF(Table1[[#This Row],[my_ent_2]]=Table1[[#This Row],[their_ent_2]], 1, 0)</f>
        <v>1</v>
      </c>
      <c r="J305">
        <f>IF(Table1[[#This Row],[same_1]]=1 &amp; Table1[[#This Row],[same_2]]=1, 1, 0)</f>
        <v>0</v>
      </c>
      <c r="K305">
        <f>IF(ISNUMBER(SEARCH(Table1[[#This Row],[their_ent_1]],Table1[[#This Row],[my_ent_1]])), 1, 0)</f>
        <v>1</v>
      </c>
      <c r="L305">
        <f>IF(ISNUMBER(SEARCH(Table1[[#This Row],[their_ent_2]],Table1[[#This Row],[my_ent_2]])), 1, 0)</f>
        <v>1</v>
      </c>
    </row>
    <row r="306" spans="1:12" hidden="1" x14ac:dyDescent="0.3">
      <c r="A306" t="s">
        <v>1056</v>
      </c>
      <c r="B306" t="s">
        <v>541</v>
      </c>
      <c r="C306" t="s">
        <v>1057</v>
      </c>
      <c r="D306" t="s">
        <v>1057</v>
      </c>
      <c r="E306" t="s">
        <v>1058</v>
      </c>
      <c r="F306">
        <v>0</v>
      </c>
      <c r="G306">
        <v>304</v>
      </c>
      <c r="H306">
        <f>IF(Table1[[#This Row],[my_ent_1]]=Table1[[#This Row],[their_ent_1]], 1, 0)</f>
        <v>0</v>
      </c>
      <c r="I306">
        <f>IF(Table1[[#This Row],[my_ent_2]]=Table1[[#This Row],[their_ent_2]], 1, 0)</f>
        <v>0</v>
      </c>
      <c r="J306">
        <f>IF(Table1[[#This Row],[same_1]]=1 &amp; Table1[[#This Row],[same_2]]=1, 1, 0)</f>
        <v>0</v>
      </c>
      <c r="K306">
        <f>IF(ISNUMBER(SEARCH(Table1[[#This Row],[their_ent_1]],Table1[[#This Row],[my_ent_1]])), 1, 0)</f>
        <v>0</v>
      </c>
      <c r="L306">
        <f>IF(ISNUMBER(SEARCH(Table1[[#This Row],[their_ent_2]],Table1[[#This Row],[my_ent_2]])), 1, 0)</f>
        <v>0</v>
      </c>
    </row>
    <row r="307" spans="1:12" hidden="1" x14ac:dyDescent="0.3">
      <c r="A307" t="s">
        <v>1059</v>
      </c>
      <c r="B307" t="s">
        <v>1060</v>
      </c>
      <c r="C307" t="s">
        <v>1061</v>
      </c>
      <c r="D307" t="s">
        <v>1062</v>
      </c>
      <c r="E307" t="s">
        <v>1063</v>
      </c>
      <c r="F307">
        <v>0</v>
      </c>
      <c r="G307">
        <v>305</v>
      </c>
      <c r="H307">
        <f>IF(Table1[[#This Row],[my_ent_1]]=Table1[[#This Row],[their_ent_1]], 1, 0)</f>
        <v>0</v>
      </c>
      <c r="I307">
        <f>IF(Table1[[#This Row],[my_ent_2]]=Table1[[#This Row],[their_ent_2]], 1, 0)</f>
        <v>0</v>
      </c>
      <c r="J307">
        <f>IF(Table1[[#This Row],[same_1]]=1 &amp; Table1[[#This Row],[same_2]]=1, 1, 0)</f>
        <v>0</v>
      </c>
      <c r="K307">
        <f>IF(ISNUMBER(SEARCH(Table1[[#This Row],[their_ent_1]],Table1[[#This Row],[my_ent_1]])), 1, 0)</f>
        <v>0</v>
      </c>
      <c r="L307">
        <f>IF(ISNUMBER(SEARCH(Table1[[#This Row],[their_ent_2]],Table1[[#This Row],[my_ent_2]])), 1, 0)</f>
        <v>0</v>
      </c>
    </row>
    <row r="308" spans="1:12" hidden="1" x14ac:dyDescent="0.3">
      <c r="A308" t="s">
        <v>1064</v>
      </c>
      <c r="B308" t="s">
        <v>1065</v>
      </c>
      <c r="C308" t="s">
        <v>1066</v>
      </c>
      <c r="D308" t="s">
        <v>1067</v>
      </c>
      <c r="E308" t="s">
        <v>1067</v>
      </c>
      <c r="F308">
        <v>0</v>
      </c>
      <c r="G308">
        <v>306</v>
      </c>
      <c r="H308">
        <f>IF(Table1[[#This Row],[my_ent_1]]=Table1[[#This Row],[their_ent_1]], 1, 0)</f>
        <v>0</v>
      </c>
      <c r="I308">
        <f>IF(Table1[[#This Row],[my_ent_2]]=Table1[[#This Row],[their_ent_2]], 1, 0)</f>
        <v>1</v>
      </c>
      <c r="J308">
        <f>IF(Table1[[#This Row],[same_1]]=1 &amp; Table1[[#This Row],[same_2]]=1, 1, 0)</f>
        <v>0</v>
      </c>
      <c r="K308">
        <f>IF(ISNUMBER(SEARCH(Table1[[#This Row],[their_ent_1]],Table1[[#This Row],[my_ent_1]])), 1, 0)</f>
        <v>0</v>
      </c>
      <c r="L308">
        <f>IF(ISNUMBER(SEARCH(Table1[[#This Row],[their_ent_2]],Table1[[#This Row],[my_ent_2]])), 1, 0)</f>
        <v>1</v>
      </c>
    </row>
    <row r="309" spans="1:12" hidden="1" x14ac:dyDescent="0.3">
      <c r="A309" t="s">
        <v>1068</v>
      </c>
      <c r="B309" t="s">
        <v>1069</v>
      </c>
      <c r="C309" t="s">
        <v>1070</v>
      </c>
      <c r="D309" t="s">
        <v>1071</v>
      </c>
      <c r="E309" t="s">
        <v>1069</v>
      </c>
      <c r="F309">
        <v>0</v>
      </c>
      <c r="G309">
        <v>307</v>
      </c>
      <c r="H309">
        <f>IF(Table1[[#This Row],[my_ent_1]]=Table1[[#This Row],[their_ent_1]], 1, 0)</f>
        <v>0</v>
      </c>
      <c r="I309">
        <f>IF(Table1[[#This Row],[my_ent_2]]=Table1[[#This Row],[their_ent_2]], 1, 0)</f>
        <v>0</v>
      </c>
      <c r="J309">
        <f>IF(Table1[[#This Row],[same_1]]=1 &amp; Table1[[#This Row],[same_2]]=1, 1, 0)</f>
        <v>0</v>
      </c>
      <c r="K309">
        <f>IF(ISNUMBER(SEARCH(Table1[[#This Row],[their_ent_1]],Table1[[#This Row],[my_ent_1]])), 1, 0)</f>
        <v>0</v>
      </c>
      <c r="L309">
        <f>IF(ISNUMBER(SEARCH(Table1[[#This Row],[their_ent_2]],Table1[[#This Row],[my_ent_2]])), 1, 0)</f>
        <v>0</v>
      </c>
    </row>
    <row r="310" spans="1:12" hidden="1" x14ac:dyDescent="0.3">
      <c r="A310" t="s">
        <v>1072</v>
      </c>
      <c r="B310" t="s">
        <v>51</v>
      </c>
      <c r="C310" t="s">
        <v>1073</v>
      </c>
      <c r="D310" t="s">
        <v>1074</v>
      </c>
      <c r="E310" t="s">
        <v>1074</v>
      </c>
      <c r="F310">
        <v>0</v>
      </c>
      <c r="G310">
        <v>308</v>
      </c>
      <c r="H310">
        <f>IF(Table1[[#This Row],[my_ent_1]]=Table1[[#This Row],[their_ent_1]], 1, 0)</f>
        <v>0</v>
      </c>
      <c r="I310">
        <f>IF(Table1[[#This Row],[my_ent_2]]=Table1[[#This Row],[their_ent_2]], 1, 0)</f>
        <v>1</v>
      </c>
      <c r="J310">
        <f>IF(Table1[[#This Row],[same_1]]=1 &amp; Table1[[#This Row],[same_2]]=1, 1, 0)</f>
        <v>0</v>
      </c>
      <c r="K310">
        <f>IF(ISNUMBER(SEARCH(Table1[[#This Row],[their_ent_1]],Table1[[#This Row],[my_ent_1]])), 1, 0)</f>
        <v>0</v>
      </c>
      <c r="L310">
        <f>IF(ISNUMBER(SEARCH(Table1[[#This Row],[their_ent_2]],Table1[[#This Row],[my_ent_2]])), 1, 0)</f>
        <v>1</v>
      </c>
    </row>
    <row r="311" spans="1:12" hidden="1" x14ac:dyDescent="0.3">
      <c r="A311" t="s">
        <v>1075</v>
      </c>
      <c r="B311" t="s">
        <v>1076</v>
      </c>
      <c r="C311" t="s">
        <v>1076</v>
      </c>
      <c r="D311" t="s">
        <v>708</v>
      </c>
      <c r="E311" t="s">
        <v>1077</v>
      </c>
      <c r="F311">
        <v>0</v>
      </c>
      <c r="G311">
        <v>309</v>
      </c>
      <c r="H311">
        <f>IF(Table1[[#This Row],[my_ent_1]]=Table1[[#This Row],[their_ent_1]], 1, 0)</f>
        <v>1</v>
      </c>
      <c r="I311">
        <f>IF(Table1[[#This Row],[my_ent_2]]=Table1[[#This Row],[their_ent_2]], 1, 0)</f>
        <v>0</v>
      </c>
      <c r="J311">
        <f>IF(Table1[[#This Row],[same_1]]=1 &amp; Table1[[#This Row],[same_2]]=1, 1, 0)</f>
        <v>0</v>
      </c>
      <c r="K311">
        <f>IF(ISNUMBER(SEARCH(Table1[[#This Row],[their_ent_1]],Table1[[#This Row],[my_ent_1]])), 1, 0)</f>
        <v>1</v>
      </c>
      <c r="L311">
        <f>IF(ISNUMBER(SEARCH(Table1[[#This Row],[their_ent_2]],Table1[[#This Row],[my_ent_2]])), 1, 0)</f>
        <v>0</v>
      </c>
    </row>
    <row r="312" spans="1:12" hidden="1" x14ac:dyDescent="0.3">
      <c r="A312" t="s">
        <v>1078</v>
      </c>
      <c r="B312" t="s">
        <v>1079</v>
      </c>
      <c r="C312" t="s">
        <v>1080</v>
      </c>
      <c r="D312" t="s">
        <v>1081</v>
      </c>
      <c r="E312" t="s">
        <v>1082</v>
      </c>
      <c r="F312">
        <v>0</v>
      </c>
      <c r="G312">
        <v>310</v>
      </c>
      <c r="H312">
        <f>IF(Table1[[#This Row],[my_ent_1]]=Table1[[#This Row],[their_ent_1]], 1, 0)</f>
        <v>0</v>
      </c>
      <c r="I312">
        <f>IF(Table1[[#This Row],[my_ent_2]]=Table1[[#This Row],[their_ent_2]], 1, 0)</f>
        <v>0</v>
      </c>
      <c r="J312">
        <f>IF(Table1[[#This Row],[same_1]]=1 &amp; Table1[[#This Row],[same_2]]=1, 1, 0)</f>
        <v>0</v>
      </c>
      <c r="K312">
        <f>IF(ISNUMBER(SEARCH(Table1[[#This Row],[their_ent_1]],Table1[[#This Row],[my_ent_1]])), 1, 0)</f>
        <v>0</v>
      </c>
      <c r="L312">
        <f>IF(ISNUMBER(SEARCH(Table1[[#This Row],[their_ent_2]],Table1[[#This Row],[my_ent_2]])), 1, 0)</f>
        <v>0</v>
      </c>
    </row>
    <row r="313" spans="1:12" hidden="1" x14ac:dyDescent="0.3">
      <c r="A313" t="s">
        <v>1083</v>
      </c>
      <c r="B313" t="s">
        <v>34</v>
      </c>
      <c r="C313" t="s">
        <v>1084</v>
      </c>
      <c r="D313" t="s">
        <v>294</v>
      </c>
      <c r="E313" t="s">
        <v>294</v>
      </c>
      <c r="F313">
        <v>0</v>
      </c>
      <c r="G313">
        <v>311</v>
      </c>
      <c r="H313">
        <f>IF(Table1[[#This Row],[my_ent_1]]=Table1[[#This Row],[their_ent_1]], 1, 0)</f>
        <v>0</v>
      </c>
      <c r="I313">
        <f>IF(Table1[[#This Row],[my_ent_2]]=Table1[[#This Row],[their_ent_2]], 1, 0)</f>
        <v>1</v>
      </c>
      <c r="J313">
        <f>IF(Table1[[#This Row],[same_1]]=1 &amp; Table1[[#This Row],[same_2]]=1, 1, 0)</f>
        <v>0</v>
      </c>
      <c r="K313">
        <f>IF(ISNUMBER(SEARCH(Table1[[#This Row],[their_ent_1]],Table1[[#This Row],[my_ent_1]])), 1, 0)</f>
        <v>0</v>
      </c>
      <c r="L313">
        <f>IF(ISNUMBER(SEARCH(Table1[[#This Row],[their_ent_2]],Table1[[#This Row],[my_ent_2]])), 1, 0)</f>
        <v>1</v>
      </c>
    </row>
    <row r="314" spans="1:12" hidden="1" x14ac:dyDescent="0.3">
      <c r="A314" t="s">
        <v>1085</v>
      </c>
      <c r="B314" t="s">
        <v>1086</v>
      </c>
      <c r="C314" t="s">
        <v>1087</v>
      </c>
      <c r="D314" t="s">
        <v>1088</v>
      </c>
      <c r="E314" t="s">
        <v>1089</v>
      </c>
      <c r="F314">
        <v>0</v>
      </c>
      <c r="G314">
        <v>312</v>
      </c>
      <c r="H314">
        <f>IF(Table1[[#This Row],[my_ent_1]]=Table1[[#This Row],[their_ent_1]], 1, 0)</f>
        <v>0</v>
      </c>
      <c r="I314">
        <f>IF(Table1[[#This Row],[my_ent_2]]=Table1[[#This Row],[their_ent_2]], 1, 0)</f>
        <v>0</v>
      </c>
      <c r="J314">
        <f>IF(Table1[[#This Row],[same_1]]=1 &amp; Table1[[#This Row],[same_2]]=1, 1, 0)</f>
        <v>0</v>
      </c>
      <c r="K314">
        <f>IF(ISNUMBER(SEARCH(Table1[[#This Row],[their_ent_1]],Table1[[#This Row],[my_ent_1]])), 1, 0)</f>
        <v>0</v>
      </c>
      <c r="L314">
        <f>IF(ISNUMBER(SEARCH(Table1[[#This Row],[their_ent_2]],Table1[[#This Row],[my_ent_2]])), 1, 0)</f>
        <v>1</v>
      </c>
    </row>
    <row r="315" spans="1:12" hidden="1" x14ac:dyDescent="0.3">
      <c r="A315" t="s">
        <v>1090</v>
      </c>
      <c r="B315" t="s">
        <v>140</v>
      </c>
      <c r="C315" t="s">
        <v>1091</v>
      </c>
      <c r="D315" t="s">
        <v>1091</v>
      </c>
      <c r="E315" t="s">
        <v>1092</v>
      </c>
      <c r="F315">
        <v>0</v>
      </c>
      <c r="G315">
        <v>313</v>
      </c>
      <c r="H315">
        <f>IF(Table1[[#This Row],[my_ent_1]]=Table1[[#This Row],[their_ent_1]], 1, 0)</f>
        <v>0</v>
      </c>
      <c r="I315">
        <f>IF(Table1[[#This Row],[my_ent_2]]=Table1[[#This Row],[their_ent_2]], 1, 0)</f>
        <v>0</v>
      </c>
      <c r="J315">
        <f>IF(Table1[[#This Row],[same_1]]=1 &amp; Table1[[#This Row],[same_2]]=1, 1, 0)</f>
        <v>0</v>
      </c>
      <c r="K315">
        <f>IF(ISNUMBER(SEARCH(Table1[[#This Row],[their_ent_1]],Table1[[#This Row],[my_ent_1]])), 1, 0)</f>
        <v>0</v>
      </c>
      <c r="L315">
        <f>IF(ISNUMBER(SEARCH(Table1[[#This Row],[their_ent_2]],Table1[[#This Row],[my_ent_2]])), 1, 0)</f>
        <v>0</v>
      </c>
    </row>
    <row r="316" spans="1:12" hidden="1" x14ac:dyDescent="0.3">
      <c r="A316" t="s">
        <v>1093</v>
      </c>
      <c r="B316" t="s">
        <v>1094</v>
      </c>
      <c r="C316" t="s">
        <v>1094</v>
      </c>
      <c r="D316" t="s">
        <v>1095</v>
      </c>
      <c r="E316" t="s">
        <v>1096</v>
      </c>
      <c r="F316">
        <v>0</v>
      </c>
      <c r="G316">
        <v>314</v>
      </c>
      <c r="H316">
        <f>IF(Table1[[#This Row],[my_ent_1]]=Table1[[#This Row],[their_ent_1]], 1, 0)</f>
        <v>1</v>
      </c>
      <c r="I316">
        <f>IF(Table1[[#This Row],[my_ent_2]]=Table1[[#This Row],[their_ent_2]], 1, 0)</f>
        <v>0</v>
      </c>
      <c r="J316">
        <f>IF(Table1[[#This Row],[same_1]]=1 &amp; Table1[[#This Row],[same_2]]=1, 1, 0)</f>
        <v>0</v>
      </c>
      <c r="K316">
        <f>IF(ISNUMBER(SEARCH(Table1[[#This Row],[their_ent_1]],Table1[[#This Row],[my_ent_1]])), 1, 0)</f>
        <v>1</v>
      </c>
      <c r="L316">
        <f>IF(ISNUMBER(SEARCH(Table1[[#This Row],[their_ent_2]],Table1[[#This Row],[my_ent_2]])), 1, 0)</f>
        <v>0</v>
      </c>
    </row>
    <row r="317" spans="1:12" hidden="1" x14ac:dyDescent="0.3">
      <c r="A317" t="s">
        <v>1097</v>
      </c>
      <c r="B317" t="s">
        <v>34</v>
      </c>
      <c r="C317" t="s">
        <v>34</v>
      </c>
      <c r="D317" t="s">
        <v>1098</v>
      </c>
      <c r="E317" t="s">
        <v>1099</v>
      </c>
      <c r="F317">
        <v>0</v>
      </c>
      <c r="G317">
        <v>315</v>
      </c>
      <c r="H317">
        <f>IF(Table1[[#This Row],[my_ent_1]]=Table1[[#This Row],[their_ent_1]], 1, 0)</f>
        <v>1</v>
      </c>
      <c r="I317">
        <f>IF(Table1[[#This Row],[my_ent_2]]=Table1[[#This Row],[their_ent_2]], 1, 0)</f>
        <v>0</v>
      </c>
      <c r="J317">
        <f>IF(Table1[[#This Row],[same_1]]=1 &amp; Table1[[#This Row],[same_2]]=1, 1, 0)</f>
        <v>0</v>
      </c>
      <c r="K317">
        <f>IF(ISNUMBER(SEARCH(Table1[[#This Row],[their_ent_1]],Table1[[#This Row],[my_ent_1]])), 1, 0)</f>
        <v>1</v>
      </c>
      <c r="L317">
        <f>IF(ISNUMBER(SEARCH(Table1[[#This Row],[their_ent_2]],Table1[[#This Row],[my_ent_2]])), 1, 0)</f>
        <v>0</v>
      </c>
    </row>
    <row r="318" spans="1:12" x14ac:dyDescent="0.3">
      <c r="A318" t="s">
        <v>1100</v>
      </c>
      <c r="B318" t="s">
        <v>518</v>
      </c>
      <c r="C318" t="s">
        <v>382</v>
      </c>
      <c r="D318" t="s">
        <v>1101</v>
      </c>
      <c r="E318" t="s">
        <v>1102</v>
      </c>
      <c r="F318">
        <v>0</v>
      </c>
      <c r="G318">
        <v>316</v>
      </c>
      <c r="H318">
        <f>IF(Table1[[#This Row],[my_ent_1]]=Table1[[#This Row],[their_ent_1]], 1, 0)</f>
        <v>0</v>
      </c>
      <c r="I318">
        <f>IF(Table1[[#This Row],[my_ent_2]]=Table1[[#This Row],[their_ent_2]], 1, 0)</f>
        <v>0</v>
      </c>
      <c r="J318">
        <f>IF(Table1[[#This Row],[same_1]]=1 &amp; Table1[[#This Row],[same_2]]=1, 1, 0)</f>
        <v>0</v>
      </c>
      <c r="K318">
        <f>IF(ISNUMBER(SEARCH(Table1[[#This Row],[their_ent_1]],Table1[[#This Row],[my_ent_1]])), 1, 0)</f>
        <v>1</v>
      </c>
      <c r="L318">
        <f>IF(ISNUMBER(SEARCH(Table1[[#This Row],[their_ent_2]],Table1[[#This Row],[my_ent_2]])), 1, 0)</f>
        <v>1</v>
      </c>
    </row>
    <row r="319" spans="1:12" hidden="1" x14ac:dyDescent="0.3">
      <c r="A319" t="s">
        <v>1103</v>
      </c>
      <c r="B319" t="s">
        <v>15</v>
      </c>
      <c r="C319" t="s">
        <v>1104</v>
      </c>
      <c r="D319" t="s">
        <v>1105</v>
      </c>
      <c r="E319" t="s">
        <v>1105</v>
      </c>
      <c r="F319">
        <v>0</v>
      </c>
      <c r="G319">
        <v>317</v>
      </c>
      <c r="H319">
        <f>IF(Table1[[#This Row],[my_ent_1]]=Table1[[#This Row],[their_ent_1]], 1, 0)</f>
        <v>0</v>
      </c>
      <c r="I319">
        <f>IF(Table1[[#This Row],[my_ent_2]]=Table1[[#This Row],[their_ent_2]], 1, 0)</f>
        <v>1</v>
      </c>
      <c r="J319">
        <f>IF(Table1[[#This Row],[same_1]]=1 &amp; Table1[[#This Row],[same_2]]=1, 1, 0)</f>
        <v>0</v>
      </c>
      <c r="K319">
        <f>IF(ISNUMBER(SEARCH(Table1[[#This Row],[their_ent_1]],Table1[[#This Row],[my_ent_1]])), 1, 0)</f>
        <v>0</v>
      </c>
      <c r="L319">
        <f>IF(ISNUMBER(SEARCH(Table1[[#This Row],[their_ent_2]],Table1[[#This Row],[my_ent_2]])), 1, 0)</f>
        <v>1</v>
      </c>
    </row>
    <row r="320" spans="1:12" hidden="1" x14ac:dyDescent="0.3">
      <c r="A320" t="s">
        <v>1106</v>
      </c>
      <c r="B320" t="s">
        <v>1107</v>
      </c>
      <c r="C320">
        <v>787</v>
      </c>
      <c r="D320" t="s">
        <v>54</v>
      </c>
      <c r="E320" t="s">
        <v>1108</v>
      </c>
      <c r="F320">
        <v>0</v>
      </c>
      <c r="G320">
        <v>318</v>
      </c>
      <c r="H320">
        <f>IF(Table1[[#This Row],[my_ent_1]]=Table1[[#This Row],[their_ent_1]], 1, 0)</f>
        <v>0</v>
      </c>
      <c r="I320">
        <f>IF(Table1[[#This Row],[my_ent_2]]=Table1[[#This Row],[their_ent_2]], 1, 0)</f>
        <v>0</v>
      </c>
      <c r="J320">
        <f>IF(Table1[[#This Row],[same_1]]=1 &amp; Table1[[#This Row],[same_2]]=1, 1, 0)</f>
        <v>0</v>
      </c>
      <c r="K320">
        <f>IF(ISNUMBER(SEARCH(Table1[[#This Row],[their_ent_1]],Table1[[#This Row],[my_ent_1]])), 1, 0)</f>
        <v>0</v>
      </c>
      <c r="L320">
        <f>IF(ISNUMBER(SEARCH(Table1[[#This Row],[their_ent_2]],Table1[[#This Row],[my_ent_2]])), 1, 0)</f>
        <v>0</v>
      </c>
    </row>
    <row r="321" spans="1:12" hidden="1" x14ac:dyDescent="0.3">
      <c r="A321" t="s">
        <v>1109</v>
      </c>
      <c r="B321" t="s">
        <v>1110</v>
      </c>
      <c r="C321" t="s">
        <v>1025</v>
      </c>
      <c r="D321" t="s">
        <v>1024</v>
      </c>
      <c r="E321" t="s">
        <v>1111</v>
      </c>
      <c r="F321">
        <v>0</v>
      </c>
      <c r="G321">
        <v>319</v>
      </c>
      <c r="H321">
        <f>IF(Table1[[#This Row],[my_ent_1]]=Table1[[#This Row],[their_ent_1]], 1, 0)</f>
        <v>0</v>
      </c>
      <c r="I321">
        <f>IF(Table1[[#This Row],[my_ent_2]]=Table1[[#This Row],[their_ent_2]], 1, 0)</f>
        <v>0</v>
      </c>
      <c r="J321">
        <f>IF(Table1[[#This Row],[same_1]]=1 &amp; Table1[[#This Row],[same_2]]=1, 1, 0)</f>
        <v>0</v>
      </c>
      <c r="K321">
        <f>IF(ISNUMBER(SEARCH(Table1[[#This Row],[their_ent_1]],Table1[[#This Row],[my_ent_1]])), 1, 0)</f>
        <v>0</v>
      </c>
      <c r="L321">
        <f>IF(ISNUMBER(SEARCH(Table1[[#This Row],[their_ent_2]],Table1[[#This Row],[my_ent_2]])), 1, 0)</f>
        <v>0</v>
      </c>
    </row>
    <row r="322" spans="1:12" hidden="1" x14ac:dyDescent="0.3">
      <c r="A322" t="s">
        <v>1112</v>
      </c>
      <c r="B322" t="s">
        <v>1113</v>
      </c>
      <c r="C322" t="s">
        <v>1114</v>
      </c>
      <c r="D322" t="s">
        <v>1115</v>
      </c>
      <c r="E322" t="s">
        <v>1116</v>
      </c>
      <c r="F322">
        <v>0</v>
      </c>
      <c r="G322">
        <v>320</v>
      </c>
      <c r="H322">
        <f>IF(Table1[[#This Row],[my_ent_1]]=Table1[[#This Row],[their_ent_1]], 1, 0)</f>
        <v>0</v>
      </c>
      <c r="I322">
        <f>IF(Table1[[#This Row],[my_ent_2]]=Table1[[#This Row],[their_ent_2]], 1, 0)</f>
        <v>0</v>
      </c>
      <c r="J322">
        <f>IF(Table1[[#This Row],[same_1]]=1 &amp; Table1[[#This Row],[same_2]]=1, 1, 0)</f>
        <v>0</v>
      </c>
      <c r="K322">
        <f>IF(ISNUMBER(SEARCH(Table1[[#This Row],[their_ent_1]],Table1[[#This Row],[my_ent_1]])), 1, 0)</f>
        <v>1</v>
      </c>
      <c r="L322">
        <f>IF(ISNUMBER(SEARCH(Table1[[#This Row],[their_ent_2]],Table1[[#This Row],[my_ent_2]])), 1, 0)</f>
        <v>0</v>
      </c>
    </row>
    <row r="323" spans="1:12" x14ac:dyDescent="0.3">
      <c r="A323" t="s">
        <v>1117</v>
      </c>
      <c r="B323" t="s">
        <v>200</v>
      </c>
      <c r="C323" t="s">
        <v>200</v>
      </c>
      <c r="D323" t="s">
        <v>147</v>
      </c>
      <c r="E323" t="s">
        <v>611</v>
      </c>
      <c r="F323">
        <v>0</v>
      </c>
      <c r="G323">
        <v>321</v>
      </c>
      <c r="H323">
        <f>IF(Table1[[#This Row],[my_ent_1]]=Table1[[#This Row],[their_ent_1]], 1, 0)</f>
        <v>1</v>
      </c>
      <c r="I323">
        <f>IF(Table1[[#This Row],[my_ent_2]]=Table1[[#This Row],[their_ent_2]], 1, 0)</f>
        <v>0</v>
      </c>
      <c r="J323">
        <f>IF(Table1[[#This Row],[same_1]]=1 &amp; Table1[[#This Row],[same_2]]=1, 1, 0)</f>
        <v>0</v>
      </c>
      <c r="K323">
        <f>IF(ISNUMBER(SEARCH(Table1[[#This Row],[their_ent_1]],Table1[[#This Row],[my_ent_1]])), 1, 0)</f>
        <v>1</v>
      </c>
      <c r="L323">
        <f>IF(ISNUMBER(SEARCH(Table1[[#This Row],[their_ent_2]],Table1[[#This Row],[my_ent_2]])), 1, 0)</f>
        <v>1</v>
      </c>
    </row>
    <row r="324" spans="1:12" hidden="1" x14ac:dyDescent="0.3">
      <c r="A324" t="s">
        <v>1118</v>
      </c>
      <c r="B324" t="s">
        <v>1119</v>
      </c>
      <c r="C324" t="s">
        <v>541</v>
      </c>
      <c r="D324" t="s">
        <v>51</v>
      </c>
      <c r="E324" t="s">
        <v>1120</v>
      </c>
      <c r="F324">
        <v>0</v>
      </c>
      <c r="G324">
        <v>322</v>
      </c>
      <c r="H324">
        <f>IF(Table1[[#This Row],[my_ent_1]]=Table1[[#This Row],[their_ent_1]], 1, 0)</f>
        <v>0</v>
      </c>
      <c r="I324">
        <f>IF(Table1[[#This Row],[my_ent_2]]=Table1[[#This Row],[their_ent_2]], 1, 0)</f>
        <v>0</v>
      </c>
      <c r="J324">
        <f>IF(Table1[[#This Row],[same_1]]=1 &amp; Table1[[#This Row],[same_2]]=1, 1, 0)</f>
        <v>0</v>
      </c>
      <c r="K324">
        <f>IF(ISNUMBER(SEARCH(Table1[[#This Row],[their_ent_1]],Table1[[#This Row],[my_ent_1]])), 1, 0)</f>
        <v>0</v>
      </c>
      <c r="L324">
        <f>IF(ISNUMBER(SEARCH(Table1[[#This Row],[their_ent_2]],Table1[[#This Row],[my_ent_2]])), 1, 0)</f>
        <v>0</v>
      </c>
    </row>
    <row r="325" spans="1:12" hidden="1" x14ac:dyDescent="0.3">
      <c r="A325" t="s">
        <v>1121</v>
      </c>
      <c r="B325" t="s">
        <v>1122</v>
      </c>
      <c r="C325" t="s">
        <v>1123</v>
      </c>
      <c r="D325" t="s">
        <v>1123</v>
      </c>
      <c r="E325" t="s">
        <v>1124</v>
      </c>
      <c r="F325">
        <v>0</v>
      </c>
      <c r="G325">
        <v>323</v>
      </c>
      <c r="H325">
        <f>IF(Table1[[#This Row],[my_ent_1]]=Table1[[#This Row],[their_ent_1]], 1, 0)</f>
        <v>0</v>
      </c>
      <c r="I325">
        <f>IF(Table1[[#This Row],[my_ent_2]]=Table1[[#This Row],[their_ent_2]], 1, 0)</f>
        <v>0</v>
      </c>
      <c r="J325">
        <f>IF(Table1[[#This Row],[same_1]]=1 &amp; Table1[[#This Row],[same_2]]=1, 1, 0)</f>
        <v>0</v>
      </c>
      <c r="K325">
        <f>IF(ISNUMBER(SEARCH(Table1[[#This Row],[their_ent_1]],Table1[[#This Row],[my_ent_1]])), 1, 0)</f>
        <v>0</v>
      </c>
      <c r="L325">
        <f>IF(ISNUMBER(SEARCH(Table1[[#This Row],[their_ent_2]],Table1[[#This Row],[my_ent_2]])), 1, 0)</f>
        <v>0</v>
      </c>
    </row>
    <row r="326" spans="1:12" hidden="1" x14ac:dyDescent="0.3">
      <c r="A326" t="s">
        <v>1125</v>
      </c>
      <c r="B326" t="s">
        <v>15</v>
      </c>
      <c r="C326" t="s">
        <v>15</v>
      </c>
      <c r="D326" t="s">
        <v>324</v>
      </c>
      <c r="E326" t="s">
        <v>73</v>
      </c>
      <c r="F326">
        <v>0</v>
      </c>
      <c r="G326">
        <v>324</v>
      </c>
      <c r="H326">
        <f>IF(Table1[[#This Row],[my_ent_1]]=Table1[[#This Row],[their_ent_1]], 1, 0)</f>
        <v>1</v>
      </c>
      <c r="I326">
        <f>IF(Table1[[#This Row],[my_ent_2]]=Table1[[#This Row],[their_ent_2]], 1, 0)</f>
        <v>0</v>
      </c>
      <c r="J326">
        <f>IF(Table1[[#This Row],[same_1]]=1 &amp; Table1[[#This Row],[same_2]]=1, 1, 0)</f>
        <v>0</v>
      </c>
      <c r="K326">
        <f>IF(ISNUMBER(SEARCH(Table1[[#This Row],[their_ent_1]],Table1[[#This Row],[my_ent_1]])), 1, 0)</f>
        <v>1</v>
      </c>
      <c r="L326">
        <f>IF(ISNUMBER(SEARCH(Table1[[#This Row],[their_ent_2]],Table1[[#This Row],[my_ent_2]])), 1, 0)</f>
        <v>0</v>
      </c>
    </row>
    <row r="327" spans="1:12" hidden="1" x14ac:dyDescent="0.3">
      <c r="A327" t="s">
        <v>1126</v>
      </c>
      <c r="B327" t="s">
        <v>58</v>
      </c>
      <c r="C327" t="s">
        <v>1127</v>
      </c>
      <c r="D327" t="s">
        <v>1128</v>
      </c>
      <c r="E327" t="s">
        <v>1129</v>
      </c>
      <c r="F327">
        <v>0</v>
      </c>
      <c r="G327">
        <v>325</v>
      </c>
      <c r="H327">
        <f>IF(Table1[[#This Row],[my_ent_1]]=Table1[[#This Row],[their_ent_1]], 1, 0)</f>
        <v>0</v>
      </c>
      <c r="I327">
        <f>IF(Table1[[#This Row],[my_ent_2]]=Table1[[#This Row],[their_ent_2]], 1, 0)</f>
        <v>0</v>
      </c>
      <c r="J327">
        <f>IF(Table1[[#This Row],[same_1]]=1 &amp; Table1[[#This Row],[same_2]]=1, 1, 0)</f>
        <v>0</v>
      </c>
      <c r="K327">
        <f>IF(ISNUMBER(SEARCH(Table1[[#This Row],[their_ent_1]],Table1[[#This Row],[my_ent_1]])), 1, 0)</f>
        <v>0</v>
      </c>
      <c r="L327">
        <f>IF(ISNUMBER(SEARCH(Table1[[#This Row],[their_ent_2]],Table1[[#This Row],[my_ent_2]])), 1, 0)</f>
        <v>1</v>
      </c>
    </row>
    <row r="328" spans="1:12" hidden="1" x14ac:dyDescent="0.3">
      <c r="A328" t="s">
        <v>1130</v>
      </c>
      <c r="B328" t="s">
        <v>1131</v>
      </c>
      <c r="C328" t="s">
        <v>98</v>
      </c>
      <c r="D328" t="s">
        <v>98</v>
      </c>
      <c r="E328" t="s">
        <v>957</v>
      </c>
      <c r="F328">
        <v>0</v>
      </c>
      <c r="G328">
        <v>326</v>
      </c>
      <c r="H328">
        <f>IF(Table1[[#This Row],[my_ent_1]]=Table1[[#This Row],[their_ent_1]], 1, 0)</f>
        <v>0</v>
      </c>
      <c r="I328">
        <f>IF(Table1[[#This Row],[my_ent_2]]=Table1[[#This Row],[their_ent_2]], 1, 0)</f>
        <v>0</v>
      </c>
      <c r="J328">
        <f>IF(Table1[[#This Row],[same_1]]=1 &amp; Table1[[#This Row],[same_2]]=1, 1, 0)</f>
        <v>0</v>
      </c>
      <c r="K328">
        <f>IF(ISNUMBER(SEARCH(Table1[[#This Row],[their_ent_1]],Table1[[#This Row],[my_ent_1]])), 1, 0)</f>
        <v>0</v>
      </c>
      <c r="L328">
        <f>IF(ISNUMBER(SEARCH(Table1[[#This Row],[their_ent_2]],Table1[[#This Row],[my_ent_2]])), 1, 0)</f>
        <v>0</v>
      </c>
    </row>
    <row r="329" spans="1:12" hidden="1" x14ac:dyDescent="0.3">
      <c r="A329" t="s">
        <v>1132</v>
      </c>
      <c r="B329" t="s">
        <v>1133</v>
      </c>
      <c r="C329" t="s">
        <v>1134</v>
      </c>
      <c r="D329" t="s">
        <v>58</v>
      </c>
      <c r="E329" t="s">
        <v>1135</v>
      </c>
      <c r="F329">
        <v>0</v>
      </c>
      <c r="G329">
        <v>327</v>
      </c>
      <c r="H329">
        <f>IF(Table1[[#This Row],[my_ent_1]]=Table1[[#This Row],[their_ent_1]], 1, 0)</f>
        <v>0</v>
      </c>
      <c r="I329">
        <f>IF(Table1[[#This Row],[my_ent_2]]=Table1[[#This Row],[their_ent_2]], 1, 0)</f>
        <v>0</v>
      </c>
      <c r="J329">
        <f>IF(Table1[[#This Row],[same_1]]=1 &amp; Table1[[#This Row],[same_2]]=1, 1, 0)</f>
        <v>0</v>
      </c>
      <c r="K329">
        <f>IF(ISNUMBER(SEARCH(Table1[[#This Row],[their_ent_1]],Table1[[#This Row],[my_ent_1]])), 1, 0)</f>
        <v>0</v>
      </c>
      <c r="L329">
        <f>IF(ISNUMBER(SEARCH(Table1[[#This Row],[their_ent_2]],Table1[[#This Row],[my_ent_2]])), 1, 0)</f>
        <v>0</v>
      </c>
    </row>
    <row r="330" spans="1:12" hidden="1" x14ac:dyDescent="0.3">
      <c r="A330" t="s">
        <v>1136</v>
      </c>
      <c r="B330" t="s">
        <v>15</v>
      </c>
      <c r="C330" t="s">
        <v>15</v>
      </c>
      <c r="D330" t="s">
        <v>1137</v>
      </c>
      <c r="E330" t="s">
        <v>98</v>
      </c>
      <c r="F330">
        <v>0</v>
      </c>
      <c r="G330">
        <v>328</v>
      </c>
      <c r="H330">
        <f>IF(Table1[[#This Row],[my_ent_1]]=Table1[[#This Row],[their_ent_1]], 1, 0)</f>
        <v>1</v>
      </c>
      <c r="I330">
        <f>IF(Table1[[#This Row],[my_ent_2]]=Table1[[#This Row],[their_ent_2]], 1, 0)</f>
        <v>0</v>
      </c>
      <c r="J330">
        <f>IF(Table1[[#This Row],[same_1]]=1 &amp; Table1[[#This Row],[same_2]]=1, 1, 0)</f>
        <v>0</v>
      </c>
      <c r="K330">
        <f>IF(ISNUMBER(SEARCH(Table1[[#This Row],[their_ent_1]],Table1[[#This Row],[my_ent_1]])), 1, 0)</f>
        <v>1</v>
      </c>
      <c r="L330">
        <f>IF(ISNUMBER(SEARCH(Table1[[#This Row],[their_ent_2]],Table1[[#This Row],[my_ent_2]])), 1, 0)</f>
        <v>0</v>
      </c>
    </row>
    <row r="331" spans="1:12" hidden="1" x14ac:dyDescent="0.3">
      <c r="A331" t="s">
        <v>1138</v>
      </c>
      <c r="B331" t="s">
        <v>1139</v>
      </c>
      <c r="C331" t="s">
        <v>1139</v>
      </c>
      <c r="D331" t="s">
        <v>54</v>
      </c>
      <c r="E331" t="s">
        <v>1140</v>
      </c>
      <c r="F331">
        <v>0</v>
      </c>
      <c r="G331">
        <v>329</v>
      </c>
      <c r="H331">
        <f>IF(Table1[[#This Row],[my_ent_1]]=Table1[[#This Row],[their_ent_1]], 1, 0)</f>
        <v>1</v>
      </c>
      <c r="I331">
        <f>IF(Table1[[#This Row],[my_ent_2]]=Table1[[#This Row],[their_ent_2]], 1, 0)</f>
        <v>0</v>
      </c>
      <c r="J331">
        <f>IF(Table1[[#This Row],[same_1]]=1 &amp; Table1[[#This Row],[same_2]]=1, 1, 0)</f>
        <v>0</v>
      </c>
      <c r="K331">
        <f>IF(ISNUMBER(SEARCH(Table1[[#This Row],[their_ent_1]],Table1[[#This Row],[my_ent_1]])), 1, 0)</f>
        <v>1</v>
      </c>
      <c r="L331">
        <f>IF(ISNUMBER(SEARCH(Table1[[#This Row],[their_ent_2]],Table1[[#This Row],[my_ent_2]])), 1, 0)</f>
        <v>0</v>
      </c>
    </row>
    <row r="332" spans="1:12" hidden="1" x14ac:dyDescent="0.3">
      <c r="A332" t="s">
        <v>1141</v>
      </c>
      <c r="B332" t="s">
        <v>467</v>
      </c>
      <c r="C332" t="s">
        <v>94</v>
      </c>
      <c r="D332" t="s">
        <v>54</v>
      </c>
      <c r="E332" t="s">
        <v>80</v>
      </c>
      <c r="F332">
        <v>0</v>
      </c>
      <c r="G332">
        <v>330</v>
      </c>
      <c r="H332">
        <f>IF(Table1[[#This Row],[my_ent_1]]=Table1[[#This Row],[their_ent_1]], 1, 0)</f>
        <v>0</v>
      </c>
      <c r="I332">
        <f>IF(Table1[[#This Row],[my_ent_2]]=Table1[[#This Row],[their_ent_2]], 1, 0)</f>
        <v>0</v>
      </c>
      <c r="J332">
        <f>IF(Table1[[#This Row],[same_1]]=1 &amp; Table1[[#This Row],[same_2]]=1, 1, 0)</f>
        <v>0</v>
      </c>
      <c r="K332">
        <f>IF(ISNUMBER(SEARCH(Table1[[#This Row],[their_ent_1]],Table1[[#This Row],[my_ent_1]])), 1, 0)</f>
        <v>1</v>
      </c>
      <c r="L332">
        <f>IF(ISNUMBER(SEARCH(Table1[[#This Row],[their_ent_2]],Table1[[#This Row],[my_ent_2]])), 1, 0)</f>
        <v>0</v>
      </c>
    </row>
    <row r="333" spans="1:12" hidden="1" x14ac:dyDescent="0.3">
      <c r="A333" t="s">
        <v>1142</v>
      </c>
      <c r="B333" t="s">
        <v>1143</v>
      </c>
      <c r="C333" t="s">
        <v>1144</v>
      </c>
      <c r="D333" t="s">
        <v>1145</v>
      </c>
      <c r="E333" t="s">
        <v>1145</v>
      </c>
      <c r="F333">
        <v>0</v>
      </c>
      <c r="G333">
        <v>331</v>
      </c>
      <c r="H333">
        <f>IF(Table1[[#This Row],[my_ent_1]]=Table1[[#This Row],[their_ent_1]], 1, 0)</f>
        <v>0</v>
      </c>
      <c r="I333">
        <f>IF(Table1[[#This Row],[my_ent_2]]=Table1[[#This Row],[their_ent_2]], 1, 0)</f>
        <v>1</v>
      </c>
      <c r="J333">
        <f>IF(Table1[[#This Row],[same_1]]=1 &amp; Table1[[#This Row],[same_2]]=1, 1, 0)</f>
        <v>0</v>
      </c>
      <c r="K333">
        <f>IF(ISNUMBER(SEARCH(Table1[[#This Row],[their_ent_1]],Table1[[#This Row],[my_ent_1]])), 1, 0)</f>
        <v>0</v>
      </c>
      <c r="L333">
        <f>IF(ISNUMBER(SEARCH(Table1[[#This Row],[their_ent_2]],Table1[[#This Row],[my_ent_2]])), 1, 0)</f>
        <v>1</v>
      </c>
    </row>
    <row r="334" spans="1:12" hidden="1" x14ac:dyDescent="0.3">
      <c r="A334" t="s">
        <v>1146</v>
      </c>
      <c r="B334" t="s">
        <v>1147</v>
      </c>
      <c r="C334" t="s">
        <v>72</v>
      </c>
      <c r="D334" t="s">
        <v>94</v>
      </c>
      <c r="E334" t="s">
        <v>470</v>
      </c>
      <c r="F334">
        <v>0</v>
      </c>
      <c r="G334">
        <v>332</v>
      </c>
      <c r="H334">
        <f>IF(Table1[[#This Row],[my_ent_1]]=Table1[[#This Row],[their_ent_1]], 1, 0)</f>
        <v>0</v>
      </c>
      <c r="I334">
        <f>IF(Table1[[#This Row],[my_ent_2]]=Table1[[#This Row],[their_ent_2]], 1, 0)</f>
        <v>0</v>
      </c>
      <c r="J334">
        <f>IF(Table1[[#This Row],[same_1]]=1 &amp; Table1[[#This Row],[same_2]]=1, 1, 0)</f>
        <v>0</v>
      </c>
      <c r="K334">
        <f>IF(ISNUMBER(SEARCH(Table1[[#This Row],[their_ent_1]],Table1[[#This Row],[my_ent_1]])), 1, 0)</f>
        <v>0</v>
      </c>
      <c r="L334">
        <f>IF(ISNUMBER(SEARCH(Table1[[#This Row],[their_ent_2]],Table1[[#This Row],[my_ent_2]])), 1, 0)</f>
        <v>0</v>
      </c>
    </row>
    <row r="335" spans="1:12" hidden="1" x14ac:dyDescent="0.3">
      <c r="A335" t="s">
        <v>1148</v>
      </c>
      <c r="B335" t="s">
        <v>957</v>
      </c>
      <c r="C335" t="s">
        <v>1149</v>
      </c>
      <c r="D335" t="s">
        <v>54</v>
      </c>
      <c r="E335" t="s">
        <v>957</v>
      </c>
      <c r="F335">
        <v>0</v>
      </c>
      <c r="G335">
        <v>333</v>
      </c>
      <c r="H335">
        <f>IF(Table1[[#This Row],[my_ent_1]]=Table1[[#This Row],[their_ent_1]], 1, 0)</f>
        <v>0</v>
      </c>
      <c r="I335">
        <f>IF(Table1[[#This Row],[my_ent_2]]=Table1[[#This Row],[their_ent_2]], 1, 0)</f>
        <v>0</v>
      </c>
      <c r="J335">
        <f>IF(Table1[[#This Row],[same_1]]=1 &amp; Table1[[#This Row],[same_2]]=1, 1, 0)</f>
        <v>0</v>
      </c>
      <c r="K335">
        <f>IF(ISNUMBER(SEARCH(Table1[[#This Row],[their_ent_1]],Table1[[#This Row],[my_ent_1]])), 1, 0)</f>
        <v>0</v>
      </c>
      <c r="L335">
        <f>IF(ISNUMBER(SEARCH(Table1[[#This Row],[their_ent_2]],Table1[[#This Row],[my_ent_2]])), 1, 0)</f>
        <v>0</v>
      </c>
    </row>
    <row r="336" spans="1:12" hidden="1" x14ac:dyDescent="0.3">
      <c r="A336" t="s">
        <v>1150</v>
      </c>
      <c r="B336" t="s">
        <v>1151</v>
      </c>
      <c r="C336" t="s">
        <v>1151</v>
      </c>
      <c r="D336" t="s">
        <v>432</v>
      </c>
      <c r="E336" t="s">
        <v>1152</v>
      </c>
      <c r="F336">
        <v>0</v>
      </c>
      <c r="G336">
        <v>334</v>
      </c>
      <c r="H336">
        <f>IF(Table1[[#This Row],[my_ent_1]]=Table1[[#This Row],[their_ent_1]], 1, 0)</f>
        <v>1</v>
      </c>
      <c r="I336">
        <f>IF(Table1[[#This Row],[my_ent_2]]=Table1[[#This Row],[their_ent_2]], 1, 0)</f>
        <v>0</v>
      </c>
      <c r="J336">
        <f>IF(Table1[[#This Row],[same_1]]=1 &amp; Table1[[#This Row],[same_2]]=1, 1, 0)</f>
        <v>0</v>
      </c>
      <c r="K336">
        <f>IF(ISNUMBER(SEARCH(Table1[[#This Row],[their_ent_1]],Table1[[#This Row],[my_ent_1]])), 1, 0)</f>
        <v>1</v>
      </c>
      <c r="L336">
        <f>IF(ISNUMBER(SEARCH(Table1[[#This Row],[their_ent_2]],Table1[[#This Row],[my_ent_2]])), 1, 0)</f>
        <v>0</v>
      </c>
    </row>
    <row r="337" spans="1:12" hidden="1" x14ac:dyDescent="0.3">
      <c r="A337" t="s">
        <v>1153</v>
      </c>
      <c r="B337" t="s">
        <v>1137</v>
      </c>
      <c r="C337" t="s">
        <v>7</v>
      </c>
      <c r="D337" t="s">
        <v>957</v>
      </c>
      <c r="E337" t="s">
        <v>963</v>
      </c>
      <c r="F337">
        <v>0</v>
      </c>
      <c r="G337">
        <v>335</v>
      </c>
      <c r="H337">
        <f>IF(Table1[[#This Row],[my_ent_1]]=Table1[[#This Row],[their_ent_1]], 1, 0)</f>
        <v>0</v>
      </c>
      <c r="I337">
        <f>IF(Table1[[#This Row],[my_ent_2]]=Table1[[#This Row],[their_ent_2]], 1, 0)</f>
        <v>0</v>
      </c>
      <c r="J337">
        <f>IF(Table1[[#This Row],[same_1]]=1 &amp; Table1[[#This Row],[same_2]]=1, 1, 0)</f>
        <v>0</v>
      </c>
      <c r="K337">
        <f>IF(ISNUMBER(SEARCH(Table1[[#This Row],[their_ent_1]],Table1[[#This Row],[my_ent_1]])), 1, 0)</f>
        <v>1</v>
      </c>
      <c r="L337">
        <f>IF(ISNUMBER(SEARCH(Table1[[#This Row],[their_ent_2]],Table1[[#This Row],[my_ent_2]])), 1, 0)</f>
        <v>0</v>
      </c>
    </row>
    <row r="338" spans="1:12" x14ac:dyDescent="0.3">
      <c r="A338" t="s">
        <v>1154</v>
      </c>
      <c r="B338" t="s">
        <v>1155</v>
      </c>
      <c r="C338" t="s">
        <v>1156</v>
      </c>
      <c r="D338" t="s">
        <v>1157</v>
      </c>
      <c r="E338" t="s">
        <v>1157</v>
      </c>
      <c r="F338">
        <v>0</v>
      </c>
      <c r="G338">
        <v>336</v>
      </c>
      <c r="H338">
        <f>IF(Table1[[#This Row],[my_ent_1]]=Table1[[#This Row],[their_ent_1]], 1, 0)</f>
        <v>0</v>
      </c>
      <c r="I338">
        <f>IF(Table1[[#This Row],[my_ent_2]]=Table1[[#This Row],[their_ent_2]], 1, 0)</f>
        <v>1</v>
      </c>
      <c r="J338">
        <f>IF(Table1[[#This Row],[same_1]]=1 &amp; Table1[[#This Row],[same_2]]=1, 1, 0)</f>
        <v>0</v>
      </c>
      <c r="K338">
        <f>IF(ISNUMBER(SEARCH(Table1[[#This Row],[their_ent_1]],Table1[[#This Row],[my_ent_1]])), 1, 0)</f>
        <v>1</v>
      </c>
      <c r="L338">
        <f>IF(ISNUMBER(SEARCH(Table1[[#This Row],[their_ent_2]],Table1[[#This Row],[my_ent_2]])), 1, 0)</f>
        <v>1</v>
      </c>
    </row>
    <row r="339" spans="1:12" hidden="1" x14ac:dyDescent="0.3">
      <c r="A339" t="s">
        <v>1158</v>
      </c>
      <c r="B339" t="s">
        <v>1159</v>
      </c>
      <c r="C339" t="s">
        <v>1160</v>
      </c>
      <c r="D339" t="s">
        <v>1161</v>
      </c>
      <c r="E339" t="s">
        <v>1162</v>
      </c>
      <c r="F339">
        <v>0</v>
      </c>
      <c r="G339">
        <v>337</v>
      </c>
      <c r="H339">
        <f>IF(Table1[[#This Row],[my_ent_1]]=Table1[[#This Row],[their_ent_1]], 1, 0)</f>
        <v>0</v>
      </c>
      <c r="I339">
        <f>IF(Table1[[#This Row],[my_ent_2]]=Table1[[#This Row],[their_ent_2]], 1, 0)</f>
        <v>0</v>
      </c>
      <c r="J339">
        <f>IF(Table1[[#This Row],[same_1]]=1 &amp; Table1[[#This Row],[same_2]]=1, 1, 0)</f>
        <v>0</v>
      </c>
      <c r="K339">
        <f>IF(ISNUMBER(SEARCH(Table1[[#This Row],[their_ent_1]],Table1[[#This Row],[my_ent_1]])), 1, 0)</f>
        <v>0</v>
      </c>
      <c r="L339">
        <f>IF(ISNUMBER(SEARCH(Table1[[#This Row],[their_ent_2]],Table1[[#This Row],[my_ent_2]])), 1, 0)</f>
        <v>0</v>
      </c>
    </row>
    <row r="340" spans="1:12" hidden="1" x14ac:dyDescent="0.3">
      <c r="A340" t="s">
        <v>1163</v>
      </c>
      <c r="B340" t="s">
        <v>1164</v>
      </c>
      <c r="C340" t="s">
        <v>1165</v>
      </c>
      <c r="D340" t="s">
        <v>263</v>
      </c>
      <c r="E340" t="s">
        <v>1164</v>
      </c>
      <c r="F340">
        <v>0</v>
      </c>
      <c r="G340">
        <v>338</v>
      </c>
      <c r="H340">
        <f>IF(Table1[[#This Row],[my_ent_1]]=Table1[[#This Row],[their_ent_1]], 1, 0)</f>
        <v>0</v>
      </c>
      <c r="I340">
        <f>IF(Table1[[#This Row],[my_ent_2]]=Table1[[#This Row],[their_ent_2]], 1, 0)</f>
        <v>0</v>
      </c>
      <c r="J340">
        <f>IF(Table1[[#This Row],[same_1]]=1 &amp; Table1[[#This Row],[same_2]]=1, 1, 0)</f>
        <v>0</v>
      </c>
      <c r="K340">
        <f>IF(ISNUMBER(SEARCH(Table1[[#This Row],[their_ent_1]],Table1[[#This Row],[my_ent_1]])), 1, 0)</f>
        <v>0</v>
      </c>
      <c r="L340">
        <f>IF(ISNUMBER(SEARCH(Table1[[#This Row],[their_ent_2]],Table1[[#This Row],[my_ent_2]])), 1, 0)</f>
        <v>0</v>
      </c>
    </row>
    <row r="341" spans="1:12" hidden="1" x14ac:dyDescent="0.3">
      <c r="A341" t="s">
        <v>1166</v>
      </c>
      <c r="B341" t="s">
        <v>73</v>
      </c>
      <c r="C341" t="s">
        <v>196</v>
      </c>
      <c r="D341" t="s">
        <v>1167</v>
      </c>
      <c r="E341" t="s">
        <v>73</v>
      </c>
      <c r="F341">
        <v>0</v>
      </c>
      <c r="G341">
        <v>339</v>
      </c>
      <c r="H341">
        <f>IF(Table1[[#This Row],[my_ent_1]]=Table1[[#This Row],[their_ent_1]], 1, 0)</f>
        <v>0</v>
      </c>
      <c r="I341">
        <f>IF(Table1[[#This Row],[my_ent_2]]=Table1[[#This Row],[their_ent_2]], 1, 0)</f>
        <v>0</v>
      </c>
      <c r="J341">
        <f>IF(Table1[[#This Row],[same_1]]=1 &amp; Table1[[#This Row],[same_2]]=1, 1, 0)</f>
        <v>0</v>
      </c>
      <c r="K341">
        <f>IF(ISNUMBER(SEARCH(Table1[[#This Row],[their_ent_1]],Table1[[#This Row],[my_ent_1]])), 1, 0)</f>
        <v>0</v>
      </c>
      <c r="L341">
        <f>IF(ISNUMBER(SEARCH(Table1[[#This Row],[their_ent_2]],Table1[[#This Row],[my_ent_2]])), 1, 0)</f>
        <v>0</v>
      </c>
    </row>
    <row r="342" spans="1:12" x14ac:dyDescent="0.3">
      <c r="A342" t="s">
        <v>1168</v>
      </c>
      <c r="B342" t="s">
        <v>1169</v>
      </c>
      <c r="C342" t="s">
        <v>1170</v>
      </c>
      <c r="D342" t="s">
        <v>1171</v>
      </c>
      <c r="E342" t="s">
        <v>1172</v>
      </c>
      <c r="F342">
        <v>0</v>
      </c>
      <c r="G342">
        <v>340</v>
      </c>
      <c r="H342">
        <f>IF(Table1[[#This Row],[my_ent_1]]=Table1[[#This Row],[their_ent_1]], 1, 0)</f>
        <v>0</v>
      </c>
      <c r="I342">
        <f>IF(Table1[[#This Row],[my_ent_2]]=Table1[[#This Row],[their_ent_2]], 1, 0)</f>
        <v>0</v>
      </c>
      <c r="J342">
        <f>IF(Table1[[#This Row],[same_1]]=1 &amp; Table1[[#This Row],[same_2]]=1, 1, 0)</f>
        <v>0</v>
      </c>
      <c r="K342">
        <f>IF(ISNUMBER(SEARCH(Table1[[#This Row],[their_ent_1]],Table1[[#This Row],[my_ent_1]])), 1, 0)</f>
        <v>1</v>
      </c>
      <c r="L342">
        <f>IF(ISNUMBER(SEARCH(Table1[[#This Row],[their_ent_2]],Table1[[#This Row],[my_ent_2]])), 1, 0)</f>
        <v>1</v>
      </c>
    </row>
    <row r="343" spans="1:12" hidden="1" x14ac:dyDescent="0.3">
      <c r="A343" t="s">
        <v>1173</v>
      </c>
      <c r="B343" t="s">
        <v>1174</v>
      </c>
      <c r="C343" t="s">
        <v>1174</v>
      </c>
      <c r="D343" t="s">
        <v>1175</v>
      </c>
      <c r="E343" t="s">
        <v>73</v>
      </c>
      <c r="F343">
        <v>0</v>
      </c>
      <c r="G343">
        <v>341</v>
      </c>
      <c r="H343">
        <f>IF(Table1[[#This Row],[my_ent_1]]=Table1[[#This Row],[their_ent_1]], 1, 0)</f>
        <v>1</v>
      </c>
      <c r="I343">
        <f>IF(Table1[[#This Row],[my_ent_2]]=Table1[[#This Row],[their_ent_2]], 1, 0)</f>
        <v>0</v>
      </c>
      <c r="J343">
        <f>IF(Table1[[#This Row],[same_1]]=1 &amp; Table1[[#This Row],[same_2]]=1, 1, 0)</f>
        <v>0</v>
      </c>
      <c r="K343">
        <f>IF(ISNUMBER(SEARCH(Table1[[#This Row],[their_ent_1]],Table1[[#This Row],[my_ent_1]])), 1, 0)</f>
        <v>1</v>
      </c>
      <c r="L343">
        <f>IF(ISNUMBER(SEARCH(Table1[[#This Row],[their_ent_2]],Table1[[#This Row],[my_ent_2]])), 1, 0)</f>
        <v>0</v>
      </c>
    </row>
    <row r="344" spans="1:12" x14ac:dyDescent="0.3">
      <c r="A344" t="s">
        <v>1176</v>
      </c>
      <c r="B344" t="s">
        <v>1177</v>
      </c>
      <c r="C344" t="s">
        <v>1178</v>
      </c>
      <c r="D344" t="s">
        <v>1179</v>
      </c>
      <c r="E344" t="s">
        <v>1180</v>
      </c>
      <c r="F344">
        <v>0</v>
      </c>
      <c r="G344">
        <v>342</v>
      </c>
      <c r="H344">
        <f>IF(Table1[[#This Row],[my_ent_1]]=Table1[[#This Row],[their_ent_1]], 1, 0)</f>
        <v>0</v>
      </c>
      <c r="I344">
        <f>IF(Table1[[#This Row],[my_ent_2]]=Table1[[#This Row],[their_ent_2]], 1, 0)</f>
        <v>0</v>
      </c>
      <c r="J344">
        <f>IF(Table1[[#This Row],[same_1]]=1 &amp; Table1[[#This Row],[same_2]]=1, 1, 0)</f>
        <v>0</v>
      </c>
      <c r="K344">
        <f>IF(ISNUMBER(SEARCH(Table1[[#This Row],[their_ent_1]],Table1[[#This Row],[my_ent_1]])), 1, 0)</f>
        <v>1</v>
      </c>
      <c r="L344">
        <f>IF(ISNUMBER(SEARCH(Table1[[#This Row],[their_ent_2]],Table1[[#This Row],[my_ent_2]])), 1, 0)</f>
        <v>1</v>
      </c>
    </row>
    <row r="345" spans="1:12" hidden="1" x14ac:dyDescent="0.3">
      <c r="A345" t="s">
        <v>1181</v>
      </c>
      <c r="B345" t="s">
        <v>1182</v>
      </c>
      <c r="C345" t="s">
        <v>1183</v>
      </c>
      <c r="D345" t="s">
        <v>1184</v>
      </c>
      <c r="E345" t="s">
        <v>1185</v>
      </c>
      <c r="F345">
        <v>0</v>
      </c>
      <c r="G345">
        <v>343</v>
      </c>
      <c r="H345">
        <f>IF(Table1[[#This Row],[my_ent_1]]=Table1[[#This Row],[their_ent_1]], 1, 0)</f>
        <v>0</v>
      </c>
      <c r="I345">
        <f>IF(Table1[[#This Row],[my_ent_2]]=Table1[[#This Row],[their_ent_2]], 1, 0)</f>
        <v>0</v>
      </c>
      <c r="J345">
        <f>IF(Table1[[#This Row],[same_1]]=1 &amp; Table1[[#This Row],[same_2]]=1, 1, 0)</f>
        <v>0</v>
      </c>
      <c r="K345">
        <f>IF(ISNUMBER(SEARCH(Table1[[#This Row],[their_ent_1]],Table1[[#This Row],[my_ent_1]])), 1, 0)</f>
        <v>0</v>
      </c>
      <c r="L345">
        <f>IF(ISNUMBER(SEARCH(Table1[[#This Row],[their_ent_2]],Table1[[#This Row],[my_ent_2]])), 1, 0)</f>
        <v>0</v>
      </c>
    </row>
    <row r="346" spans="1:12" hidden="1" x14ac:dyDescent="0.3">
      <c r="A346" t="s">
        <v>1186</v>
      </c>
      <c r="B346" t="s">
        <v>1187</v>
      </c>
      <c r="C346" t="s">
        <v>1188</v>
      </c>
      <c r="D346" t="s">
        <v>652</v>
      </c>
      <c r="E346" t="s">
        <v>652</v>
      </c>
      <c r="F346">
        <v>0</v>
      </c>
      <c r="G346">
        <v>344</v>
      </c>
      <c r="H346">
        <f>IF(Table1[[#This Row],[my_ent_1]]=Table1[[#This Row],[their_ent_1]], 1, 0)</f>
        <v>0</v>
      </c>
      <c r="I346">
        <f>IF(Table1[[#This Row],[my_ent_2]]=Table1[[#This Row],[their_ent_2]], 1, 0)</f>
        <v>1</v>
      </c>
      <c r="J346">
        <f>IF(Table1[[#This Row],[same_1]]=1 &amp; Table1[[#This Row],[same_2]]=1, 1, 0)</f>
        <v>0</v>
      </c>
      <c r="K346">
        <f>IF(ISNUMBER(SEARCH(Table1[[#This Row],[their_ent_1]],Table1[[#This Row],[my_ent_1]])), 1, 0)</f>
        <v>0</v>
      </c>
      <c r="L346">
        <f>IF(ISNUMBER(SEARCH(Table1[[#This Row],[their_ent_2]],Table1[[#This Row],[my_ent_2]])), 1, 0)</f>
        <v>1</v>
      </c>
    </row>
    <row r="347" spans="1:12" hidden="1" x14ac:dyDescent="0.3">
      <c r="A347" t="s">
        <v>1189</v>
      </c>
      <c r="B347" t="s">
        <v>263</v>
      </c>
      <c r="C347" t="s">
        <v>148</v>
      </c>
      <c r="D347" t="s">
        <v>7</v>
      </c>
      <c r="E347" t="s">
        <v>1190</v>
      </c>
      <c r="F347">
        <v>0</v>
      </c>
      <c r="G347">
        <v>345</v>
      </c>
      <c r="H347">
        <f>IF(Table1[[#This Row],[my_ent_1]]=Table1[[#This Row],[their_ent_1]], 1, 0)</f>
        <v>0</v>
      </c>
      <c r="I347">
        <f>IF(Table1[[#This Row],[my_ent_2]]=Table1[[#This Row],[their_ent_2]], 1, 0)</f>
        <v>0</v>
      </c>
      <c r="J347">
        <f>IF(Table1[[#This Row],[same_1]]=1 &amp; Table1[[#This Row],[same_2]]=1, 1, 0)</f>
        <v>0</v>
      </c>
      <c r="K347">
        <f>IF(ISNUMBER(SEARCH(Table1[[#This Row],[their_ent_1]],Table1[[#This Row],[my_ent_1]])), 1, 0)</f>
        <v>0</v>
      </c>
      <c r="L347">
        <f>IF(ISNUMBER(SEARCH(Table1[[#This Row],[their_ent_2]],Table1[[#This Row],[my_ent_2]])), 1, 0)</f>
        <v>0</v>
      </c>
    </row>
    <row r="348" spans="1:12" hidden="1" x14ac:dyDescent="0.3">
      <c r="A348" t="s">
        <v>1191</v>
      </c>
      <c r="B348" t="s">
        <v>1192</v>
      </c>
      <c r="C348" t="s">
        <v>140</v>
      </c>
      <c r="D348" t="s">
        <v>1193</v>
      </c>
      <c r="E348" t="s">
        <v>1193</v>
      </c>
      <c r="F348">
        <v>0</v>
      </c>
      <c r="G348">
        <v>346</v>
      </c>
      <c r="H348">
        <f>IF(Table1[[#This Row],[my_ent_1]]=Table1[[#This Row],[their_ent_1]], 1, 0)</f>
        <v>0</v>
      </c>
      <c r="I348">
        <f>IF(Table1[[#This Row],[my_ent_2]]=Table1[[#This Row],[their_ent_2]], 1, 0)</f>
        <v>1</v>
      </c>
      <c r="J348">
        <f>IF(Table1[[#This Row],[same_1]]=1 &amp; Table1[[#This Row],[same_2]]=1, 1, 0)</f>
        <v>0</v>
      </c>
      <c r="K348">
        <f>IF(ISNUMBER(SEARCH(Table1[[#This Row],[their_ent_1]],Table1[[#This Row],[my_ent_1]])), 1, 0)</f>
        <v>0</v>
      </c>
      <c r="L348">
        <f>IF(ISNUMBER(SEARCH(Table1[[#This Row],[their_ent_2]],Table1[[#This Row],[my_ent_2]])), 1, 0)</f>
        <v>1</v>
      </c>
    </row>
    <row r="349" spans="1:12" hidden="1" x14ac:dyDescent="0.3">
      <c r="A349" t="s">
        <v>1194</v>
      </c>
      <c r="B349" t="s">
        <v>1195</v>
      </c>
      <c r="C349" t="s">
        <v>1195</v>
      </c>
      <c r="D349" t="s">
        <v>54</v>
      </c>
      <c r="E349" t="s">
        <v>797</v>
      </c>
      <c r="F349">
        <v>0</v>
      </c>
      <c r="G349">
        <v>347</v>
      </c>
      <c r="H349">
        <f>IF(Table1[[#This Row],[my_ent_1]]=Table1[[#This Row],[their_ent_1]], 1, 0)</f>
        <v>1</v>
      </c>
      <c r="I349">
        <f>IF(Table1[[#This Row],[my_ent_2]]=Table1[[#This Row],[their_ent_2]], 1, 0)</f>
        <v>0</v>
      </c>
      <c r="J349">
        <f>IF(Table1[[#This Row],[same_1]]=1 &amp; Table1[[#This Row],[same_2]]=1, 1, 0)</f>
        <v>0</v>
      </c>
      <c r="K349">
        <f>IF(ISNUMBER(SEARCH(Table1[[#This Row],[their_ent_1]],Table1[[#This Row],[my_ent_1]])), 1, 0)</f>
        <v>1</v>
      </c>
      <c r="L349">
        <f>IF(ISNUMBER(SEARCH(Table1[[#This Row],[their_ent_2]],Table1[[#This Row],[my_ent_2]])), 1, 0)</f>
        <v>0</v>
      </c>
    </row>
    <row r="350" spans="1:12" x14ac:dyDescent="0.3">
      <c r="A350" t="s">
        <v>1196</v>
      </c>
      <c r="B350" t="s">
        <v>1197</v>
      </c>
      <c r="C350" t="s">
        <v>1197</v>
      </c>
      <c r="D350" t="s">
        <v>622</v>
      </c>
      <c r="E350" t="s">
        <v>148</v>
      </c>
      <c r="F350">
        <v>0</v>
      </c>
      <c r="G350">
        <v>348</v>
      </c>
      <c r="H350">
        <f>IF(Table1[[#This Row],[my_ent_1]]=Table1[[#This Row],[their_ent_1]], 1, 0)</f>
        <v>1</v>
      </c>
      <c r="I350">
        <f>IF(Table1[[#This Row],[my_ent_2]]=Table1[[#This Row],[their_ent_2]], 1, 0)</f>
        <v>0</v>
      </c>
      <c r="J350">
        <f>IF(Table1[[#This Row],[same_1]]=1 &amp; Table1[[#This Row],[same_2]]=1, 1, 0)</f>
        <v>0</v>
      </c>
      <c r="K350">
        <f>IF(ISNUMBER(SEARCH(Table1[[#This Row],[their_ent_1]],Table1[[#This Row],[my_ent_1]])), 1, 0)</f>
        <v>1</v>
      </c>
      <c r="L350">
        <f>IF(ISNUMBER(SEARCH(Table1[[#This Row],[their_ent_2]],Table1[[#This Row],[my_ent_2]])), 1, 0)</f>
        <v>1</v>
      </c>
    </row>
    <row r="351" spans="1:12" x14ac:dyDescent="0.3">
      <c r="A351" t="s">
        <v>1198</v>
      </c>
      <c r="B351" t="s">
        <v>1199</v>
      </c>
      <c r="C351" t="s">
        <v>1199</v>
      </c>
      <c r="D351" t="s">
        <v>1137</v>
      </c>
      <c r="E351" t="s">
        <v>7</v>
      </c>
      <c r="F351">
        <v>0</v>
      </c>
      <c r="G351">
        <v>349</v>
      </c>
      <c r="H351">
        <f>IF(Table1[[#This Row],[my_ent_1]]=Table1[[#This Row],[their_ent_1]], 1, 0)</f>
        <v>1</v>
      </c>
      <c r="I351">
        <f>IF(Table1[[#This Row],[my_ent_2]]=Table1[[#This Row],[their_ent_2]], 1, 0)</f>
        <v>0</v>
      </c>
      <c r="J351">
        <f>IF(Table1[[#This Row],[same_1]]=1 &amp; Table1[[#This Row],[same_2]]=1, 1, 0)</f>
        <v>0</v>
      </c>
      <c r="K351">
        <f>IF(ISNUMBER(SEARCH(Table1[[#This Row],[their_ent_1]],Table1[[#This Row],[my_ent_1]])), 1, 0)</f>
        <v>1</v>
      </c>
      <c r="L351">
        <f>IF(ISNUMBER(SEARCH(Table1[[#This Row],[their_ent_2]],Table1[[#This Row],[my_ent_2]])), 1, 0)</f>
        <v>1</v>
      </c>
    </row>
    <row r="352" spans="1:12" hidden="1" x14ac:dyDescent="0.3">
      <c r="A352" t="s">
        <v>1200</v>
      </c>
      <c r="B352" t="s">
        <v>58</v>
      </c>
      <c r="C352" t="s">
        <v>58</v>
      </c>
      <c r="D352" t="s">
        <v>263</v>
      </c>
      <c r="E352" t="s">
        <v>30</v>
      </c>
      <c r="F352">
        <v>0</v>
      </c>
      <c r="G352">
        <v>350</v>
      </c>
      <c r="H352">
        <f>IF(Table1[[#This Row],[my_ent_1]]=Table1[[#This Row],[their_ent_1]], 1, 0)</f>
        <v>1</v>
      </c>
      <c r="I352">
        <f>IF(Table1[[#This Row],[my_ent_2]]=Table1[[#This Row],[their_ent_2]], 1, 0)</f>
        <v>0</v>
      </c>
      <c r="J352">
        <f>IF(Table1[[#This Row],[same_1]]=1 &amp; Table1[[#This Row],[same_2]]=1, 1, 0)</f>
        <v>0</v>
      </c>
      <c r="K352">
        <f>IF(ISNUMBER(SEARCH(Table1[[#This Row],[their_ent_1]],Table1[[#This Row],[my_ent_1]])), 1, 0)</f>
        <v>1</v>
      </c>
      <c r="L352">
        <f>IF(ISNUMBER(SEARCH(Table1[[#This Row],[their_ent_2]],Table1[[#This Row],[my_ent_2]])), 1, 0)</f>
        <v>0</v>
      </c>
    </row>
    <row r="353" spans="1:12" hidden="1" x14ac:dyDescent="0.3">
      <c r="A353" t="s">
        <v>1201</v>
      </c>
      <c r="B353" t="s">
        <v>1202</v>
      </c>
      <c r="C353" t="s">
        <v>1203</v>
      </c>
      <c r="D353" t="s">
        <v>1204</v>
      </c>
      <c r="E353" t="s">
        <v>516</v>
      </c>
      <c r="F353">
        <v>0</v>
      </c>
      <c r="G353">
        <v>351</v>
      </c>
      <c r="H353">
        <f>IF(Table1[[#This Row],[my_ent_1]]=Table1[[#This Row],[their_ent_1]], 1, 0)</f>
        <v>0</v>
      </c>
      <c r="I353">
        <f>IF(Table1[[#This Row],[my_ent_2]]=Table1[[#This Row],[their_ent_2]], 1, 0)</f>
        <v>0</v>
      </c>
      <c r="J353">
        <f>IF(Table1[[#This Row],[same_1]]=1 &amp; Table1[[#This Row],[same_2]]=1, 1, 0)</f>
        <v>0</v>
      </c>
      <c r="K353">
        <f>IF(ISNUMBER(SEARCH(Table1[[#This Row],[their_ent_1]],Table1[[#This Row],[my_ent_1]])), 1, 0)</f>
        <v>0</v>
      </c>
      <c r="L353">
        <f>IF(ISNUMBER(SEARCH(Table1[[#This Row],[their_ent_2]],Table1[[#This Row],[my_ent_2]])), 1, 0)</f>
        <v>0</v>
      </c>
    </row>
    <row r="354" spans="1:12" hidden="1" x14ac:dyDescent="0.3">
      <c r="A354" t="s">
        <v>1205</v>
      </c>
      <c r="B354" t="s">
        <v>1206</v>
      </c>
      <c r="C354" t="s">
        <v>1207</v>
      </c>
      <c r="D354" t="s">
        <v>1207</v>
      </c>
      <c r="E354" t="s">
        <v>1208</v>
      </c>
      <c r="F354">
        <v>0</v>
      </c>
      <c r="G354">
        <v>352</v>
      </c>
      <c r="H354">
        <f>IF(Table1[[#This Row],[my_ent_1]]=Table1[[#This Row],[their_ent_1]], 1, 0)</f>
        <v>0</v>
      </c>
      <c r="I354">
        <f>IF(Table1[[#This Row],[my_ent_2]]=Table1[[#This Row],[their_ent_2]], 1, 0)</f>
        <v>0</v>
      </c>
      <c r="J354">
        <f>IF(Table1[[#This Row],[same_1]]=1 &amp; Table1[[#This Row],[same_2]]=1, 1, 0)</f>
        <v>0</v>
      </c>
      <c r="K354">
        <f>IF(ISNUMBER(SEARCH(Table1[[#This Row],[their_ent_1]],Table1[[#This Row],[my_ent_1]])), 1, 0)</f>
        <v>0</v>
      </c>
      <c r="L354">
        <f>IF(ISNUMBER(SEARCH(Table1[[#This Row],[their_ent_2]],Table1[[#This Row],[my_ent_2]])), 1, 0)</f>
        <v>0</v>
      </c>
    </row>
    <row r="355" spans="1:12" hidden="1" x14ac:dyDescent="0.3">
      <c r="A355" t="s">
        <v>1209</v>
      </c>
      <c r="B355" t="s">
        <v>1210</v>
      </c>
      <c r="C355" t="s">
        <v>1211</v>
      </c>
      <c r="D355" t="s">
        <v>1212</v>
      </c>
      <c r="E355" t="s">
        <v>1213</v>
      </c>
      <c r="F355">
        <v>0</v>
      </c>
      <c r="G355">
        <v>353</v>
      </c>
      <c r="H355">
        <f>IF(Table1[[#This Row],[my_ent_1]]=Table1[[#This Row],[their_ent_1]], 1, 0)</f>
        <v>0</v>
      </c>
      <c r="I355">
        <f>IF(Table1[[#This Row],[my_ent_2]]=Table1[[#This Row],[their_ent_2]], 1, 0)</f>
        <v>0</v>
      </c>
      <c r="J355">
        <f>IF(Table1[[#This Row],[same_1]]=1 &amp; Table1[[#This Row],[same_2]]=1, 1, 0)</f>
        <v>0</v>
      </c>
      <c r="K355">
        <f>IF(ISNUMBER(SEARCH(Table1[[#This Row],[their_ent_1]],Table1[[#This Row],[my_ent_1]])), 1, 0)</f>
        <v>0</v>
      </c>
      <c r="L355">
        <f>IF(ISNUMBER(SEARCH(Table1[[#This Row],[their_ent_2]],Table1[[#This Row],[my_ent_2]])), 1, 0)</f>
        <v>0</v>
      </c>
    </row>
    <row r="356" spans="1:12" hidden="1" x14ac:dyDescent="0.3">
      <c r="A356" t="s">
        <v>1214</v>
      </c>
      <c r="B356" t="s">
        <v>1215</v>
      </c>
      <c r="C356" t="s">
        <v>1216</v>
      </c>
      <c r="D356" t="s">
        <v>1216</v>
      </c>
      <c r="E356" t="s">
        <v>1217</v>
      </c>
      <c r="F356">
        <v>0</v>
      </c>
      <c r="G356">
        <v>354</v>
      </c>
      <c r="H356">
        <f>IF(Table1[[#This Row],[my_ent_1]]=Table1[[#This Row],[their_ent_1]], 1, 0)</f>
        <v>0</v>
      </c>
      <c r="I356">
        <f>IF(Table1[[#This Row],[my_ent_2]]=Table1[[#This Row],[their_ent_2]], 1, 0)</f>
        <v>0</v>
      </c>
      <c r="J356">
        <f>IF(Table1[[#This Row],[same_1]]=1 &amp; Table1[[#This Row],[same_2]]=1, 1, 0)</f>
        <v>0</v>
      </c>
      <c r="K356">
        <f>IF(ISNUMBER(SEARCH(Table1[[#This Row],[their_ent_1]],Table1[[#This Row],[my_ent_1]])), 1, 0)</f>
        <v>0</v>
      </c>
      <c r="L356">
        <f>IF(ISNUMBER(SEARCH(Table1[[#This Row],[their_ent_2]],Table1[[#This Row],[my_ent_2]])), 1, 0)</f>
        <v>0</v>
      </c>
    </row>
    <row r="357" spans="1:12" hidden="1" x14ac:dyDescent="0.3">
      <c r="A357" t="s">
        <v>1201</v>
      </c>
      <c r="B357" t="s">
        <v>1202</v>
      </c>
      <c r="C357" t="s">
        <v>1203</v>
      </c>
      <c r="D357" t="s">
        <v>1204</v>
      </c>
      <c r="E357" t="s">
        <v>516</v>
      </c>
      <c r="F357">
        <v>0</v>
      </c>
      <c r="G357">
        <v>355</v>
      </c>
      <c r="H357">
        <f>IF(Table1[[#This Row],[my_ent_1]]=Table1[[#This Row],[their_ent_1]], 1, 0)</f>
        <v>0</v>
      </c>
      <c r="I357">
        <f>IF(Table1[[#This Row],[my_ent_2]]=Table1[[#This Row],[their_ent_2]], 1, 0)</f>
        <v>0</v>
      </c>
      <c r="J357">
        <f>IF(Table1[[#This Row],[same_1]]=1 &amp; Table1[[#This Row],[same_2]]=1, 1, 0)</f>
        <v>0</v>
      </c>
      <c r="K357">
        <f>IF(ISNUMBER(SEARCH(Table1[[#This Row],[their_ent_1]],Table1[[#This Row],[my_ent_1]])), 1, 0)</f>
        <v>0</v>
      </c>
      <c r="L357">
        <f>IF(ISNUMBER(SEARCH(Table1[[#This Row],[their_ent_2]],Table1[[#This Row],[my_ent_2]])), 1, 0)</f>
        <v>0</v>
      </c>
    </row>
    <row r="358" spans="1:12" hidden="1" x14ac:dyDescent="0.3">
      <c r="A358" t="s">
        <v>1218</v>
      </c>
      <c r="B358" t="s">
        <v>920</v>
      </c>
      <c r="C358" t="s">
        <v>1219</v>
      </c>
      <c r="D358" t="s">
        <v>1017</v>
      </c>
      <c r="E358" t="s">
        <v>30</v>
      </c>
      <c r="F358">
        <v>0</v>
      </c>
      <c r="G358">
        <v>356</v>
      </c>
      <c r="H358">
        <f>IF(Table1[[#This Row],[my_ent_1]]=Table1[[#This Row],[their_ent_1]], 1, 0)</f>
        <v>0</v>
      </c>
      <c r="I358">
        <f>IF(Table1[[#This Row],[my_ent_2]]=Table1[[#This Row],[their_ent_2]], 1, 0)</f>
        <v>0</v>
      </c>
      <c r="J358">
        <f>IF(Table1[[#This Row],[same_1]]=1 &amp; Table1[[#This Row],[same_2]]=1, 1, 0)</f>
        <v>0</v>
      </c>
      <c r="K358">
        <f>IF(ISNUMBER(SEARCH(Table1[[#This Row],[their_ent_1]],Table1[[#This Row],[my_ent_1]])), 1, 0)</f>
        <v>1</v>
      </c>
      <c r="L358">
        <f>IF(ISNUMBER(SEARCH(Table1[[#This Row],[their_ent_2]],Table1[[#This Row],[my_ent_2]])), 1, 0)</f>
        <v>0</v>
      </c>
    </row>
    <row r="359" spans="1:12" x14ac:dyDescent="0.3">
      <c r="A359" t="s">
        <v>1220</v>
      </c>
      <c r="B359" t="s">
        <v>1221</v>
      </c>
      <c r="C359" t="s">
        <v>1222</v>
      </c>
      <c r="D359" t="s">
        <v>1223</v>
      </c>
      <c r="E359" t="s">
        <v>1223</v>
      </c>
      <c r="F359">
        <v>0</v>
      </c>
      <c r="G359">
        <v>357</v>
      </c>
      <c r="H359">
        <f>IF(Table1[[#This Row],[my_ent_1]]=Table1[[#This Row],[their_ent_1]], 1, 0)</f>
        <v>0</v>
      </c>
      <c r="I359">
        <f>IF(Table1[[#This Row],[my_ent_2]]=Table1[[#This Row],[their_ent_2]], 1, 0)</f>
        <v>1</v>
      </c>
      <c r="J359">
        <f>IF(Table1[[#This Row],[same_1]]=1 &amp; Table1[[#This Row],[same_2]]=1, 1, 0)</f>
        <v>0</v>
      </c>
      <c r="K359">
        <f>IF(ISNUMBER(SEARCH(Table1[[#This Row],[their_ent_1]],Table1[[#This Row],[my_ent_1]])), 1, 0)</f>
        <v>1</v>
      </c>
      <c r="L359">
        <f>IF(ISNUMBER(SEARCH(Table1[[#This Row],[their_ent_2]],Table1[[#This Row],[my_ent_2]])), 1, 0)</f>
        <v>1</v>
      </c>
    </row>
    <row r="360" spans="1:12" hidden="1" x14ac:dyDescent="0.3">
      <c r="A360" t="s">
        <v>1224</v>
      </c>
      <c r="B360" t="s">
        <v>7</v>
      </c>
      <c r="C360">
        <v>250</v>
      </c>
      <c r="D360" t="s">
        <v>1225</v>
      </c>
      <c r="E360" t="s">
        <v>1226</v>
      </c>
      <c r="F360">
        <v>0</v>
      </c>
      <c r="G360">
        <v>358</v>
      </c>
      <c r="H360">
        <f>IF(Table1[[#This Row],[my_ent_1]]=Table1[[#This Row],[their_ent_1]], 1, 0)</f>
        <v>0</v>
      </c>
      <c r="I360">
        <f>IF(Table1[[#This Row],[my_ent_2]]=Table1[[#This Row],[their_ent_2]], 1, 0)</f>
        <v>0</v>
      </c>
      <c r="J360">
        <f>IF(Table1[[#This Row],[same_1]]=1 &amp; Table1[[#This Row],[same_2]]=1, 1, 0)</f>
        <v>0</v>
      </c>
      <c r="K360">
        <f>IF(ISNUMBER(SEARCH(Table1[[#This Row],[their_ent_1]],Table1[[#This Row],[my_ent_1]])), 1, 0)</f>
        <v>0</v>
      </c>
      <c r="L360">
        <f>IF(ISNUMBER(SEARCH(Table1[[#This Row],[their_ent_2]],Table1[[#This Row],[my_ent_2]])), 1, 0)</f>
        <v>0</v>
      </c>
    </row>
    <row r="361" spans="1:12" hidden="1" x14ac:dyDescent="0.3">
      <c r="A361" t="s">
        <v>1227</v>
      </c>
      <c r="B361" t="s">
        <v>663</v>
      </c>
      <c r="C361" t="s">
        <v>663</v>
      </c>
      <c r="D361" t="s">
        <v>1228</v>
      </c>
      <c r="E361" t="s">
        <v>1229</v>
      </c>
      <c r="F361">
        <v>0</v>
      </c>
      <c r="G361">
        <v>359</v>
      </c>
      <c r="H361">
        <f>IF(Table1[[#This Row],[my_ent_1]]=Table1[[#This Row],[their_ent_1]], 1, 0)</f>
        <v>1</v>
      </c>
      <c r="I361">
        <f>IF(Table1[[#This Row],[my_ent_2]]=Table1[[#This Row],[their_ent_2]], 1, 0)</f>
        <v>0</v>
      </c>
      <c r="J361">
        <f>IF(Table1[[#This Row],[same_1]]=1 &amp; Table1[[#This Row],[same_2]]=1, 1, 0)</f>
        <v>0</v>
      </c>
      <c r="K361">
        <f>IF(ISNUMBER(SEARCH(Table1[[#This Row],[their_ent_1]],Table1[[#This Row],[my_ent_1]])), 1, 0)</f>
        <v>1</v>
      </c>
      <c r="L361">
        <f>IF(ISNUMBER(SEARCH(Table1[[#This Row],[their_ent_2]],Table1[[#This Row],[my_ent_2]])), 1, 0)</f>
        <v>0</v>
      </c>
    </row>
    <row r="362" spans="1:12" hidden="1" x14ac:dyDescent="0.3">
      <c r="A362" t="s">
        <v>1230</v>
      </c>
      <c r="B362" t="s">
        <v>1231</v>
      </c>
      <c r="C362" t="s">
        <v>1232</v>
      </c>
      <c r="D362" t="s">
        <v>1233</v>
      </c>
      <c r="E362" t="s">
        <v>1233</v>
      </c>
      <c r="F362">
        <v>0</v>
      </c>
      <c r="G362">
        <v>360</v>
      </c>
      <c r="H362">
        <f>IF(Table1[[#This Row],[my_ent_1]]=Table1[[#This Row],[their_ent_1]], 1, 0)</f>
        <v>0</v>
      </c>
      <c r="I362">
        <f>IF(Table1[[#This Row],[my_ent_2]]=Table1[[#This Row],[their_ent_2]], 1, 0)</f>
        <v>1</v>
      </c>
      <c r="J362">
        <f>IF(Table1[[#This Row],[same_1]]=1 &amp; Table1[[#This Row],[same_2]]=1, 1, 0)</f>
        <v>0</v>
      </c>
      <c r="K362">
        <f>IF(ISNUMBER(SEARCH(Table1[[#This Row],[their_ent_1]],Table1[[#This Row],[my_ent_1]])), 1, 0)</f>
        <v>0</v>
      </c>
      <c r="L362">
        <f>IF(ISNUMBER(SEARCH(Table1[[#This Row],[their_ent_2]],Table1[[#This Row],[my_ent_2]])), 1, 0)</f>
        <v>1</v>
      </c>
    </row>
    <row r="363" spans="1:12" hidden="1" x14ac:dyDescent="0.3">
      <c r="A363" t="s">
        <v>1234</v>
      </c>
      <c r="B363" t="s">
        <v>284</v>
      </c>
      <c r="C363" t="s">
        <v>1235</v>
      </c>
      <c r="D363" t="s">
        <v>1236</v>
      </c>
      <c r="E363" t="s">
        <v>1237</v>
      </c>
      <c r="F363">
        <v>0</v>
      </c>
      <c r="G363">
        <v>361</v>
      </c>
      <c r="H363">
        <f>IF(Table1[[#This Row],[my_ent_1]]=Table1[[#This Row],[their_ent_1]], 1, 0)</f>
        <v>0</v>
      </c>
      <c r="I363">
        <f>IF(Table1[[#This Row],[my_ent_2]]=Table1[[#This Row],[their_ent_2]], 1, 0)</f>
        <v>0</v>
      </c>
      <c r="J363">
        <f>IF(Table1[[#This Row],[same_1]]=1 &amp; Table1[[#This Row],[same_2]]=1, 1, 0)</f>
        <v>0</v>
      </c>
      <c r="K363">
        <f>IF(ISNUMBER(SEARCH(Table1[[#This Row],[their_ent_1]],Table1[[#This Row],[my_ent_1]])), 1, 0)</f>
        <v>0</v>
      </c>
      <c r="L363">
        <f>IF(ISNUMBER(SEARCH(Table1[[#This Row],[their_ent_2]],Table1[[#This Row],[my_ent_2]])), 1, 0)</f>
        <v>0</v>
      </c>
    </row>
    <row r="364" spans="1:12" hidden="1" x14ac:dyDescent="0.3">
      <c r="A364" t="s">
        <v>1238</v>
      </c>
      <c r="B364" t="s">
        <v>1239</v>
      </c>
      <c r="C364" t="s">
        <v>1240</v>
      </c>
      <c r="D364" t="s">
        <v>1241</v>
      </c>
      <c r="E364" t="s">
        <v>1242</v>
      </c>
      <c r="F364">
        <v>0</v>
      </c>
      <c r="G364">
        <v>362</v>
      </c>
      <c r="H364">
        <f>IF(Table1[[#This Row],[my_ent_1]]=Table1[[#This Row],[their_ent_1]], 1, 0)</f>
        <v>0</v>
      </c>
      <c r="I364">
        <f>IF(Table1[[#This Row],[my_ent_2]]=Table1[[#This Row],[their_ent_2]], 1, 0)</f>
        <v>0</v>
      </c>
      <c r="J364">
        <f>IF(Table1[[#This Row],[same_1]]=1 &amp; Table1[[#This Row],[same_2]]=1, 1, 0)</f>
        <v>0</v>
      </c>
      <c r="K364">
        <f>IF(ISNUMBER(SEARCH(Table1[[#This Row],[their_ent_1]],Table1[[#This Row],[my_ent_1]])), 1, 0)</f>
        <v>0</v>
      </c>
      <c r="L364">
        <f>IF(ISNUMBER(SEARCH(Table1[[#This Row],[their_ent_2]],Table1[[#This Row],[my_ent_2]])), 1, 0)</f>
        <v>0</v>
      </c>
    </row>
    <row r="365" spans="1:12" hidden="1" x14ac:dyDescent="0.3">
      <c r="A365" t="s">
        <v>1243</v>
      </c>
      <c r="B365" t="s">
        <v>1244</v>
      </c>
      <c r="C365" t="s">
        <v>1245</v>
      </c>
      <c r="D365" t="s">
        <v>1246</v>
      </c>
      <c r="E365" t="s">
        <v>644</v>
      </c>
      <c r="F365">
        <v>0</v>
      </c>
      <c r="G365">
        <v>363</v>
      </c>
      <c r="H365">
        <f>IF(Table1[[#This Row],[my_ent_1]]=Table1[[#This Row],[their_ent_1]], 1, 0)</f>
        <v>0</v>
      </c>
      <c r="I365">
        <f>IF(Table1[[#This Row],[my_ent_2]]=Table1[[#This Row],[their_ent_2]], 1, 0)</f>
        <v>0</v>
      </c>
      <c r="J365">
        <f>IF(Table1[[#This Row],[same_1]]=1 &amp; Table1[[#This Row],[same_2]]=1, 1, 0)</f>
        <v>0</v>
      </c>
      <c r="K365">
        <f>IF(ISNUMBER(SEARCH(Table1[[#This Row],[their_ent_1]],Table1[[#This Row],[my_ent_1]])), 1, 0)</f>
        <v>0</v>
      </c>
      <c r="L365">
        <f>IF(ISNUMBER(SEARCH(Table1[[#This Row],[their_ent_2]],Table1[[#This Row],[my_ent_2]])), 1, 0)</f>
        <v>0</v>
      </c>
    </row>
    <row r="366" spans="1:12" hidden="1" x14ac:dyDescent="0.3">
      <c r="A366" t="s">
        <v>1247</v>
      </c>
      <c r="B366" t="s">
        <v>599</v>
      </c>
      <c r="C366" t="s">
        <v>1248</v>
      </c>
      <c r="D366" t="s">
        <v>49</v>
      </c>
      <c r="E366" t="s">
        <v>1249</v>
      </c>
      <c r="F366">
        <v>0</v>
      </c>
      <c r="G366">
        <v>364</v>
      </c>
      <c r="H366">
        <f>IF(Table1[[#This Row],[my_ent_1]]=Table1[[#This Row],[their_ent_1]], 1, 0)</f>
        <v>0</v>
      </c>
      <c r="I366">
        <f>IF(Table1[[#This Row],[my_ent_2]]=Table1[[#This Row],[their_ent_2]], 1, 0)</f>
        <v>0</v>
      </c>
      <c r="J366">
        <f>IF(Table1[[#This Row],[same_1]]=1 &amp; Table1[[#This Row],[same_2]]=1, 1, 0)</f>
        <v>0</v>
      </c>
      <c r="K366">
        <f>IF(ISNUMBER(SEARCH(Table1[[#This Row],[their_ent_1]],Table1[[#This Row],[my_ent_1]])), 1, 0)</f>
        <v>0</v>
      </c>
      <c r="L366">
        <f>IF(ISNUMBER(SEARCH(Table1[[#This Row],[their_ent_2]],Table1[[#This Row],[my_ent_2]])), 1, 0)</f>
        <v>0</v>
      </c>
    </row>
    <row r="367" spans="1:12" hidden="1" x14ac:dyDescent="0.3">
      <c r="A367" t="s">
        <v>1250</v>
      </c>
      <c r="B367" t="s">
        <v>1251</v>
      </c>
      <c r="C367" t="s">
        <v>1252</v>
      </c>
      <c r="D367" t="s">
        <v>1253</v>
      </c>
      <c r="E367" t="s">
        <v>1251</v>
      </c>
      <c r="F367">
        <v>0</v>
      </c>
      <c r="G367">
        <v>365</v>
      </c>
      <c r="H367">
        <f>IF(Table1[[#This Row],[my_ent_1]]=Table1[[#This Row],[their_ent_1]], 1, 0)</f>
        <v>0</v>
      </c>
      <c r="I367">
        <f>IF(Table1[[#This Row],[my_ent_2]]=Table1[[#This Row],[their_ent_2]], 1, 0)</f>
        <v>0</v>
      </c>
      <c r="J367">
        <f>IF(Table1[[#This Row],[same_1]]=1 &amp; Table1[[#This Row],[same_2]]=1, 1, 0)</f>
        <v>0</v>
      </c>
      <c r="K367">
        <f>IF(ISNUMBER(SEARCH(Table1[[#This Row],[their_ent_1]],Table1[[#This Row],[my_ent_1]])), 1, 0)</f>
        <v>0</v>
      </c>
      <c r="L367">
        <f>IF(ISNUMBER(SEARCH(Table1[[#This Row],[their_ent_2]],Table1[[#This Row],[my_ent_2]])), 1, 0)</f>
        <v>0</v>
      </c>
    </row>
    <row r="368" spans="1:12" hidden="1" x14ac:dyDescent="0.3">
      <c r="A368" t="s">
        <v>1254</v>
      </c>
      <c r="B368" t="s">
        <v>199</v>
      </c>
      <c r="C368" t="s">
        <v>199</v>
      </c>
      <c r="D368" t="s">
        <v>7</v>
      </c>
      <c r="E368" t="s">
        <v>15</v>
      </c>
      <c r="F368">
        <v>0</v>
      </c>
      <c r="G368">
        <v>366</v>
      </c>
      <c r="H368">
        <f>IF(Table1[[#This Row],[my_ent_1]]=Table1[[#This Row],[their_ent_1]], 1, 0)</f>
        <v>1</v>
      </c>
      <c r="I368">
        <f>IF(Table1[[#This Row],[my_ent_2]]=Table1[[#This Row],[their_ent_2]], 1, 0)</f>
        <v>0</v>
      </c>
      <c r="J368">
        <f>IF(Table1[[#This Row],[same_1]]=1 &amp; Table1[[#This Row],[same_2]]=1, 1, 0)</f>
        <v>0</v>
      </c>
      <c r="K368">
        <f>IF(ISNUMBER(SEARCH(Table1[[#This Row],[their_ent_1]],Table1[[#This Row],[my_ent_1]])), 1, 0)</f>
        <v>1</v>
      </c>
      <c r="L368">
        <f>IF(ISNUMBER(SEARCH(Table1[[#This Row],[their_ent_2]],Table1[[#This Row],[my_ent_2]])), 1, 0)</f>
        <v>0</v>
      </c>
    </row>
    <row r="369" spans="1:12" hidden="1" x14ac:dyDescent="0.3">
      <c r="A369" t="s">
        <v>1255</v>
      </c>
      <c r="B369" t="s">
        <v>30</v>
      </c>
      <c r="C369" t="s">
        <v>30</v>
      </c>
      <c r="D369" t="s">
        <v>54</v>
      </c>
      <c r="E369" t="s">
        <v>98</v>
      </c>
      <c r="F369">
        <v>0</v>
      </c>
      <c r="G369">
        <v>367</v>
      </c>
      <c r="H369">
        <f>IF(Table1[[#This Row],[my_ent_1]]=Table1[[#This Row],[their_ent_1]], 1, 0)</f>
        <v>1</v>
      </c>
      <c r="I369">
        <f>IF(Table1[[#This Row],[my_ent_2]]=Table1[[#This Row],[their_ent_2]], 1, 0)</f>
        <v>0</v>
      </c>
      <c r="J369">
        <f>IF(Table1[[#This Row],[same_1]]=1 &amp; Table1[[#This Row],[same_2]]=1, 1, 0)</f>
        <v>0</v>
      </c>
      <c r="K369">
        <f>IF(ISNUMBER(SEARCH(Table1[[#This Row],[their_ent_1]],Table1[[#This Row],[my_ent_1]])), 1, 0)</f>
        <v>1</v>
      </c>
      <c r="L369">
        <f>IF(ISNUMBER(SEARCH(Table1[[#This Row],[their_ent_2]],Table1[[#This Row],[my_ent_2]])), 1, 0)</f>
        <v>0</v>
      </c>
    </row>
    <row r="370" spans="1:12" hidden="1" x14ac:dyDescent="0.3">
      <c r="A370" t="s">
        <v>1256</v>
      </c>
      <c r="B370" t="s">
        <v>1257</v>
      </c>
      <c r="C370" t="s">
        <v>1258</v>
      </c>
      <c r="D370" t="s">
        <v>639</v>
      </c>
      <c r="E370" t="s">
        <v>1257</v>
      </c>
      <c r="F370">
        <v>0</v>
      </c>
      <c r="G370">
        <v>368</v>
      </c>
      <c r="H370">
        <f>IF(Table1[[#This Row],[my_ent_1]]=Table1[[#This Row],[their_ent_1]], 1, 0)</f>
        <v>0</v>
      </c>
      <c r="I370">
        <f>IF(Table1[[#This Row],[my_ent_2]]=Table1[[#This Row],[their_ent_2]], 1, 0)</f>
        <v>0</v>
      </c>
      <c r="J370">
        <f>IF(Table1[[#This Row],[same_1]]=1 &amp; Table1[[#This Row],[same_2]]=1, 1, 0)</f>
        <v>0</v>
      </c>
      <c r="K370">
        <f>IF(ISNUMBER(SEARCH(Table1[[#This Row],[their_ent_1]],Table1[[#This Row],[my_ent_1]])), 1, 0)</f>
        <v>0</v>
      </c>
      <c r="L370">
        <f>IF(ISNUMBER(SEARCH(Table1[[#This Row],[their_ent_2]],Table1[[#This Row],[my_ent_2]])), 1, 0)</f>
        <v>0</v>
      </c>
    </row>
    <row r="371" spans="1:12" hidden="1" x14ac:dyDescent="0.3">
      <c r="A371" t="s">
        <v>1259</v>
      </c>
      <c r="B371" t="s">
        <v>1260</v>
      </c>
      <c r="C371" t="s">
        <v>1261</v>
      </c>
      <c r="D371" t="s">
        <v>1261</v>
      </c>
      <c r="E371" t="s">
        <v>1262</v>
      </c>
      <c r="F371">
        <v>0</v>
      </c>
      <c r="G371">
        <v>369</v>
      </c>
      <c r="H371">
        <f>IF(Table1[[#This Row],[my_ent_1]]=Table1[[#This Row],[their_ent_1]], 1, 0)</f>
        <v>0</v>
      </c>
      <c r="I371">
        <f>IF(Table1[[#This Row],[my_ent_2]]=Table1[[#This Row],[their_ent_2]], 1, 0)</f>
        <v>0</v>
      </c>
      <c r="J371">
        <f>IF(Table1[[#This Row],[same_1]]=1 &amp; Table1[[#This Row],[same_2]]=1, 1, 0)</f>
        <v>0</v>
      </c>
      <c r="K371">
        <f>IF(ISNUMBER(SEARCH(Table1[[#This Row],[their_ent_1]],Table1[[#This Row],[my_ent_1]])), 1, 0)</f>
        <v>0</v>
      </c>
      <c r="L371">
        <f>IF(ISNUMBER(SEARCH(Table1[[#This Row],[their_ent_2]],Table1[[#This Row],[my_ent_2]])), 1, 0)</f>
        <v>0</v>
      </c>
    </row>
    <row r="372" spans="1:12" hidden="1" x14ac:dyDescent="0.3">
      <c r="A372" t="s">
        <v>1263</v>
      </c>
      <c r="B372" t="s">
        <v>1264</v>
      </c>
      <c r="C372" t="s">
        <v>1265</v>
      </c>
      <c r="D372" t="s">
        <v>1266</v>
      </c>
      <c r="E372" t="s">
        <v>300</v>
      </c>
      <c r="F372">
        <v>0</v>
      </c>
      <c r="G372">
        <v>370</v>
      </c>
      <c r="H372">
        <f>IF(Table1[[#This Row],[my_ent_1]]=Table1[[#This Row],[their_ent_1]], 1, 0)</f>
        <v>0</v>
      </c>
      <c r="I372">
        <f>IF(Table1[[#This Row],[my_ent_2]]=Table1[[#This Row],[their_ent_2]], 1, 0)</f>
        <v>0</v>
      </c>
      <c r="J372">
        <f>IF(Table1[[#This Row],[same_1]]=1 &amp; Table1[[#This Row],[same_2]]=1, 1, 0)</f>
        <v>0</v>
      </c>
      <c r="K372">
        <f>IF(ISNUMBER(SEARCH(Table1[[#This Row],[their_ent_1]],Table1[[#This Row],[my_ent_1]])), 1, 0)</f>
        <v>0</v>
      </c>
      <c r="L372">
        <f>IF(ISNUMBER(SEARCH(Table1[[#This Row],[their_ent_2]],Table1[[#This Row],[my_ent_2]])), 1, 0)</f>
        <v>0</v>
      </c>
    </row>
    <row r="373" spans="1:12" hidden="1" x14ac:dyDescent="0.3">
      <c r="A373" t="s">
        <v>1267</v>
      </c>
      <c r="B373" t="s">
        <v>1268</v>
      </c>
      <c r="C373" t="s">
        <v>1269</v>
      </c>
      <c r="D373" t="s">
        <v>1269</v>
      </c>
      <c r="E373" t="s">
        <v>1270</v>
      </c>
      <c r="F373">
        <v>0</v>
      </c>
      <c r="G373">
        <v>371</v>
      </c>
      <c r="H373">
        <f>IF(Table1[[#This Row],[my_ent_1]]=Table1[[#This Row],[their_ent_1]], 1, 0)</f>
        <v>0</v>
      </c>
      <c r="I373">
        <f>IF(Table1[[#This Row],[my_ent_2]]=Table1[[#This Row],[their_ent_2]], 1, 0)</f>
        <v>0</v>
      </c>
      <c r="J373">
        <f>IF(Table1[[#This Row],[same_1]]=1 &amp; Table1[[#This Row],[same_2]]=1, 1, 0)</f>
        <v>0</v>
      </c>
      <c r="K373">
        <f>IF(ISNUMBER(SEARCH(Table1[[#This Row],[their_ent_1]],Table1[[#This Row],[my_ent_1]])), 1, 0)</f>
        <v>0</v>
      </c>
      <c r="L373">
        <f>IF(ISNUMBER(SEARCH(Table1[[#This Row],[their_ent_2]],Table1[[#This Row],[my_ent_2]])), 1, 0)</f>
        <v>0</v>
      </c>
    </row>
    <row r="374" spans="1:12" hidden="1" x14ac:dyDescent="0.3">
      <c r="A374" t="s">
        <v>1271</v>
      </c>
      <c r="B374" t="s">
        <v>1272</v>
      </c>
      <c r="C374" t="s">
        <v>1273</v>
      </c>
      <c r="D374" t="s">
        <v>1273</v>
      </c>
      <c r="E374" t="s">
        <v>15</v>
      </c>
      <c r="F374">
        <v>0</v>
      </c>
      <c r="G374">
        <v>372</v>
      </c>
      <c r="H374">
        <f>IF(Table1[[#This Row],[my_ent_1]]=Table1[[#This Row],[their_ent_1]], 1, 0)</f>
        <v>0</v>
      </c>
      <c r="I374">
        <f>IF(Table1[[#This Row],[my_ent_2]]=Table1[[#This Row],[their_ent_2]], 1, 0)</f>
        <v>0</v>
      </c>
      <c r="J374">
        <f>IF(Table1[[#This Row],[same_1]]=1 &amp; Table1[[#This Row],[same_2]]=1, 1, 0)</f>
        <v>0</v>
      </c>
      <c r="K374">
        <f>IF(ISNUMBER(SEARCH(Table1[[#This Row],[their_ent_1]],Table1[[#This Row],[my_ent_1]])), 1, 0)</f>
        <v>0</v>
      </c>
      <c r="L374">
        <f>IF(ISNUMBER(SEARCH(Table1[[#This Row],[their_ent_2]],Table1[[#This Row],[my_ent_2]])), 1, 0)</f>
        <v>0</v>
      </c>
    </row>
    <row r="375" spans="1:12" hidden="1" x14ac:dyDescent="0.3">
      <c r="A375" t="s">
        <v>1274</v>
      </c>
      <c r="B375" t="s">
        <v>1275</v>
      </c>
      <c r="C375" t="s">
        <v>1275</v>
      </c>
      <c r="D375" t="s">
        <v>54</v>
      </c>
      <c r="E375" t="s">
        <v>1276</v>
      </c>
      <c r="F375">
        <v>0</v>
      </c>
      <c r="G375">
        <v>373</v>
      </c>
      <c r="H375">
        <f>IF(Table1[[#This Row],[my_ent_1]]=Table1[[#This Row],[their_ent_1]], 1, 0)</f>
        <v>1</v>
      </c>
      <c r="I375">
        <f>IF(Table1[[#This Row],[my_ent_2]]=Table1[[#This Row],[their_ent_2]], 1, 0)</f>
        <v>0</v>
      </c>
      <c r="J375">
        <f>IF(Table1[[#This Row],[same_1]]=1 &amp; Table1[[#This Row],[same_2]]=1, 1, 0)</f>
        <v>0</v>
      </c>
      <c r="K375">
        <f>IF(ISNUMBER(SEARCH(Table1[[#This Row],[their_ent_1]],Table1[[#This Row],[my_ent_1]])), 1, 0)</f>
        <v>1</v>
      </c>
      <c r="L375">
        <f>IF(ISNUMBER(SEARCH(Table1[[#This Row],[their_ent_2]],Table1[[#This Row],[my_ent_2]])), 1, 0)</f>
        <v>0</v>
      </c>
    </row>
    <row r="376" spans="1:12" hidden="1" x14ac:dyDescent="0.3">
      <c r="A376" t="s">
        <v>1277</v>
      </c>
      <c r="B376" t="s">
        <v>1278</v>
      </c>
      <c r="C376" t="s">
        <v>1278</v>
      </c>
      <c r="D376" t="s">
        <v>1279</v>
      </c>
      <c r="E376" t="s">
        <v>1280</v>
      </c>
      <c r="F376">
        <v>0</v>
      </c>
      <c r="G376">
        <v>374</v>
      </c>
      <c r="H376">
        <f>IF(Table1[[#This Row],[my_ent_1]]=Table1[[#This Row],[their_ent_1]], 1, 0)</f>
        <v>1</v>
      </c>
      <c r="I376">
        <f>IF(Table1[[#This Row],[my_ent_2]]=Table1[[#This Row],[their_ent_2]], 1, 0)</f>
        <v>0</v>
      </c>
      <c r="J376">
        <f>IF(Table1[[#This Row],[same_1]]=1 &amp; Table1[[#This Row],[same_2]]=1, 1, 0)</f>
        <v>0</v>
      </c>
      <c r="K376">
        <f>IF(ISNUMBER(SEARCH(Table1[[#This Row],[their_ent_1]],Table1[[#This Row],[my_ent_1]])), 1, 0)</f>
        <v>1</v>
      </c>
      <c r="L376">
        <f>IF(ISNUMBER(SEARCH(Table1[[#This Row],[their_ent_2]],Table1[[#This Row],[my_ent_2]])), 1, 0)</f>
        <v>0</v>
      </c>
    </row>
    <row r="377" spans="1:12" x14ac:dyDescent="0.3">
      <c r="A377" t="s">
        <v>1281</v>
      </c>
      <c r="B377" t="s">
        <v>241</v>
      </c>
      <c r="C377" t="s">
        <v>34</v>
      </c>
      <c r="D377" t="s">
        <v>480</v>
      </c>
      <c r="E377" t="s">
        <v>480</v>
      </c>
      <c r="F377">
        <v>0</v>
      </c>
      <c r="G377">
        <v>375</v>
      </c>
      <c r="H377">
        <f>IF(Table1[[#This Row],[my_ent_1]]=Table1[[#This Row],[their_ent_1]], 1, 0)</f>
        <v>0</v>
      </c>
      <c r="I377">
        <f>IF(Table1[[#This Row],[my_ent_2]]=Table1[[#This Row],[their_ent_2]], 1, 0)</f>
        <v>1</v>
      </c>
      <c r="J377">
        <f>IF(Table1[[#This Row],[same_1]]=1 &amp; Table1[[#This Row],[same_2]]=1, 1, 0)</f>
        <v>0</v>
      </c>
      <c r="K377">
        <f>IF(ISNUMBER(SEARCH(Table1[[#This Row],[their_ent_1]],Table1[[#This Row],[my_ent_1]])), 1, 0)</f>
        <v>1</v>
      </c>
      <c r="L377">
        <f>IF(ISNUMBER(SEARCH(Table1[[#This Row],[their_ent_2]],Table1[[#This Row],[my_ent_2]])), 1, 0)</f>
        <v>1</v>
      </c>
    </row>
    <row r="378" spans="1:12" hidden="1" x14ac:dyDescent="0.3">
      <c r="A378" t="s">
        <v>971</v>
      </c>
      <c r="B378" t="s">
        <v>972</v>
      </c>
      <c r="C378" t="s">
        <v>80</v>
      </c>
      <c r="D378" t="s">
        <v>973</v>
      </c>
      <c r="E378" t="s">
        <v>973</v>
      </c>
      <c r="F378">
        <v>0</v>
      </c>
      <c r="G378">
        <v>376</v>
      </c>
      <c r="H378">
        <f>IF(Table1[[#This Row],[my_ent_1]]=Table1[[#This Row],[their_ent_1]], 1, 0)</f>
        <v>0</v>
      </c>
      <c r="I378">
        <f>IF(Table1[[#This Row],[my_ent_2]]=Table1[[#This Row],[their_ent_2]], 1, 0)</f>
        <v>1</v>
      </c>
      <c r="J378">
        <f>IF(Table1[[#This Row],[same_1]]=1 &amp; Table1[[#This Row],[same_2]]=1, 1, 0)</f>
        <v>0</v>
      </c>
      <c r="K378">
        <f>IF(ISNUMBER(SEARCH(Table1[[#This Row],[their_ent_1]],Table1[[#This Row],[my_ent_1]])), 1, 0)</f>
        <v>0</v>
      </c>
      <c r="L378">
        <f>IF(ISNUMBER(SEARCH(Table1[[#This Row],[their_ent_2]],Table1[[#This Row],[my_ent_2]])), 1, 0)</f>
        <v>1</v>
      </c>
    </row>
    <row r="379" spans="1:12" hidden="1" x14ac:dyDescent="0.3">
      <c r="A379" t="s">
        <v>1282</v>
      </c>
      <c r="B379" t="s">
        <v>525</v>
      </c>
      <c r="C379" t="s">
        <v>525</v>
      </c>
      <c r="D379" t="s">
        <v>7</v>
      </c>
      <c r="E379" t="s">
        <v>404</v>
      </c>
      <c r="F379">
        <v>0</v>
      </c>
      <c r="G379">
        <v>377</v>
      </c>
      <c r="H379">
        <f>IF(Table1[[#This Row],[my_ent_1]]=Table1[[#This Row],[their_ent_1]], 1, 0)</f>
        <v>1</v>
      </c>
      <c r="I379">
        <f>IF(Table1[[#This Row],[my_ent_2]]=Table1[[#This Row],[their_ent_2]], 1, 0)</f>
        <v>0</v>
      </c>
      <c r="J379">
        <f>IF(Table1[[#This Row],[same_1]]=1 &amp; Table1[[#This Row],[same_2]]=1, 1, 0)</f>
        <v>0</v>
      </c>
      <c r="K379">
        <f>IF(ISNUMBER(SEARCH(Table1[[#This Row],[their_ent_1]],Table1[[#This Row],[my_ent_1]])), 1, 0)</f>
        <v>1</v>
      </c>
      <c r="L379">
        <f>IF(ISNUMBER(SEARCH(Table1[[#This Row],[their_ent_2]],Table1[[#This Row],[my_ent_2]])), 1, 0)</f>
        <v>0</v>
      </c>
    </row>
    <row r="380" spans="1:12" hidden="1" x14ac:dyDescent="0.3">
      <c r="A380" t="s">
        <v>1283</v>
      </c>
      <c r="B380" t="s">
        <v>34</v>
      </c>
      <c r="C380" t="s">
        <v>34</v>
      </c>
      <c r="D380" t="s">
        <v>263</v>
      </c>
      <c r="E380" t="s">
        <v>1284</v>
      </c>
      <c r="F380">
        <v>0</v>
      </c>
      <c r="G380">
        <v>378</v>
      </c>
      <c r="H380">
        <f>IF(Table1[[#This Row],[my_ent_1]]=Table1[[#This Row],[their_ent_1]], 1, 0)</f>
        <v>1</v>
      </c>
      <c r="I380">
        <f>IF(Table1[[#This Row],[my_ent_2]]=Table1[[#This Row],[their_ent_2]], 1, 0)</f>
        <v>0</v>
      </c>
      <c r="J380">
        <f>IF(Table1[[#This Row],[same_1]]=1 &amp; Table1[[#This Row],[same_2]]=1, 1, 0)</f>
        <v>0</v>
      </c>
      <c r="K380">
        <f>IF(ISNUMBER(SEARCH(Table1[[#This Row],[their_ent_1]],Table1[[#This Row],[my_ent_1]])), 1, 0)</f>
        <v>1</v>
      </c>
      <c r="L380">
        <f>IF(ISNUMBER(SEARCH(Table1[[#This Row],[their_ent_2]],Table1[[#This Row],[my_ent_2]])), 1, 0)</f>
        <v>0</v>
      </c>
    </row>
    <row r="381" spans="1:12" hidden="1" x14ac:dyDescent="0.3">
      <c r="A381" t="s">
        <v>1285</v>
      </c>
      <c r="B381" t="s">
        <v>7</v>
      </c>
      <c r="C381" t="s">
        <v>1286</v>
      </c>
      <c r="D381" t="s">
        <v>1225</v>
      </c>
      <c r="E381" t="s">
        <v>1287</v>
      </c>
      <c r="F381">
        <v>0</v>
      </c>
      <c r="G381">
        <v>379</v>
      </c>
      <c r="H381">
        <f>IF(Table1[[#This Row],[my_ent_1]]=Table1[[#This Row],[their_ent_1]], 1, 0)</f>
        <v>0</v>
      </c>
      <c r="I381">
        <f>IF(Table1[[#This Row],[my_ent_2]]=Table1[[#This Row],[their_ent_2]], 1, 0)</f>
        <v>0</v>
      </c>
      <c r="J381">
        <f>IF(Table1[[#This Row],[same_1]]=1 &amp; Table1[[#This Row],[same_2]]=1, 1, 0)</f>
        <v>0</v>
      </c>
      <c r="K381">
        <f>IF(ISNUMBER(SEARCH(Table1[[#This Row],[their_ent_1]],Table1[[#This Row],[my_ent_1]])), 1, 0)</f>
        <v>0</v>
      </c>
      <c r="L381">
        <f>IF(ISNUMBER(SEARCH(Table1[[#This Row],[their_ent_2]],Table1[[#This Row],[my_ent_2]])), 1, 0)</f>
        <v>0</v>
      </c>
    </row>
    <row r="382" spans="1:12" hidden="1" x14ac:dyDescent="0.3">
      <c r="A382" t="s">
        <v>1288</v>
      </c>
      <c r="B382" t="s">
        <v>1289</v>
      </c>
      <c r="C382" t="s">
        <v>1290</v>
      </c>
      <c r="D382" t="s">
        <v>1291</v>
      </c>
      <c r="E382" t="s">
        <v>1292</v>
      </c>
      <c r="F382">
        <v>0</v>
      </c>
      <c r="G382">
        <v>380</v>
      </c>
      <c r="H382">
        <f>IF(Table1[[#This Row],[my_ent_1]]=Table1[[#This Row],[their_ent_1]], 1, 0)</f>
        <v>0</v>
      </c>
      <c r="I382">
        <f>IF(Table1[[#This Row],[my_ent_2]]=Table1[[#This Row],[their_ent_2]], 1, 0)</f>
        <v>0</v>
      </c>
      <c r="J382">
        <f>IF(Table1[[#This Row],[same_1]]=1 &amp; Table1[[#This Row],[same_2]]=1, 1, 0)</f>
        <v>0</v>
      </c>
      <c r="K382">
        <f>IF(ISNUMBER(SEARCH(Table1[[#This Row],[their_ent_1]],Table1[[#This Row],[my_ent_1]])), 1, 0)</f>
        <v>1</v>
      </c>
      <c r="L382">
        <f>IF(ISNUMBER(SEARCH(Table1[[#This Row],[their_ent_2]],Table1[[#This Row],[my_ent_2]])), 1, 0)</f>
        <v>0</v>
      </c>
    </row>
    <row r="383" spans="1:12" hidden="1" x14ac:dyDescent="0.3">
      <c r="A383" t="s">
        <v>1293</v>
      </c>
      <c r="B383" t="s">
        <v>780</v>
      </c>
      <c r="C383" t="s">
        <v>1294</v>
      </c>
      <c r="D383" t="s">
        <v>1294</v>
      </c>
      <c r="E383" t="s">
        <v>1295</v>
      </c>
      <c r="F383">
        <v>0</v>
      </c>
      <c r="G383">
        <v>381</v>
      </c>
      <c r="H383">
        <f>IF(Table1[[#This Row],[my_ent_1]]=Table1[[#This Row],[their_ent_1]], 1, 0)</f>
        <v>0</v>
      </c>
      <c r="I383">
        <f>IF(Table1[[#This Row],[my_ent_2]]=Table1[[#This Row],[their_ent_2]], 1, 0)</f>
        <v>0</v>
      </c>
      <c r="J383">
        <f>IF(Table1[[#This Row],[same_1]]=1 &amp; Table1[[#This Row],[same_2]]=1, 1, 0)</f>
        <v>0</v>
      </c>
      <c r="K383">
        <f>IF(ISNUMBER(SEARCH(Table1[[#This Row],[their_ent_1]],Table1[[#This Row],[my_ent_1]])), 1, 0)</f>
        <v>0</v>
      </c>
      <c r="L383">
        <f>IF(ISNUMBER(SEARCH(Table1[[#This Row],[their_ent_2]],Table1[[#This Row],[my_ent_2]])), 1, 0)</f>
        <v>0</v>
      </c>
    </row>
    <row r="384" spans="1:12" hidden="1" x14ac:dyDescent="0.3">
      <c r="A384" t="s">
        <v>1296</v>
      </c>
      <c r="B384" t="s">
        <v>324</v>
      </c>
      <c r="C384" t="s">
        <v>1297</v>
      </c>
      <c r="D384" t="s">
        <v>1297</v>
      </c>
      <c r="E384" t="s">
        <v>1298</v>
      </c>
      <c r="F384">
        <v>0</v>
      </c>
      <c r="G384">
        <v>382</v>
      </c>
      <c r="H384">
        <f>IF(Table1[[#This Row],[my_ent_1]]=Table1[[#This Row],[their_ent_1]], 1, 0)</f>
        <v>0</v>
      </c>
      <c r="I384">
        <f>IF(Table1[[#This Row],[my_ent_2]]=Table1[[#This Row],[their_ent_2]], 1, 0)</f>
        <v>0</v>
      </c>
      <c r="J384">
        <f>IF(Table1[[#This Row],[same_1]]=1 &amp; Table1[[#This Row],[same_2]]=1, 1, 0)</f>
        <v>0</v>
      </c>
      <c r="K384">
        <f>IF(ISNUMBER(SEARCH(Table1[[#This Row],[their_ent_1]],Table1[[#This Row],[my_ent_1]])), 1, 0)</f>
        <v>0</v>
      </c>
      <c r="L384">
        <f>IF(ISNUMBER(SEARCH(Table1[[#This Row],[their_ent_2]],Table1[[#This Row],[my_ent_2]])), 1, 0)</f>
        <v>0</v>
      </c>
    </row>
    <row r="385" spans="1:12" hidden="1" x14ac:dyDescent="0.3">
      <c r="A385" t="s">
        <v>1299</v>
      </c>
      <c r="B385" t="s">
        <v>1300</v>
      </c>
      <c r="C385" t="s">
        <v>15</v>
      </c>
      <c r="D385" t="s">
        <v>1301</v>
      </c>
      <c r="E385" t="s">
        <v>1301</v>
      </c>
      <c r="F385">
        <v>0</v>
      </c>
      <c r="G385">
        <v>383</v>
      </c>
      <c r="H385">
        <f>IF(Table1[[#This Row],[my_ent_1]]=Table1[[#This Row],[their_ent_1]], 1, 0)</f>
        <v>0</v>
      </c>
      <c r="I385">
        <f>IF(Table1[[#This Row],[my_ent_2]]=Table1[[#This Row],[their_ent_2]], 1, 0)</f>
        <v>1</v>
      </c>
      <c r="J385">
        <f>IF(Table1[[#This Row],[same_1]]=1 &amp; Table1[[#This Row],[same_2]]=1, 1, 0)</f>
        <v>0</v>
      </c>
      <c r="K385">
        <f>IF(ISNUMBER(SEARCH(Table1[[#This Row],[their_ent_1]],Table1[[#This Row],[my_ent_1]])), 1, 0)</f>
        <v>0</v>
      </c>
      <c r="L385">
        <f>IF(ISNUMBER(SEARCH(Table1[[#This Row],[their_ent_2]],Table1[[#This Row],[my_ent_2]])), 1, 0)</f>
        <v>1</v>
      </c>
    </row>
    <row r="386" spans="1:12" hidden="1" x14ac:dyDescent="0.3">
      <c r="A386" t="s">
        <v>1302</v>
      </c>
      <c r="B386" t="s">
        <v>200</v>
      </c>
      <c r="C386" t="s">
        <v>460</v>
      </c>
      <c r="D386" t="s">
        <v>58</v>
      </c>
      <c r="E386" t="s">
        <v>200</v>
      </c>
      <c r="F386">
        <v>0</v>
      </c>
      <c r="G386">
        <v>384</v>
      </c>
      <c r="H386">
        <f>IF(Table1[[#This Row],[my_ent_1]]=Table1[[#This Row],[their_ent_1]], 1, 0)</f>
        <v>0</v>
      </c>
      <c r="I386">
        <f>IF(Table1[[#This Row],[my_ent_2]]=Table1[[#This Row],[their_ent_2]], 1, 0)</f>
        <v>0</v>
      </c>
      <c r="J386">
        <f>IF(Table1[[#This Row],[same_1]]=1 &amp; Table1[[#This Row],[same_2]]=1, 1, 0)</f>
        <v>0</v>
      </c>
      <c r="K386">
        <f>IF(ISNUMBER(SEARCH(Table1[[#This Row],[their_ent_1]],Table1[[#This Row],[my_ent_1]])), 1, 0)</f>
        <v>0</v>
      </c>
      <c r="L386">
        <f>IF(ISNUMBER(SEARCH(Table1[[#This Row],[their_ent_2]],Table1[[#This Row],[my_ent_2]])), 1, 0)</f>
        <v>0</v>
      </c>
    </row>
    <row r="387" spans="1:12" hidden="1" x14ac:dyDescent="0.3">
      <c r="A387" t="s">
        <v>1303</v>
      </c>
      <c r="B387" t="s">
        <v>1304</v>
      </c>
      <c r="C387" t="s">
        <v>1305</v>
      </c>
      <c r="D387" t="s">
        <v>1306</v>
      </c>
      <c r="E387" t="s">
        <v>1307</v>
      </c>
      <c r="F387">
        <v>0</v>
      </c>
      <c r="G387">
        <v>385</v>
      </c>
      <c r="H387">
        <f>IF(Table1[[#This Row],[my_ent_1]]=Table1[[#This Row],[their_ent_1]], 1, 0)</f>
        <v>0</v>
      </c>
      <c r="I387">
        <f>IF(Table1[[#This Row],[my_ent_2]]=Table1[[#This Row],[their_ent_2]], 1, 0)</f>
        <v>0</v>
      </c>
      <c r="J387">
        <f>IF(Table1[[#This Row],[same_1]]=1 &amp; Table1[[#This Row],[same_2]]=1, 1, 0)</f>
        <v>0</v>
      </c>
      <c r="K387">
        <f>IF(ISNUMBER(SEARCH(Table1[[#This Row],[their_ent_1]],Table1[[#This Row],[my_ent_1]])), 1, 0)</f>
        <v>0</v>
      </c>
      <c r="L387">
        <f>IF(ISNUMBER(SEARCH(Table1[[#This Row],[their_ent_2]],Table1[[#This Row],[my_ent_2]])), 1, 0)</f>
        <v>0</v>
      </c>
    </row>
    <row r="388" spans="1:12" hidden="1" x14ac:dyDescent="0.3">
      <c r="A388" t="s">
        <v>1308</v>
      </c>
      <c r="B388" t="s">
        <v>1309</v>
      </c>
      <c r="C388" t="s">
        <v>1310</v>
      </c>
      <c r="D388" t="s">
        <v>54</v>
      </c>
      <c r="E388" t="s">
        <v>1311</v>
      </c>
      <c r="F388">
        <v>0</v>
      </c>
      <c r="G388">
        <v>386</v>
      </c>
      <c r="H388">
        <f>IF(Table1[[#This Row],[my_ent_1]]=Table1[[#This Row],[their_ent_1]], 1, 0)</f>
        <v>0</v>
      </c>
      <c r="I388">
        <f>IF(Table1[[#This Row],[my_ent_2]]=Table1[[#This Row],[their_ent_2]], 1, 0)</f>
        <v>0</v>
      </c>
      <c r="J388">
        <f>IF(Table1[[#This Row],[same_1]]=1 &amp; Table1[[#This Row],[same_2]]=1, 1, 0)</f>
        <v>0</v>
      </c>
      <c r="K388">
        <f>IF(ISNUMBER(SEARCH(Table1[[#This Row],[their_ent_1]],Table1[[#This Row],[my_ent_1]])), 1, 0)</f>
        <v>0</v>
      </c>
      <c r="L388">
        <f>IF(ISNUMBER(SEARCH(Table1[[#This Row],[their_ent_2]],Table1[[#This Row],[my_ent_2]])), 1, 0)</f>
        <v>0</v>
      </c>
    </row>
    <row r="389" spans="1:12" hidden="1" x14ac:dyDescent="0.3">
      <c r="A389" t="s">
        <v>1312</v>
      </c>
      <c r="B389" t="s">
        <v>631</v>
      </c>
      <c r="C389" t="s">
        <v>94</v>
      </c>
      <c r="D389" t="s">
        <v>1313</v>
      </c>
      <c r="E389" t="s">
        <v>695</v>
      </c>
      <c r="F389">
        <v>0</v>
      </c>
      <c r="G389">
        <v>387</v>
      </c>
      <c r="H389">
        <f>IF(Table1[[#This Row],[my_ent_1]]=Table1[[#This Row],[their_ent_1]], 1, 0)</f>
        <v>0</v>
      </c>
      <c r="I389">
        <f>IF(Table1[[#This Row],[my_ent_2]]=Table1[[#This Row],[their_ent_2]], 1, 0)</f>
        <v>0</v>
      </c>
      <c r="J389">
        <f>IF(Table1[[#This Row],[same_1]]=1 &amp; Table1[[#This Row],[same_2]]=1, 1, 0)</f>
        <v>0</v>
      </c>
      <c r="K389">
        <f>IF(ISNUMBER(SEARCH(Table1[[#This Row],[their_ent_1]],Table1[[#This Row],[my_ent_1]])), 1, 0)</f>
        <v>1</v>
      </c>
      <c r="L389">
        <f>IF(ISNUMBER(SEARCH(Table1[[#This Row],[their_ent_2]],Table1[[#This Row],[my_ent_2]])), 1, 0)</f>
        <v>0</v>
      </c>
    </row>
    <row r="390" spans="1:12" hidden="1" x14ac:dyDescent="0.3">
      <c r="A390" t="s">
        <v>1314</v>
      </c>
      <c r="B390" t="s">
        <v>1315</v>
      </c>
      <c r="C390" t="s">
        <v>563</v>
      </c>
      <c r="D390" t="s">
        <v>1316</v>
      </c>
      <c r="E390" t="s">
        <v>1315</v>
      </c>
      <c r="F390">
        <v>0</v>
      </c>
      <c r="G390">
        <v>388</v>
      </c>
      <c r="H390">
        <f>IF(Table1[[#This Row],[my_ent_1]]=Table1[[#This Row],[their_ent_1]], 1, 0)</f>
        <v>0</v>
      </c>
      <c r="I390">
        <f>IF(Table1[[#This Row],[my_ent_2]]=Table1[[#This Row],[their_ent_2]], 1, 0)</f>
        <v>0</v>
      </c>
      <c r="J390">
        <f>IF(Table1[[#This Row],[same_1]]=1 &amp; Table1[[#This Row],[same_2]]=1, 1, 0)</f>
        <v>0</v>
      </c>
      <c r="K390">
        <f>IF(ISNUMBER(SEARCH(Table1[[#This Row],[their_ent_1]],Table1[[#This Row],[my_ent_1]])), 1, 0)</f>
        <v>0</v>
      </c>
      <c r="L390">
        <f>IF(ISNUMBER(SEARCH(Table1[[#This Row],[their_ent_2]],Table1[[#This Row],[my_ent_2]])), 1, 0)</f>
        <v>0</v>
      </c>
    </row>
    <row r="391" spans="1:12" hidden="1" x14ac:dyDescent="0.3">
      <c r="A391" t="s">
        <v>1317</v>
      </c>
      <c r="B391" t="s">
        <v>1318</v>
      </c>
      <c r="C391" t="s">
        <v>1318</v>
      </c>
      <c r="D391" t="s">
        <v>1319</v>
      </c>
      <c r="E391" t="s">
        <v>1320</v>
      </c>
      <c r="F391">
        <v>0</v>
      </c>
      <c r="G391">
        <v>389</v>
      </c>
      <c r="H391">
        <f>IF(Table1[[#This Row],[my_ent_1]]=Table1[[#This Row],[their_ent_1]], 1, 0)</f>
        <v>1</v>
      </c>
      <c r="I391">
        <f>IF(Table1[[#This Row],[my_ent_2]]=Table1[[#This Row],[their_ent_2]], 1, 0)</f>
        <v>0</v>
      </c>
      <c r="J391">
        <f>IF(Table1[[#This Row],[same_1]]=1 &amp; Table1[[#This Row],[same_2]]=1, 1, 0)</f>
        <v>0</v>
      </c>
      <c r="K391">
        <f>IF(ISNUMBER(SEARCH(Table1[[#This Row],[their_ent_1]],Table1[[#This Row],[my_ent_1]])), 1, 0)</f>
        <v>1</v>
      </c>
      <c r="L391">
        <f>IF(ISNUMBER(SEARCH(Table1[[#This Row],[their_ent_2]],Table1[[#This Row],[my_ent_2]])), 1, 0)</f>
        <v>0</v>
      </c>
    </row>
    <row r="392" spans="1:12" hidden="1" x14ac:dyDescent="0.3">
      <c r="A392" t="s">
        <v>1321</v>
      </c>
      <c r="B392" t="s">
        <v>1322</v>
      </c>
      <c r="C392" t="s">
        <v>1322</v>
      </c>
      <c r="D392" t="s">
        <v>1323</v>
      </c>
      <c r="E392" t="s">
        <v>688</v>
      </c>
      <c r="F392">
        <v>0</v>
      </c>
      <c r="G392">
        <v>390</v>
      </c>
      <c r="H392">
        <f>IF(Table1[[#This Row],[my_ent_1]]=Table1[[#This Row],[their_ent_1]], 1, 0)</f>
        <v>1</v>
      </c>
      <c r="I392">
        <f>IF(Table1[[#This Row],[my_ent_2]]=Table1[[#This Row],[their_ent_2]], 1, 0)</f>
        <v>0</v>
      </c>
      <c r="J392">
        <f>IF(Table1[[#This Row],[same_1]]=1 &amp; Table1[[#This Row],[same_2]]=1, 1, 0)</f>
        <v>0</v>
      </c>
      <c r="K392">
        <f>IF(ISNUMBER(SEARCH(Table1[[#This Row],[their_ent_1]],Table1[[#This Row],[my_ent_1]])), 1, 0)</f>
        <v>1</v>
      </c>
      <c r="L392">
        <f>IF(ISNUMBER(SEARCH(Table1[[#This Row],[their_ent_2]],Table1[[#This Row],[my_ent_2]])), 1, 0)</f>
        <v>0</v>
      </c>
    </row>
    <row r="393" spans="1:12" hidden="1" x14ac:dyDescent="0.3">
      <c r="A393" t="s">
        <v>1324</v>
      </c>
      <c r="B393" t="s">
        <v>348</v>
      </c>
      <c r="C393" t="s">
        <v>1325</v>
      </c>
      <c r="D393" t="s">
        <v>1326</v>
      </c>
      <c r="E393" t="s">
        <v>1327</v>
      </c>
      <c r="F393">
        <v>0</v>
      </c>
      <c r="G393">
        <v>391</v>
      </c>
      <c r="H393">
        <f>IF(Table1[[#This Row],[my_ent_1]]=Table1[[#This Row],[their_ent_1]], 1, 0)</f>
        <v>0</v>
      </c>
      <c r="I393">
        <f>IF(Table1[[#This Row],[my_ent_2]]=Table1[[#This Row],[their_ent_2]], 1, 0)</f>
        <v>0</v>
      </c>
      <c r="J393">
        <f>IF(Table1[[#This Row],[same_1]]=1 &amp; Table1[[#This Row],[same_2]]=1, 1, 0)</f>
        <v>0</v>
      </c>
      <c r="K393">
        <f>IF(ISNUMBER(SEARCH(Table1[[#This Row],[their_ent_1]],Table1[[#This Row],[my_ent_1]])), 1, 0)</f>
        <v>0</v>
      </c>
      <c r="L393">
        <f>IF(ISNUMBER(SEARCH(Table1[[#This Row],[their_ent_2]],Table1[[#This Row],[my_ent_2]])), 1, 0)</f>
        <v>0</v>
      </c>
    </row>
    <row r="394" spans="1:12" x14ac:dyDescent="0.3">
      <c r="A394" t="s">
        <v>1328</v>
      </c>
      <c r="B394" t="s">
        <v>58</v>
      </c>
      <c r="C394" t="s">
        <v>58</v>
      </c>
      <c r="D394" t="s">
        <v>1329</v>
      </c>
      <c r="E394" t="s">
        <v>1330</v>
      </c>
      <c r="F394">
        <v>0</v>
      </c>
      <c r="G394">
        <v>392</v>
      </c>
      <c r="H394">
        <f>IF(Table1[[#This Row],[my_ent_1]]=Table1[[#This Row],[their_ent_1]], 1, 0)</f>
        <v>1</v>
      </c>
      <c r="I394">
        <f>IF(Table1[[#This Row],[my_ent_2]]=Table1[[#This Row],[their_ent_2]], 1, 0)</f>
        <v>0</v>
      </c>
      <c r="J394">
        <f>IF(Table1[[#This Row],[same_1]]=1 &amp; Table1[[#This Row],[same_2]]=1, 1, 0)</f>
        <v>0</v>
      </c>
      <c r="K394">
        <f>IF(ISNUMBER(SEARCH(Table1[[#This Row],[their_ent_1]],Table1[[#This Row],[my_ent_1]])), 1, 0)</f>
        <v>1</v>
      </c>
      <c r="L394">
        <f>IF(ISNUMBER(SEARCH(Table1[[#This Row],[their_ent_2]],Table1[[#This Row],[my_ent_2]])), 1, 0)</f>
        <v>1</v>
      </c>
    </row>
    <row r="395" spans="1:12" hidden="1" x14ac:dyDescent="0.3">
      <c r="A395" t="s">
        <v>1331</v>
      </c>
      <c r="B395" t="s">
        <v>1332</v>
      </c>
      <c r="C395" t="s">
        <v>1332</v>
      </c>
      <c r="D395" t="s">
        <v>324</v>
      </c>
      <c r="E395" t="s">
        <v>597</v>
      </c>
      <c r="F395">
        <v>0</v>
      </c>
      <c r="G395">
        <v>393</v>
      </c>
      <c r="H395">
        <f>IF(Table1[[#This Row],[my_ent_1]]=Table1[[#This Row],[their_ent_1]], 1, 0)</f>
        <v>1</v>
      </c>
      <c r="I395">
        <f>IF(Table1[[#This Row],[my_ent_2]]=Table1[[#This Row],[their_ent_2]], 1, 0)</f>
        <v>0</v>
      </c>
      <c r="J395">
        <f>IF(Table1[[#This Row],[same_1]]=1 &amp; Table1[[#This Row],[same_2]]=1, 1, 0)</f>
        <v>0</v>
      </c>
      <c r="K395">
        <f>IF(ISNUMBER(SEARCH(Table1[[#This Row],[their_ent_1]],Table1[[#This Row],[my_ent_1]])), 1, 0)</f>
        <v>1</v>
      </c>
      <c r="L395">
        <f>IF(ISNUMBER(SEARCH(Table1[[#This Row],[their_ent_2]],Table1[[#This Row],[my_ent_2]])), 1, 0)</f>
        <v>0</v>
      </c>
    </row>
    <row r="396" spans="1:12" hidden="1" x14ac:dyDescent="0.3">
      <c r="A396" t="s">
        <v>1333</v>
      </c>
      <c r="B396" t="s">
        <v>58</v>
      </c>
      <c r="C396" t="s">
        <v>58</v>
      </c>
      <c r="D396" t="s">
        <v>1334</v>
      </c>
      <c r="E396" t="s">
        <v>1335</v>
      </c>
      <c r="F396">
        <v>0</v>
      </c>
      <c r="G396">
        <v>394</v>
      </c>
      <c r="H396">
        <f>IF(Table1[[#This Row],[my_ent_1]]=Table1[[#This Row],[their_ent_1]], 1, 0)</f>
        <v>1</v>
      </c>
      <c r="I396">
        <f>IF(Table1[[#This Row],[my_ent_2]]=Table1[[#This Row],[their_ent_2]], 1, 0)</f>
        <v>0</v>
      </c>
      <c r="J396">
        <f>IF(Table1[[#This Row],[same_1]]=1 &amp; Table1[[#This Row],[same_2]]=1, 1, 0)</f>
        <v>0</v>
      </c>
      <c r="K396">
        <f>IF(ISNUMBER(SEARCH(Table1[[#This Row],[their_ent_1]],Table1[[#This Row],[my_ent_1]])), 1, 0)</f>
        <v>1</v>
      </c>
      <c r="L396">
        <f>IF(ISNUMBER(SEARCH(Table1[[#This Row],[their_ent_2]],Table1[[#This Row],[my_ent_2]])), 1, 0)</f>
        <v>0</v>
      </c>
    </row>
    <row r="397" spans="1:12" hidden="1" x14ac:dyDescent="0.3">
      <c r="A397" t="s">
        <v>1336</v>
      </c>
      <c r="B397" t="s">
        <v>121</v>
      </c>
      <c r="C397" t="s">
        <v>121</v>
      </c>
      <c r="D397" t="s">
        <v>263</v>
      </c>
      <c r="E397" t="s">
        <v>404</v>
      </c>
      <c r="F397">
        <v>0</v>
      </c>
      <c r="G397">
        <v>395</v>
      </c>
      <c r="H397">
        <f>IF(Table1[[#This Row],[my_ent_1]]=Table1[[#This Row],[their_ent_1]], 1, 0)</f>
        <v>1</v>
      </c>
      <c r="I397">
        <f>IF(Table1[[#This Row],[my_ent_2]]=Table1[[#This Row],[their_ent_2]], 1, 0)</f>
        <v>0</v>
      </c>
      <c r="J397">
        <f>IF(Table1[[#This Row],[same_1]]=1 &amp; Table1[[#This Row],[same_2]]=1, 1, 0)</f>
        <v>0</v>
      </c>
      <c r="K397">
        <f>IF(ISNUMBER(SEARCH(Table1[[#This Row],[their_ent_1]],Table1[[#This Row],[my_ent_1]])), 1, 0)</f>
        <v>1</v>
      </c>
      <c r="L397">
        <f>IF(ISNUMBER(SEARCH(Table1[[#This Row],[their_ent_2]],Table1[[#This Row],[my_ent_2]])), 1, 0)</f>
        <v>0</v>
      </c>
    </row>
    <row r="398" spans="1:12" hidden="1" x14ac:dyDescent="0.3">
      <c r="A398" t="s">
        <v>1337</v>
      </c>
      <c r="B398" t="s">
        <v>1338</v>
      </c>
      <c r="C398" t="s">
        <v>1339</v>
      </c>
      <c r="D398" t="s">
        <v>1340</v>
      </c>
      <c r="E398" t="s">
        <v>1341</v>
      </c>
      <c r="F398">
        <v>0</v>
      </c>
      <c r="G398">
        <v>396</v>
      </c>
      <c r="H398">
        <f>IF(Table1[[#This Row],[my_ent_1]]=Table1[[#This Row],[their_ent_1]], 1, 0)</f>
        <v>0</v>
      </c>
      <c r="I398">
        <f>IF(Table1[[#This Row],[my_ent_2]]=Table1[[#This Row],[their_ent_2]], 1, 0)</f>
        <v>0</v>
      </c>
      <c r="J398">
        <f>IF(Table1[[#This Row],[same_1]]=1 &amp; Table1[[#This Row],[same_2]]=1, 1, 0)</f>
        <v>0</v>
      </c>
      <c r="K398">
        <f>IF(ISNUMBER(SEARCH(Table1[[#This Row],[their_ent_1]],Table1[[#This Row],[my_ent_1]])), 1, 0)</f>
        <v>0</v>
      </c>
      <c r="L398">
        <f>IF(ISNUMBER(SEARCH(Table1[[#This Row],[their_ent_2]],Table1[[#This Row],[my_ent_2]])), 1, 0)</f>
        <v>0</v>
      </c>
    </row>
    <row r="399" spans="1:12" hidden="1" x14ac:dyDescent="0.3">
      <c r="A399" t="s">
        <v>1342</v>
      </c>
      <c r="B399" t="s">
        <v>1236</v>
      </c>
      <c r="C399" t="s">
        <v>1343</v>
      </c>
      <c r="D399" t="s">
        <v>1344</v>
      </c>
      <c r="E399" t="s">
        <v>1344</v>
      </c>
      <c r="F399">
        <v>0</v>
      </c>
      <c r="G399">
        <v>397</v>
      </c>
      <c r="H399">
        <f>IF(Table1[[#This Row],[my_ent_1]]=Table1[[#This Row],[their_ent_1]], 1, 0)</f>
        <v>0</v>
      </c>
      <c r="I399">
        <f>IF(Table1[[#This Row],[my_ent_2]]=Table1[[#This Row],[their_ent_2]], 1, 0)</f>
        <v>1</v>
      </c>
      <c r="J399">
        <f>IF(Table1[[#This Row],[same_1]]=1 &amp; Table1[[#This Row],[same_2]]=1, 1, 0)</f>
        <v>0</v>
      </c>
      <c r="K399">
        <f>IF(ISNUMBER(SEARCH(Table1[[#This Row],[their_ent_1]],Table1[[#This Row],[my_ent_1]])), 1, 0)</f>
        <v>0</v>
      </c>
      <c r="L399">
        <f>IF(ISNUMBER(SEARCH(Table1[[#This Row],[their_ent_2]],Table1[[#This Row],[my_ent_2]])), 1, 0)</f>
        <v>1</v>
      </c>
    </row>
    <row r="400" spans="1:12" hidden="1" x14ac:dyDescent="0.3">
      <c r="A400" t="s">
        <v>1345</v>
      </c>
      <c r="B400" t="s">
        <v>1346</v>
      </c>
      <c r="C400" t="s">
        <v>29</v>
      </c>
      <c r="D400" t="s">
        <v>29</v>
      </c>
      <c r="E400" t="s">
        <v>1347</v>
      </c>
      <c r="F400">
        <v>0</v>
      </c>
      <c r="G400">
        <v>398</v>
      </c>
      <c r="H400">
        <f>IF(Table1[[#This Row],[my_ent_1]]=Table1[[#This Row],[their_ent_1]], 1, 0)</f>
        <v>0</v>
      </c>
      <c r="I400">
        <f>IF(Table1[[#This Row],[my_ent_2]]=Table1[[#This Row],[their_ent_2]], 1, 0)</f>
        <v>0</v>
      </c>
      <c r="J400">
        <f>IF(Table1[[#This Row],[same_1]]=1 &amp; Table1[[#This Row],[same_2]]=1, 1, 0)</f>
        <v>0</v>
      </c>
      <c r="K400">
        <f>IF(ISNUMBER(SEARCH(Table1[[#This Row],[their_ent_1]],Table1[[#This Row],[my_ent_1]])), 1, 0)</f>
        <v>0</v>
      </c>
      <c r="L400">
        <f>IF(ISNUMBER(SEARCH(Table1[[#This Row],[their_ent_2]],Table1[[#This Row],[my_ent_2]])), 1, 0)</f>
        <v>0</v>
      </c>
    </row>
    <row r="401" spans="1:12" hidden="1" x14ac:dyDescent="0.3">
      <c r="A401" t="s">
        <v>1348</v>
      </c>
      <c r="B401" t="s">
        <v>1349</v>
      </c>
      <c r="C401" t="s">
        <v>1349</v>
      </c>
      <c r="D401" t="s">
        <v>1350</v>
      </c>
      <c r="E401" t="s">
        <v>1351</v>
      </c>
      <c r="F401">
        <v>0</v>
      </c>
      <c r="G401">
        <v>399</v>
      </c>
      <c r="H401">
        <f>IF(Table1[[#This Row],[my_ent_1]]=Table1[[#This Row],[their_ent_1]], 1, 0)</f>
        <v>1</v>
      </c>
      <c r="I401">
        <f>IF(Table1[[#This Row],[my_ent_2]]=Table1[[#This Row],[their_ent_2]], 1, 0)</f>
        <v>0</v>
      </c>
      <c r="J401">
        <f>IF(Table1[[#This Row],[same_1]]=1 &amp; Table1[[#This Row],[same_2]]=1, 1, 0)</f>
        <v>0</v>
      </c>
      <c r="K401">
        <f>IF(ISNUMBER(SEARCH(Table1[[#This Row],[their_ent_1]],Table1[[#This Row],[my_ent_1]])), 1, 0)</f>
        <v>1</v>
      </c>
      <c r="L401">
        <f>IF(ISNUMBER(SEARCH(Table1[[#This Row],[their_ent_2]],Table1[[#This Row],[my_ent_2]])), 1, 0)</f>
        <v>0</v>
      </c>
    </row>
    <row r="402" spans="1:12" hidden="1" x14ac:dyDescent="0.3">
      <c r="A402" t="s">
        <v>1352</v>
      </c>
      <c r="B402" t="s">
        <v>58</v>
      </c>
      <c r="C402" t="s">
        <v>58</v>
      </c>
      <c r="D402" t="s">
        <v>7</v>
      </c>
      <c r="E402" t="s">
        <v>165</v>
      </c>
      <c r="F402">
        <v>0</v>
      </c>
      <c r="G402">
        <v>400</v>
      </c>
      <c r="H402">
        <f>IF(Table1[[#This Row],[my_ent_1]]=Table1[[#This Row],[their_ent_1]], 1, 0)</f>
        <v>1</v>
      </c>
      <c r="I402">
        <f>IF(Table1[[#This Row],[my_ent_2]]=Table1[[#This Row],[their_ent_2]], 1, 0)</f>
        <v>0</v>
      </c>
      <c r="J402">
        <f>IF(Table1[[#This Row],[same_1]]=1 &amp; Table1[[#This Row],[same_2]]=1, 1, 0)</f>
        <v>0</v>
      </c>
      <c r="K402">
        <f>IF(ISNUMBER(SEARCH(Table1[[#This Row],[their_ent_1]],Table1[[#This Row],[my_ent_1]])), 1, 0)</f>
        <v>1</v>
      </c>
      <c r="L402">
        <f>IF(ISNUMBER(SEARCH(Table1[[#This Row],[their_ent_2]],Table1[[#This Row],[my_ent_2]])), 1, 0)</f>
        <v>0</v>
      </c>
    </row>
    <row r="403" spans="1:12" hidden="1" x14ac:dyDescent="0.3">
      <c r="A403" t="s">
        <v>1353</v>
      </c>
      <c r="B403" t="s">
        <v>1098</v>
      </c>
      <c r="C403" t="s">
        <v>1354</v>
      </c>
      <c r="D403" t="s">
        <v>1355</v>
      </c>
      <c r="E403" t="s">
        <v>1356</v>
      </c>
      <c r="F403">
        <v>0</v>
      </c>
      <c r="G403">
        <v>401</v>
      </c>
      <c r="H403">
        <f>IF(Table1[[#This Row],[my_ent_1]]=Table1[[#This Row],[their_ent_1]], 1, 0)</f>
        <v>0</v>
      </c>
      <c r="I403">
        <f>IF(Table1[[#This Row],[my_ent_2]]=Table1[[#This Row],[their_ent_2]], 1, 0)</f>
        <v>0</v>
      </c>
      <c r="J403">
        <f>IF(Table1[[#This Row],[same_1]]=1 &amp; Table1[[#This Row],[same_2]]=1, 1, 0)</f>
        <v>0</v>
      </c>
      <c r="K403">
        <f>IF(ISNUMBER(SEARCH(Table1[[#This Row],[their_ent_1]],Table1[[#This Row],[my_ent_1]])), 1, 0)</f>
        <v>0</v>
      </c>
      <c r="L403">
        <f>IF(ISNUMBER(SEARCH(Table1[[#This Row],[their_ent_2]],Table1[[#This Row],[my_ent_2]])), 1, 0)</f>
        <v>0</v>
      </c>
    </row>
    <row r="404" spans="1:12" hidden="1" x14ac:dyDescent="0.3">
      <c r="A404" t="s">
        <v>1357</v>
      </c>
      <c r="B404" t="s">
        <v>1358</v>
      </c>
      <c r="C404" t="s">
        <v>1358</v>
      </c>
      <c r="D404" t="s">
        <v>113</v>
      </c>
      <c r="E404" t="s">
        <v>1359</v>
      </c>
      <c r="F404">
        <v>0</v>
      </c>
      <c r="G404">
        <v>402</v>
      </c>
      <c r="H404">
        <f>IF(Table1[[#This Row],[my_ent_1]]=Table1[[#This Row],[their_ent_1]], 1, 0)</f>
        <v>1</v>
      </c>
      <c r="I404">
        <f>IF(Table1[[#This Row],[my_ent_2]]=Table1[[#This Row],[their_ent_2]], 1, 0)</f>
        <v>0</v>
      </c>
      <c r="J404">
        <f>IF(Table1[[#This Row],[same_1]]=1 &amp; Table1[[#This Row],[same_2]]=1, 1, 0)</f>
        <v>0</v>
      </c>
      <c r="K404">
        <f>IF(ISNUMBER(SEARCH(Table1[[#This Row],[their_ent_1]],Table1[[#This Row],[my_ent_1]])), 1, 0)</f>
        <v>1</v>
      </c>
      <c r="L404">
        <f>IF(ISNUMBER(SEARCH(Table1[[#This Row],[their_ent_2]],Table1[[#This Row],[my_ent_2]])), 1, 0)</f>
        <v>0</v>
      </c>
    </row>
    <row r="405" spans="1:12" hidden="1" x14ac:dyDescent="0.3">
      <c r="A405" t="s">
        <v>1360</v>
      </c>
      <c r="B405" t="s">
        <v>1297</v>
      </c>
      <c r="C405" t="s">
        <v>324</v>
      </c>
      <c r="D405" t="s">
        <v>77</v>
      </c>
      <c r="E405" t="s">
        <v>1241</v>
      </c>
      <c r="F405">
        <v>0</v>
      </c>
      <c r="G405">
        <v>403</v>
      </c>
      <c r="H405">
        <f>IF(Table1[[#This Row],[my_ent_1]]=Table1[[#This Row],[their_ent_1]], 1, 0)</f>
        <v>0</v>
      </c>
      <c r="I405">
        <f>IF(Table1[[#This Row],[my_ent_2]]=Table1[[#This Row],[their_ent_2]], 1, 0)</f>
        <v>0</v>
      </c>
      <c r="J405">
        <f>IF(Table1[[#This Row],[same_1]]=1 &amp; Table1[[#This Row],[same_2]]=1, 1, 0)</f>
        <v>0</v>
      </c>
      <c r="K405">
        <f>IF(ISNUMBER(SEARCH(Table1[[#This Row],[their_ent_1]],Table1[[#This Row],[my_ent_1]])), 1, 0)</f>
        <v>0</v>
      </c>
      <c r="L405">
        <f>IF(ISNUMBER(SEARCH(Table1[[#This Row],[their_ent_2]],Table1[[#This Row],[my_ent_2]])), 1, 0)</f>
        <v>0</v>
      </c>
    </row>
    <row r="406" spans="1:12" hidden="1" x14ac:dyDescent="0.3">
      <c r="A406" t="s">
        <v>1361</v>
      </c>
      <c r="B406" t="s">
        <v>1362</v>
      </c>
      <c r="C406" t="s">
        <v>1363</v>
      </c>
      <c r="D406" t="s">
        <v>1363</v>
      </c>
      <c r="E406" t="s">
        <v>1364</v>
      </c>
      <c r="F406">
        <v>0</v>
      </c>
      <c r="G406">
        <v>404</v>
      </c>
      <c r="H406">
        <f>IF(Table1[[#This Row],[my_ent_1]]=Table1[[#This Row],[their_ent_1]], 1, 0)</f>
        <v>0</v>
      </c>
      <c r="I406">
        <f>IF(Table1[[#This Row],[my_ent_2]]=Table1[[#This Row],[their_ent_2]], 1, 0)</f>
        <v>0</v>
      </c>
      <c r="J406">
        <f>IF(Table1[[#This Row],[same_1]]=1 &amp; Table1[[#This Row],[same_2]]=1, 1, 0)</f>
        <v>0</v>
      </c>
      <c r="K406">
        <f>IF(ISNUMBER(SEARCH(Table1[[#This Row],[their_ent_1]],Table1[[#This Row],[my_ent_1]])), 1, 0)</f>
        <v>0</v>
      </c>
      <c r="L406">
        <f>IF(ISNUMBER(SEARCH(Table1[[#This Row],[their_ent_2]],Table1[[#This Row],[my_ent_2]])), 1, 0)</f>
        <v>0</v>
      </c>
    </row>
    <row r="407" spans="1:12" hidden="1" x14ac:dyDescent="0.3">
      <c r="A407" t="s">
        <v>1365</v>
      </c>
      <c r="B407" t="s">
        <v>1366</v>
      </c>
      <c r="C407" t="s">
        <v>1366</v>
      </c>
      <c r="D407" t="s">
        <v>1367</v>
      </c>
      <c r="E407" t="s">
        <v>1368</v>
      </c>
      <c r="F407">
        <v>0</v>
      </c>
      <c r="G407">
        <v>405</v>
      </c>
      <c r="H407">
        <f>IF(Table1[[#This Row],[my_ent_1]]=Table1[[#This Row],[their_ent_1]], 1, 0)</f>
        <v>1</v>
      </c>
      <c r="I407">
        <f>IF(Table1[[#This Row],[my_ent_2]]=Table1[[#This Row],[their_ent_2]], 1, 0)</f>
        <v>0</v>
      </c>
      <c r="J407">
        <f>IF(Table1[[#This Row],[same_1]]=1 &amp; Table1[[#This Row],[same_2]]=1, 1, 0)</f>
        <v>0</v>
      </c>
      <c r="K407">
        <f>IF(ISNUMBER(SEARCH(Table1[[#This Row],[their_ent_1]],Table1[[#This Row],[my_ent_1]])), 1, 0)</f>
        <v>1</v>
      </c>
      <c r="L407">
        <f>IF(ISNUMBER(SEARCH(Table1[[#This Row],[their_ent_2]],Table1[[#This Row],[my_ent_2]])), 1, 0)</f>
        <v>0</v>
      </c>
    </row>
    <row r="408" spans="1:12" hidden="1" x14ac:dyDescent="0.3">
      <c r="A408" t="s">
        <v>1369</v>
      </c>
      <c r="B408" t="s">
        <v>1370</v>
      </c>
      <c r="C408" t="s">
        <v>1370</v>
      </c>
      <c r="D408" t="s">
        <v>7</v>
      </c>
      <c r="E408" t="s">
        <v>236</v>
      </c>
      <c r="F408">
        <v>0</v>
      </c>
      <c r="G408">
        <v>406</v>
      </c>
      <c r="H408">
        <f>IF(Table1[[#This Row],[my_ent_1]]=Table1[[#This Row],[their_ent_1]], 1, 0)</f>
        <v>1</v>
      </c>
      <c r="I408">
        <f>IF(Table1[[#This Row],[my_ent_2]]=Table1[[#This Row],[their_ent_2]], 1, 0)</f>
        <v>0</v>
      </c>
      <c r="J408">
        <f>IF(Table1[[#This Row],[same_1]]=1 &amp; Table1[[#This Row],[same_2]]=1, 1, 0)</f>
        <v>0</v>
      </c>
      <c r="K408">
        <f>IF(ISNUMBER(SEARCH(Table1[[#This Row],[their_ent_1]],Table1[[#This Row],[my_ent_1]])), 1, 0)</f>
        <v>1</v>
      </c>
      <c r="L408">
        <f>IF(ISNUMBER(SEARCH(Table1[[#This Row],[their_ent_2]],Table1[[#This Row],[my_ent_2]])), 1, 0)</f>
        <v>0</v>
      </c>
    </row>
    <row r="409" spans="1:12" hidden="1" x14ac:dyDescent="0.3">
      <c r="A409" t="s">
        <v>1371</v>
      </c>
      <c r="B409" t="s">
        <v>1372</v>
      </c>
      <c r="C409" t="s">
        <v>225</v>
      </c>
      <c r="D409" t="s">
        <v>58</v>
      </c>
      <c r="E409" t="s">
        <v>58</v>
      </c>
      <c r="F409">
        <v>0</v>
      </c>
      <c r="G409">
        <v>407</v>
      </c>
      <c r="H409">
        <f>IF(Table1[[#This Row],[my_ent_1]]=Table1[[#This Row],[their_ent_1]], 1, 0)</f>
        <v>0</v>
      </c>
      <c r="I409">
        <f>IF(Table1[[#This Row],[my_ent_2]]=Table1[[#This Row],[their_ent_2]], 1, 0)</f>
        <v>1</v>
      </c>
      <c r="J409">
        <f>IF(Table1[[#This Row],[same_1]]=1 &amp; Table1[[#This Row],[same_2]]=1, 1, 0)</f>
        <v>0</v>
      </c>
      <c r="K409">
        <f>IF(ISNUMBER(SEARCH(Table1[[#This Row],[their_ent_1]],Table1[[#This Row],[my_ent_1]])), 1, 0)</f>
        <v>0</v>
      </c>
      <c r="L409">
        <f>IF(ISNUMBER(SEARCH(Table1[[#This Row],[their_ent_2]],Table1[[#This Row],[my_ent_2]])), 1, 0)</f>
        <v>1</v>
      </c>
    </row>
    <row r="410" spans="1:12" x14ac:dyDescent="0.3">
      <c r="A410" t="s">
        <v>1373</v>
      </c>
      <c r="B410" t="s">
        <v>1374</v>
      </c>
      <c r="C410" t="s">
        <v>1374</v>
      </c>
      <c r="D410" t="s">
        <v>467</v>
      </c>
      <c r="E410" t="s">
        <v>94</v>
      </c>
      <c r="F410">
        <v>0</v>
      </c>
      <c r="G410">
        <v>408</v>
      </c>
      <c r="H410">
        <f>IF(Table1[[#This Row],[my_ent_1]]=Table1[[#This Row],[their_ent_1]], 1, 0)</f>
        <v>1</v>
      </c>
      <c r="I410">
        <f>IF(Table1[[#This Row],[my_ent_2]]=Table1[[#This Row],[their_ent_2]], 1, 0)</f>
        <v>0</v>
      </c>
      <c r="J410">
        <f>IF(Table1[[#This Row],[same_1]]=1 &amp; Table1[[#This Row],[same_2]]=1, 1, 0)</f>
        <v>0</v>
      </c>
      <c r="K410">
        <f>IF(ISNUMBER(SEARCH(Table1[[#This Row],[their_ent_1]],Table1[[#This Row],[my_ent_1]])), 1, 0)</f>
        <v>1</v>
      </c>
      <c r="L410">
        <f>IF(ISNUMBER(SEARCH(Table1[[#This Row],[their_ent_2]],Table1[[#This Row],[my_ent_2]])), 1, 0)</f>
        <v>1</v>
      </c>
    </row>
    <row r="411" spans="1:12" hidden="1" x14ac:dyDescent="0.3">
      <c r="A411" t="s">
        <v>1375</v>
      </c>
      <c r="B411" t="s">
        <v>1376</v>
      </c>
      <c r="C411" t="s">
        <v>1377</v>
      </c>
      <c r="D411" t="s">
        <v>1377</v>
      </c>
      <c r="E411" t="s">
        <v>1378</v>
      </c>
      <c r="F411">
        <v>0</v>
      </c>
      <c r="G411">
        <v>409</v>
      </c>
      <c r="H411">
        <f>IF(Table1[[#This Row],[my_ent_1]]=Table1[[#This Row],[their_ent_1]], 1, 0)</f>
        <v>0</v>
      </c>
      <c r="I411">
        <f>IF(Table1[[#This Row],[my_ent_2]]=Table1[[#This Row],[their_ent_2]], 1, 0)</f>
        <v>0</v>
      </c>
      <c r="J411">
        <f>IF(Table1[[#This Row],[same_1]]=1 &amp; Table1[[#This Row],[same_2]]=1, 1, 0)</f>
        <v>0</v>
      </c>
      <c r="K411">
        <f>IF(ISNUMBER(SEARCH(Table1[[#This Row],[their_ent_1]],Table1[[#This Row],[my_ent_1]])), 1, 0)</f>
        <v>0</v>
      </c>
      <c r="L411">
        <f>IF(ISNUMBER(SEARCH(Table1[[#This Row],[their_ent_2]],Table1[[#This Row],[my_ent_2]])), 1, 0)</f>
        <v>0</v>
      </c>
    </row>
    <row r="412" spans="1:12" x14ac:dyDescent="0.3">
      <c r="A412" t="s">
        <v>1379</v>
      </c>
      <c r="B412" t="s">
        <v>235</v>
      </c>
      <c r="C412" t="s">
        <v>236</v>
      </c>
      <c r="D412" t="s">
        <v>1380</v>
      </c>
      <c r="E412" t="s">
        <v>1381</v>
      </c>
      <c r="F412">
        <v>0</v>
      </c>
      <c r="G412">
        <v>410</v>
      </c>
      <c r="H412">
        <f>IF(Table1[[#This Row],[my_ent_1]]=Table1[[#This Row],[their_ent_1]], 1, 0)</f>
        <v>0</v>
      </c>
      <c r="I412">
        <f>IF(Table1[[#This Row],[my_ent_2]]=Table1[[#This Row],[their_ent_2]], 1, 0)</f>
        <v>0</v>
      </c>
      <c r="J412">
        <f>IF(Table1[[#This Row],[same_1]]=1 &amp; Table1[[#This Row],[same_2]]=1, 1, 0)</f>
        <v>0</v>
      </c>
      <c r="K412">
        <f>IF(ISNUMBER(SEARCH(Table1[[#This Row],[their_ent_1]],Table1[[#This Row],[my_ent_1]])), 1, 0)</f>
        <v>1</v>
      </c>
      <c r="L412">
        <f>IF(ISNUMBER(SEARCH(Table1[[#This Row],[their_ent_2]],Table1[[#This Row],[my_ent_2]])), 1, 0)</f>
        <v>1</v>
      </c>
    </row>
    <row r="413" spans="1:12" hidden="1" x14ac:dyDescent="0.3">
      <c r="A413" t="s">
        <v>1382</v>
      </c>
      <c r="B413" t="s">
        <v>1383</v>
      </c>
      <c r="C413" t="s">
        <v>382</v>
      </c>
      <c r="D413" t="s">
        <v>7</v>
      </c>
      <c r="E413" t="s">
        <v>7</v>
      </c>
      <c r="F413">
        <v>0</v>
      </c>
      <c r="G413">
        <v>411</v>
      </c>
      <c r="H413">
        <f>IF(Table1[[#This Row],[my_ent_1]]=Table1[[#This Row],[their_ent_1]], 1, 0)</f>
        <v>0</v>
      </c>
      <c r="I413">
        <f>IF(Table1[[#This Row],[my_ent_2]]=Table1[[#This Row],[their_ent_2]], 1, 0)</f>
        <v>1</v>
      </c>
      <c r="J413">
        <f>IF(Table1[[#This Row],[same_1]]=1 &amp; Table1[[#This Row],[same_2]]=1, 1, 0)</f>
        <v>0</v>
      </c>
      <c r="K413">
        <f>IF(ISNUMBER(SEARCH(Table1[[#This Row],[their_ent_1]],Table1[[#This Row],[my_ent_1]])), 1, 0)</f>
        <v>0</v>
      </c>
      <c r="L413">
        <f>IF(ISNUMBER(SEARCH(Table1[[#This Row],[their_ent_2]],Table1[[#This Row],[my_ent_2]])), 1, 0)</f>
        <v>1</v>
      </c>
    </row>
    <row r="414" spans="1:12" hidden="1" x14ac:dyDescent="0.3">
      <c r="A414" t="s">
        <v>1384</v>
      </c>
      <c r="B414" t="s">
        <v>1385</v>
      </c>
      <c r="C414" t="s">
        <v>351</v>
      </c>
      <c r="D414" t="s">
        <v>351</v>
      </c>
      <c r="E414" t="s">
        <v>1386</v>
      </c>
      <c r="F414">
        <v>0</v>
      </c>
      <c r="G414">
        <v>412</v>
      </c>
      <c r="H414">
        <f>IF(Table1[[#This Row],[my_ent_1]]=Table1[[#This Row],[their_ent_1]], 1, 0)</f>
        <v>0</v>
      </c>
      <c r="I414">
        <f>IF(Table1[[#This Row],[my_ent_2]]=Table1[[#This Row],[their_ent_2]], 1, 0)</f>
        <v>0</v>
      </c>
      <c r="J414">
        <f>IF(Table1[[#This Row],[same_1]]=1 &amp; Table1[[#This Row],[same_2]]=1, 1, 0)</f>
        <v>0</v>
      </c>
      <c r="K414">
        <f>IF(ISNUMBER(SEARCH(Table1[[#This Row],[their_ent_1]],Table1[[#This Row],[my_ent_1]])), 1, 0)</f>
        <v>0</v>
      </c>
      <c r="L414">
        <f>IF(ISNUMBER(SEARCH(Table1[[#This Row],[their_ent_2]],Table1[[#This Row],[my_ent_2]])), 1, 0)</f>
        <v>0</v>
      </c>
    </row>
    <row r="415" spans="1:12" hidden="1" x14ac:dyDescent="0.3">
      <c r="A415" t="s">
        <v>1387</v>
      </c>
      <c r="B415" t="s">
        <v>58</v>
      </c>
      <c r="C415" t="s">
        <v>30</v>
      </c>
      <c r="D415" t="s">
        <v>1388</v>
      </c>
      <c r="E415" t="s">
        <v>1389</v>
      </c>
      <c r="F415">
        <v>0</v>
      </c>
      <c r="G415">
        <v>413</v>
      </c>
      <c r="H415">
        <f>IF(Table1[[#This Row],[my_ent_1]]=Table1[[#This Row],[their_ent_1]], 1, 0)</f>
        <v>0</v>
      </c>
      <c r="I415">
        <f>IF(Table1[[#This Row],[my_ent_2]]=Table1[[#This Row],[their_ent_2]], 1, 0)</f>
        <v>0</v>
      </c>
      <c r="J415">
        <f>IF(Table1[[#This Row],[same_1]]=1 &amp; Table1[[#This Row],[same_2]]=1, 1, 0)</f>
        <v>0</v>
      </c>
      <c r="K415">
        <f>IF(ISNUMBER(SEARCH(Table1[[#This Row],[their_ent_1]],Table1[[#This Row],[my_ent_1]])), 1, 0)</f>
        <v>0</v>
      </c>
      <c r="L415">
        <f>IF(ISNUMBER(SEARCH(Table1[[#This Row],[their_ent_2]],Table1[[#This Row],[my_ent_2]])), 1, 0)</f>
        <v>0</v>
      </c>
    </row>
    <row r="416" spans="1:12" hidden="1" x14ac:dyDescent="0.3">
      <c r="A416" t="s">
        <v>1390</v>
      </c>
      <c r="B416" t="s">
        <v>451</v>
      </c>
      <c r="C416" t="s">
        <v>1391</v>
      </c>
      <c r="D416" t="s">
        <v>54</v>
      </c>
      <c r="E416">
        <v>1969</v>
      </c>
      <c r="F416">
        <v>0</v>
      </c>
      <c r="G416">
        <v>414</v>
      </c>
      <c r="H416">
        <f>IF(Table1[[#This Row],[my_ent_1]]=Table1[[#This Row],[their_ent_1]], 1, 0)</f>
        <v>0</v>
      </c>
      <c r="I416">
        <f>IF(Table1[[#This Row],[my_ent_2]]=Table1[[#This Row],[their_ent_2]], 1, 0)</f>
        <v>0</v>
      </c>
      <c r="J416">
        <f>IF(Table1[[#This Row],[same_1]]=1 &amp; Table1[[#This Row],[same_2]]=1, 1, 0)</f>
        <v>0</v>
      </c>
      <c r="K416">
        <f>IF(ISNUMBER(SEARCH(Table1[[#This Row],[their_ent_1]],Table1[[#This Row],[my_ent_1]])), 1, 0)</f>
        <v>0</v>
      </c>
      <c r="L416">
        <f>IF(ISNUMBER(SEARCH(Table1[[#This Row],[their_ent_2]],Table1[[#This Row],[my_ent_2]])), 1, 0)</f>
        <v>0</v>
      </c>
    </row>
    <row r="417" spans="1:12" hidden="1" x14ac:dyDescent="0.3">
      <c r="A417" t="s">
        <v>1392</v>
      </c>
      <c r="B417" t="s">
        <v>1393</v>
      </c>
      <c r="C417" t="s">
        <v>1393</v>
      </c>
      <c r="D417" t="s">
        <v>1394</v>
      </c>
      <c r="E417" t="s">
        <v>1395</v>
      </c>
      <c r="F417">
        <v>0</v>
      </c>
      <c r="G417">
        <v>415</v>
      </c>
      <c r="H417">
        <f>IF(Table1[[#This Row],[my_ent_1]]=Table1[[#This Row],[their_ent_1]], 1, 0)</f>
        <v>1</v>
      </c>
      <c r="I417">
        <f>IF(Table1[[#This Row],[my_ent_2]]=Table1[[#This Row],[their_ent_2]], 1, 0)</f>
        <v>0</v>
      </c>
      <c r="J417">
        <f>IF(Table1[[#This Row],[same_1]]=1 &amp; Table1[[#This Row],[same_2]]=1, 1, 0)</f>
        <v>0</v>
      </c>
      <c r="K417">
        <f>IF(ISNUMBER(SEARCH(Table1[[#This Row],[their_ent_1]],Table1[[#This Row],[my_ent_1]])), 1, 0)</f>
        <v>1</v>
      </c>
      <c r="L417">
        <f>IF(ISNUMBER(SEARCH(Table1[[#This Row],[their_ent_2]],Table1[[#This Row],[my_ent_2]])), 1, 0)</f>
        <v>0</v>
      </c>
    </row>
    <row r="418" spans="1:12" hidden="1" x14ac:dyDescent="0.3">
      <c r="A418" t="s">
        <v>1396</v>
      </c>
      <c r="B418" t="s">
        <v>1397</v>
      </c>
      <c r="C418" t="s">
        <v>1397</v>
      </c>
      <c r="D418" t="s">
        <v>51</v>
      </c>
      <c r="E418" t="s">
        <v>1398</v>
      </c>
      <c r="F418">
        <v>0</v>
      </c>
      <c r="G418">
        <v>416</v>
      </c>
      <c r="H418">
        <f>IF(Table1[[#This Row],[my_ent_1]]=Table1[[#This Row],[their_ent_1]], 1, 0)</f>
        <v>1</v>
      </c>
      <c r="I418">
        <f>IF(Table1[[#This Row],[my_ent_2]]=Table1[[#This Row],[their_ent_2]], 1, 0)</f>
        <v>0</v>
      </c>
      <c r="J418">
        <f>IF(Table1[[#This Row],[same_1]]=1 &amp; Table1[[#This Row],[same_2]]=1, 1, 0)</f>
        <v>0</v>
      </c>
      <c r="K418">
        <f>IF(ISNUMBER(SEARCH(Table1[[#This Row],[their_ent_1]],Table1[[#This Row],[my_ent_1]])), 1, 0)</f>
        <v>1</v>
      </c>
      <c r="L418">
        <f>IF(ISNUMBER(SEARCH(Table1[[#This Row],[their_ent_2]],Table1[[#This Row],[my_ent_2]])), 1, 0)</f>
        <v>0</v>
      </c>
    </row>
    <row r="419" spans="1:12" x14ac:dyDescent="0.3">
      <c r="A419" t="s">
        <v>1399</v>
      </c>
      <c r="B419" t="s">
        <v>401</v>
      </c>
      <c r="C419" t="s">
        <v>30</v>
      </c>
      <c r="D419" t="s">
        <v>137</v>
      </c>
      <c r="E419" t="s">
        <v>138</v>
      </c>
      <c r="F419">
        <v>0</v>
      </c>
      <c r="G419">
        <v>417</v>
      </c>
      <c r="H419">
        <f>IF(Table1[[#This Row],[my_ent_1]]=Table1[[#This Row],[their_ent_1]], 1, 0)</f>
        <v>0</v>
      </c>
      <c r="I419">
        <f>IF(Table1[[#This Row],[my_ent_2]]=Table1[[#This Row],[their_ent_2]], 1, 0)</f>
        <v>0</v>
      </c>
      <c r="J419">
        <f>IF(Table1[[#This Row],[same_1]]=1 &amp; Table1[[#This Row],[same_2]]=1, 1, 0)</f>
        <v>0</v>
      </c>
      <c r="K419">
        <f>IF(ISNUMBER(SEARCH(Table1[[#This Row],[their_ent_1]],Table1[[#This Row],[my_ent_1]])), 1, 0)</f>
        <v>1</v>
      </c>
      <c r="L419">
        <f>IF(ISNUMBER(SEARCH(Table1[[#This Row],[their_ent_2]],Table1[[#This Row],[my_ent_2]])), 1, 0)</f>
        <v>1</v>
      </c>
    </row>
    <row r="420" spans="1:12" x14ac:dyDescent="0.3">
      <c r="A420" t="s">
        <v>1400</v>
      </c>
      <c r="B420" t="s">
        <v>401</v>
      </c>
      <c r="C420" t="s">
        <v>30</v>
      </c>
      <c r="D420" t="s">
        <v>199</v>
      </c>
      <c r="E420" t="s">
        <v>199</v>
      </c>
      <c r="F420">
        <v>0</v>
      </c>
      <c r="G420">
        <v>418</v>
      </c>
      <c r="H420">
        <f>IF(Table1[[#This Row],[my_ent_1]]=Table1[[#This Row],[their_ent_1]], 1, 0)</f>
        <v>0</v>
      </c>
      <c r="I420">
        <f>IF(Table1[[#This Row],[my_ent_2]]=Table1[[#This Row],[their_ent_2]], 1, 0)</f>
        <v>1</v>
      </c>
      <c r="J420">
        <f>IF(Table1[[#This Row],[same_1]]=1 &amp; Table1[[#This Row],[same_2]]=1, 1, 0)</f>
        <v>0</v>
      </c>
      <c r="K420">
        <f>IF(ISNUMBER(SEARCH(Table1[[#This Row],[their_ent_1]],Table1[[#This Row],[my_ent_1]])), 1, 0)</f>
        <v>1</v>
      </c>
      <c r="L420">
        <f>IF(ISNUMBER(SEARCH(Table1[[#This Row],[their_ent_2]],Table1[[#This Row],[my_ent_2]])), 1, 0)</f>
        <v>1</v>
      </c>
    </row>
    <row r="421" spans="1:12" x14ac:dyDescent="0.3">
      <c r="A421" t="s">
        <v>1401</v>
      </c>
      <c r="B421" t="s">
        <v>1402</v>
      </c>
      <c r="C421" t="s">
        <v>354</v>
      </c>
      <c r="D421" t="s">
        <v>1403</v>
      </c>
      <c r="E421" t="s">
        <v>1403</v>
      </c>
      <c r="F421">
        <v>0</v>
      </c>
      <c r="G421">
        <v>419</v>
      </c>
      <c r="H421">
        <f>IF(Table1[[#This Row],[my_ent_1]]=Table1[[#This Row],[their_ent_1]], 1, 0)</f>
        <v>0</v>
      </c>
      <c r="I421">
        <f>IF(Table1[[#This Row],[my_ent_2]]=Table1[[#This Row],[their_ent_2]], 1, 0)</f>
        <v>1</v>
      </c>
      <c r="J421">
        <f>IF(Table1[[#This Row],[same_1]]=1 &amp; Table1[[#This Row],[same_2]]=1, 1, 0)</f>
        <v>0</v>
      </c>
      <c r="K421">
        <f>IF(ISNUMBER(SEARCH(Table1[[#This Row],[their_ent_1]],Table1[[#This Row],[my_ent_1]])), 1, 0)</f>
        <v>1</v>
      </c>
      <c r="L421">
        <f>IF(ISNUMBER(SEARCH(Table1[[#This Row],[their_ent_2]],Table1[[#This Row],[my_ent_2]])), 1, 0)</f>
        <v>1</v>
      </c>
    </row>
    <row r="422" spans="1:12" hidden="1" x14ac:dyDescent="0.3">
      <c r="A422" t="s">
        <v>1404</v>
      </c>
      <c r="B422" t="s">
        <v>7</v>
      </c>
      <c r="C422" t="s">
        <v>165</v>
      </c>
      <c r="D422" t="s">
        <v>1405</v>
      </c>
      <c r="E422" t="s">
        <v>1405</v>
      </c>
      <c r="F422">
        <v>0</v>
      </c>
      <c r="G422">
        <v>420</v>
      </c>
      <c r="H422">
        <f>IF(Table1[[#This Row],[my_ent_1]]=Table1[[#This Row],[their_ent_1]], 1, 0)</f>
        <v>0</v>
      </c>
      <c r="I422">
        <f>IF(Table1[[#This Row],[my_ent_2]]=Table1[[#This Row],[their_ent_2]], 1, 0)</f>
        <v>1</v>
      </c>
      <c r="J422">
        <f>IF(Table1[[#This Row],[same_1]]=1 &amp; Table1[[#This Row],[same_2]]=1, 1, 0)</f>
        <v>0</v>
      </c>
      <c r="K422">
        <f>IF(ISNUMBER(SEARCH(Table1[[#This Row],[their_ent_1]],Table1[[#This Row],[my_ent_1]])), 1, 0)</f>
        <v>0</v>
      </c>
      <c r="L422">
        <f>IF(ISNUMBER(SEARCH(Table1[[#This Row],[their_ent_2]],Table1[[#This Row],[my_ent_2]])), 1, 0)</f>
        <v>1</v>
      </c>
    </row>
    <row r="423" spans="1:12" hidden="1" x14ac:dyDescent="0.3">
      <c r="A423" t="s">
        <v>1406</v>
      </c>
      <c r="B423" t="s">
        <v>1407</v>
      </c>
      <c r="C423" t="s">
        <v>848</v>
      </c>
      <c r="D423" t="s">
        <v>1408</v>
      </c>
      <c r="E423" t="s">
        <v>1265</v>
      </c>
      <c r="F423">
        <v>0</v>
      </c>
      <c r="G423">
        <v>421</v>
      </c>
      <c r="H423">
        <f>IF(Table1[[#This Row],[my_ent_1]]=Table1[[#This Row],[their_ent_1]], 1, 0)</f>
        <v>0</v>
      </c>
      <c r="I423">
        <f>IF(Table1[[#This Row],[my_ent_2]]=Table1[[#This Row],[their_ent_2]], 1, 0)</f>
        <v>0</v>
      </c>
      <c r="J423">
        <f>IF(Table1[[#This Row],[same_1]]=1 &amp; Table1[[#This Row],[same_2]]=1, 1, 0)</f>
        <v>0</v>
      </c>
      <c r="K423">
        <f>IF(ISNUMBER(SEARCH(Table1[[#This Row],[their_ent_1]],Table1[[#This Row],[my_ent_1]])), 1, 0)</f>
        <v>0</v>
      </c>
      <c r="L423">
        <f>IF(ISNUMBER(SEARCH(Table1[[#This Row],[their_ent_2]],Table1[[#This Row],[my_ent_2]])), 1, 0)</f>
        <v>1</v>
      </c>
    </row>
    <row r="424" spans="1:12" hidden="1" x14ac:dyDescent="0.3">
      <c r="A424" t="s">
        <v>1409</v>
      </c>
      <c r="B424" t="s">
        <v>401</v>
      </c>
      <c r="C424" t="s">
        <v>30</v>
      </c>
      <c r="D424" t="s">
        <v>54</v>
      </c>
      <c r="E424" t="s">
        <v>967</v>
      </c>
      <c r="F424">
        <v>0</v>
      </c>
      <c r="G424">
        <v>422</v>
      </c>
      <c r="H424">
        <f>IF(Table1[[#This Row],[my_ent_1]]=Table1[[#This Row],[their_ent_1]], 1, 0)</f>
        <v>0</v>
      </c>
      <c r="I424">
        <f>IF(Table1[[#This Row],[my_ent_2]]=Table1[[#This Row],[their_ent_2]], 1, 0)</f>
        <v>0</v>
      </c>
      <c r="J424">
        <f>IF(Table1[[#This Row],[same_1]]=1 &amp; Table1[[#This Row],[same_2]]=1, 1, 0)</f>
        <v>0</v>
      </c>
      <c r="K424">
        <f>IF(ISNUMBER(SEARCH(Table1[[#This Row],[their_ent_1]],Table1[[#This Row],[my_ent_1]])), 1, 0)</f>
        <v>1</v>
      </c>
      <c r="L424">
        <f>IF(ISNUMBER(SEARCH(Table1[[#This Row],[their_ent_2]],Table1[[#This Row],[my_ent_2]])), 1, 0)</f>
        <v>0</v>
      </c>
    </row>
    <row r="425" spans="1:12" hidden="1" x14ac:dyDescent="0.3">
      <c r="A425" t="s">
        <v>1410</v>
      </c>
      <c r="B425" t="s">
        <v>1411</v>
      </c>
      <c r="C425" t="s">
        <v>1412</v>
      </c>
      <c r="D425" t="s">
        <v>106</v>
      </c>
      <c r="E425" t="s">
        <v>296</v>
      </c>
      <c r="F425">
        <v>0</v>
      </c>
      <c r="G425">
        <v>423</v>
      </c>
      <c r="H425">
        <f>IF(Table1[[#This Row],[my_ent_1]]=Table1[[#This Row],[their_ent_1]], 1, 0)</f>
        <v>0</v>
      </c>
      <c r="I425">
        <f>IF(Table1[[#This Row],[my_ent_2]]=Table1[[#This Row],[their_ent_2]], 1, 0)</f>
        <v>0</v>
      </c>
      <c r="J425">
        <f>IF(Table1[[#This Row],[same_1]]=1 &amp; Table1[[#This Row],[same_2]]=1, 1, 0)</f>
        <v>0</v>
      </c>
      <c r="K425">
        <f>IF(ISNUMBER(SEARCH(Table1[[#This Row],[their_ent_1]],Table1[[#This Row],[my_ent_1]])), 1, 0)</f>
        <v>1</v>
      </c>
      <c r="L425">
        <f>IF(ISNUMBER(SEARCH(Table1[[#This Row],[their_ent_2]],Table1[[#This Row],[my_ent_2]])), 1, 0)</f>
        <v>0</v>
      </c>
    </row>
    <row r="426" spans="1:12" x14ac:dyDescent="0.3">
      <c r="A426" t="s">
        <v>1413</v>
      </c>
      <c r="B426" t="s">
        <v>1414</v>
      </c>
      <c r="C426" t="s">
        <v>121</v>
      </c>
      <c r="D426" t="s">
        <v>36</v>
      </c>
      <c r="E426" t="s">
        <v>36</v>
      </c>
      <c r="F426">
        <v>0</v>
      </c>
      <c r="G426">
        <v>424</v>
      </c>
      <c r="H426">
        <f>IF(Table1[[#This Row],[my_ent_1]]=Table1[[#This Row],[their_ent_1]], 1, 0)</f>
        <v>0</v>
      </c>
      <c r="I426">
        <f>IF(Table1[[#This Row],[my_ent_2]]=Table1[[#This Row],[their_ent_2]], 1, 0)</f>
        <v>1</v>
      </c>
      <c r="J426">
        <f>IF(Table1[[#This Row],[same_1]]=1 &amp; Table1[[#This Row],[same_2]]=1, 1, 0)</f>
        <v>0</v>
      </c>
      <c r="K426">
        <f>IF(ISNUMBER(SEARCH(Table1[[#This Row],[their_ent_1]],Table1[[#This Row],[my_ent_1]])), 1, 0)</f>
        <v>1</v>
      </c>
      <c r="L426">
        <f>IF(ISNUMBER(SEARCH(Table1[[#This Row],[their_ent_2]],Table1[[#This Row],[my_ent_2]])), 1, 0)</f>
        <v>1</v>
      </c>
    </row>
    <row r="427" spans="1:12" hidden="1" x14ac:dyDescent="0.3">
      <c r="A427" t="s">
        <v>1415</v>
      </c>
      <c r="B427" t="s">
        <v>1416</v>
      </c>
      <c r="C427" t="s">
        <v>1417</v>
      </c>
      <c r="D427" t="s">
        <v>1418</v>
      </c>
      <c r="E427" t="s">
        <v>1419</v>
      </c>
      <c r="F427">
        <v>0</v>
      </c>
      <c r="G427">
        <v>425</v>
      </c>
      <c r="H427">
        <f>IF(Table1[[#This Row],[my_ent_1]]=Table1[[#This Row],[their_ent_1]], 1, 0)</f>
        <v>0</v>
      </c>
      <c r="I427">
        <f>IF(Table1[[#This Row],[my_ent_2]]=Table1[[#This Row],[their_ent_2]], 1, 0)</f>
        <v>0</v>
      </c>
      <c r="J427">
        <f>IF(Table1[[#This Row],[same_1]]=1 &amp; Table1[[#This Row],[same_2]]=1, 1, 0)</f>
        <v>0</v>
      </c>
      <c r="K427">
        <f>IF(ISNUMBER(SEARCH(Table1[[#This Row],[their_ent_1]],Table1[[#This Row],[my_ent_1]])), 1, 0)</f>
        <v>0</v>
      </c>
      <c r="L427">
        <f>IF(ISNUMBER(SEARCH(Table1[[#This Row],[their_ent_2]],Table1[[#This Row],[my_ent_2]])), 1, 0)</f>
        <v>0</v>
      </c>
    </row>
    <row r="428" spans="1:12" hidden="1" x14ac:dyDescent="0.3">
      <c r="A428" t="s">
        <v>1420</v>
      </c>
      <c r="B428" t="s">
        <v>631</v>
      </c>
      <c r="C428" t="s">
        <v>1421</v>
      </c>
      <c r="D428" t="s">
        <v>30</v>
      </c>
      <c r="E428" t="s">
        <v>1422</v>
      </c>
      <c r="F428">
        <v>0</v>
      </c>
      <c r="G428">
        <v>426</v>
      </c>
      <c r="H428">
        <f>IF(Table1[[#This Row],[my_ent_1]]=Table1[[#This Row],[their_ent_1]], 1, 0)</f>
        <v>0</v>
      </c>
      <c r="I428">
        <f>IF(Table1[[#This Row],[my_ent_2]]=Table1[[#This Row],[their_ent_2]], 1, 0)</f>
        <v>0</v>
      </c>
      <c r="J428">
        <f>IF(Table1[[#This Row],[same_1]]=1 &amp; Table1[[#This Row],[same_2]]=1, 1, 0)</f>
        <v>0</v>
      </c>
      <c r="K428">
        <f>IF(ISNUMBER(SEARCH(Table1[[#This Row],[their_ent_1]],Table1[[#This Row],[my_ent_1]])), 1, 0)</f>
        <v>0</v>
      </c>
      <c r="L428">
        <f>IF(ISNUMBER(SEARCH(Table1[[#This Row],[their_ent_2]],Table1[[#This Row],[my_ent_2]])), 1, 0)</f>
        <v>0</v>
      </c>
    </row>
    <row r="429" spans="1:12" hidden="1" x14ac:dyDescent="0.3">
      <c r="A429" t="s">
        <v>1423</v>
      </c>
      <c r="B429" t="s">
        <v>1424</v>
      </c>
      <c r="C429" t="s">
        <v>1424</v>
      </c>
      <c r="D429" t="s">
        <v>1425</v>
      </c>
      <c r="E429" t="s">
        <v>1426</v>
      </c>
      <c r="F429">
        <v>0</v>
      </c>
      <c r="G429">
        <v>427</v>
      </c>
      <c r="H429">
        <f>IF(Table1[[#This Row],[my_ent_1]]=Table1[[#This Row],[their_ent_1]], 1, 0)</f>
        <v>1</v>
      </c>
      <c r="I429">
        <f>IF(Table1[[#This Row],[my_ent_2]]=Table1[[#This Row],[their_ent_2]], 1, 0)</f>
        <v>0</v>
      </c>
      <c r="J429">
        <f>IF(Table1[[#This Row],[same_1]]=1 &amp; Table1[[#This Row],[same_2]]=1, 1, 0)</f>
        <v>0</v>
      </c>
      <c r="K429">
        <f>IF(ISNUMBER(SEARCH(Table1[[#This Row],[their_ent_1]],Table1[[#This Row],[my_ent_1]])), 1, 0)</f>
        <v>1</v>
      </c>
      <c r="L429">
        <f>IF(ISNUMBER(SEARCH(Table1[[#This Row],[their_ent_2]],Table1[[#This Row],[my_ent_2]])), 1, 0)</f>
        <v>0</v>
      </c>
    </row>
    <row r="430" spans="1:12" hidden="1" x14ac:dyDescent="0.3">
      <c r="A430" t="s">
        <v>1427</v>
      </c>
      <c r="B430" t="s">
        <v>297</v>
      </c>
      <c r="C430" t="s">
        <v>597</v>
      </c>
      <c r="D430" t="s">
        <v>1428</v>
      </c>
      <c r="E430" t="s">
        <v>297</v>
      </c>
      <c r="F430">
        <v>0</v>
      </c>
      <c r="G430">
        <v>428</v>
      </c>
      <c r="H430">
        <f>IF(Table1[[#This Row],[my_ent_1]]=Table1[[#This Row],[their_ent_1]], 1, 0)</f>
        <v>0</v>
      </c>
      <c r="I430">
        <f>IF(Table1[[#This Row],[my_ent_2]]=Table1[[#This Row],[their_ent_2]], 1, 0)</f>
        <v>0</v>
      </c>
      <c r="J430">
        <f>IF(Table1[[#This Row],[same_1]]=1 &amp; Table1[[#This Row],[same_2]]=1, 1, 0)</f>
        <v>0</v>
      </c>
      <c r="K430">
        <f>IF(ISNUMBER(SEARCH(Table1[[#This Row],[their_ent_1]],Table1[[#This Row],[my_ent_1]])), 1, 0)</f>
        <v>0</v>
      </c>
      <c r="L430">
        <f>IF(ISNUMBER(SEARCH(Table1[[#This Row],[their_ent_2]],Table1[[#This Row],[my_ent_2]])), 1, 0)</f>
        <v>0</v>
      </c>
    </row>
    <row r="431" spans="1:12" hidden="1" x14ac:dyDescent="0.3">
      <c r="A431" t="s">
        <v>1429</v>
      </c>
      <c r="B431" t="s">
        <v>1430</v>
      </c>
      <c r="C431" t="s">
        <v>1431</v>
      </c>
      <c r="D431" t="s">
        <v>1431</v>
      </c>
      <c r="E431" t="s">
        <v>1432</v>
      </c>
      <c r="F431">
        <v>0</v>
      </c>
      <c r="G431">
        <v>429</v>
      </c>
      <c r="H431">
        <f>IF(Table1[[#This Row],[my_ent_1]]=Table1[[#This Row],[their_ent_1]], 1, 0)</f>
        <v>0</v>
      </c>
      <c r="I431">
        <f>IF(Table1[[#This Row],[my_ent_2]]=Table1[[#This Row],[their_ent_2]], 1, 0)</f>
        <v>0</v>
      </c>
      <c r="J431">
        <f>IF(Table1[[#This Row],[same_1]]=1 &amp; Table1[[#This Row],[same_2]]=1, 1, 0)</f>
        <v>0</v>
      </c>
      <c r="K431">
        <f>IF(ISNUMBER(SEARCH(Table1[[#This Row],[their_ent_1]],Table1[[#This Row],[my_ent_1]])), 1, 0)</f>
        <v>0</v>
      </c>
      <c r="L431">
        <f>IF(ISNUMBER(SEARCH(Table1[[#This Row],[their_ent_2]],Table1[[#This Row],[my_ent_2]])), 1, 0)</f>
        <v>0</v>
      </c>
    </row>
    <row r="432" spans="1:12" hidden="1" x14ac:dyDescent="0.3">
      <c r="A432" t="s">
        <v>1433</v>
      </c>
      <c r="B432" t="s">
        <v>464</v>
      </c>
      <c r="C432" t="s">
        <v>1434</v>
      </c>
      <c r="D432" t="s">
        <v>58</v>
      </c>
      <c r="E432" t="s">
        <v>30</v>
      </c>
      <c r="F432">
        <v>0</v>
      </c>
      <c r="G432">
        <v>430</v>
      </c>
      <c r="H432">
        <f>IF(Table1[[#This Row],[my_ent_1]]=Table1[[#This Row],[their_ent_1]], 1, 0)</f>
        <v>0</v>
      </c>
      <c r="I432">
        <f>IF(Table1[[#This Row],[my_ent_2]]=Table1[[#This Row],[their_ent_2]], 1, 0)</f>
        <v>0</v>
      </c>
      <c r="J432">
        <f>IF(Table1[[#This Row],[same_1]]=1 &amp; Table1[[#This Row],[same_2]]=1, 1, 0)</f>
        <v>0</v>
      </c>
      <c r="K432">
        <f>IF(ISNUMBER(SEARCH(Table1[[#This Row],[their_ent_1]],Table1[[#This Row],[my_ent_1]])), 1, 0)</f>
        <v>0</v>
      </c>
      <c r="L432">
        <f>IF(ISNUMBER(SEARCH(Table1[[#This Row],[their_ent_2]],Table1[[#This Row],[my_ent_2]])), 1, 0)</f>
        <v>0</v>
      </c>
    </row>
    <row r="433" spans="1:12" hidden="1" x14ac:dyDescent="0.3">
      <c r="A433" t="s">
        <v>1435</v>
      </c>
      <c r="B433" t="s">
        <v>36</v>
      </c>
      <c r="C433" t="s">
        <v>1436</v>
      </c>
      <c r="D433" t="s">
        <v>54</v>
      </c>
      <c r="E433" t="s">
        <v>36</v>
      </c>
      <c r="F433">
        <v>0</v>
      </c>
      <c r="G433">
        <v>431</v>
      </c>
      <c r="H433">
        <f>IF(Table1[[#This Row],[my_ent_1]]=Table1[[#This Row],[their_ent_1]], 1, 0)</f>
        <v>0</v>
      </c>
      <c r="I433">
        <f>IF(Table1[[#This Row],[my_ent_2]]=Table1[[#This Row],[their_ent_2]], 1, 0)</f>
        <v>0</v>
      </c>
      <c r="J433">
        <f>IF(Table1[[#This Row],[same_1]]=1 &amp; Table1[[#This Row],[same_2]]=1, 1, 0)</f>
        <v>0</v>
      </c>
      <c r="K433">
        <f>IF(ISNUMBER(SEARCH(Table1[[#This Row],[their_ent_1]],Table1[[#This Row],[my_ent_1]])), 1, 0)</f>
        <v>0</v>
      </c>
      <c r="L433">
        <f>IF(ISNUMBER(SEARCH(Table1[[#This Row],[their_ent_2]],Table1[[#This Row],[my_ent_2]])), 1, 0)</f>
        <v>0</v>
      </c>
    </row>
    <row r="434" spans="1:12" hidden="1" x14ac:dyDescent="0.3">
      <c r="A434" t="s">
        <v>1437</v>
      </c>
      <c r="B434" t="s">
        <v>1438</v>
      </c>
      <c r="C434" t="s">
        <v>1439</v>
      </c>
      <c r="D434" t="s">
        <v>1439</v>
      </c>
      <c r="E434" t="s">
        <v>652</v>
      </c>
      <c r="F434">
        <v>0</v>
      </c>
      <c r="G434">
        <v>432</v>
      </c>
      <c r="H434">
        <f>IF(Table1[[#This Row],[my_ent_1]]=Table1[[#This Row],[their_ent_1]], 1, 0)</f>
        <v>0</v>
      </c>
      <c r="I434">
        <f>IF(Table1[[#This Row],[my_ent_2]]=Table1[[#This Row],[their_ent_2]], 1, 0)</f>
        <v>0</v>
      </c>
      <c r="J434">
        <f>IF(Table1[[#This Row],[same_1]]=1 &amp; Table1[[#This Row],[same_2]]=1, 1, 0)</f>
        <v>0</v>
      </c>
      <c r="K434">
        <f>IF(ISNUMBER(SEARCH(Table1[[#This Row],[their_ent_1]],Table1[[#This Row],[my_ent_1]])), 1, 0)</f>
        <v>0</v>
      </c>
      <c r="L434">
        <f>IF(ISNUMBER(SEARCH(Table1[[#This Row],[their_ent_2]],Table1[[#This Row],[my_ent_2]])), 1, 0)</f>
        <v>0</v>
      </c>
    </row>
    <row r="435" spans="1:12" hidden="1" x14ac:dyDescent="0.3">
      <c r="A435" t="s">
        <v>1440</v>
      </c>
      <c r="B435" t="s">
        <v>1441</v>
      </c>
      <c r="C435" t="s">
        <v>1442</v>
      </c>
      <c r="D435" t="s">
        <v>1443</v>
      </c>
      <c r="E435" t="s">
        <v>1443</v>
      </c>
      <c r="F435">
        <v>0</v>
      </c>
      <c r="G435">
        <v>433</v>
      </c>
      <c r="H435">
        <f>IF(Table1[[#This Row],[my_ent_1]]=Table1[[#This Row],[their_ent_1]], 1, 0)</f>
        <v>0</v>
      </c>
      <c r="I435">
        <f>IF(Table1[[#This Row],[my_ent_2]]=Table1[[#This Row],[their_ent_2]], 1, 0)</f>
        <v>1</v>
      </c>
      <c r="J435">
        <f>IF(Table1[[#This Row],[same_1]]=1 &amp; Table1[[#This Row],[same_2]]=1, 1, 0)</f>
        <v>0</v>
      </c>
      <c r="K435">
        <f>IF(ISNUMBER(SEARCH(Table1[[#This Row],[their_ent_1]],Table1[[#This Row],[my_ent_1]])), 1, 0)</f>
        <v>0</v>
      </c>
      <c r="L435">
        <f>IF(ISNUMBER(SEARCH(Table1[[#This Row],[their_ent_2]],Table1[[#This Row],[my_ent_2]])), 1, 0)</f>
        <v>1</v>
      </c>
    </row>
    <row r="436" spans="1:12" hidden="1" x14ac:dyDescent="0.3">
      <c r="A436" t="s">
        <v>1444</v>
      </c>
      <c r="B436" t="s">
        <v>147</v>
      </c>
      <c r="C436" t="s">
        <v>1445</v>
      </c>
      <c r="D436" t="s">
        <v>352</v>
      </c>
      <c r="E436" t="s">
        <v>1446</v>
      </c>
      <c r="F436">
        <v>0</v>
      </c>
      <c r="G436">
        <v>434</v>
      </c>
      <c r="H436">
        <f>IF(Table1[[#This Row],[my_ent_1]]=Table1[[#This Row],[their_ent_1]], 1, 0)</f>
        <v>0</v>
      </c>
      <c r="I436">
        <f>IF(Table1[[#This Row],[my_ent_2]]=Table1[[#This Row],[their_ent_2]], 1, 0)</f>
        <v>0</v>
      </c>
      <c r="J436">
        <f>IF(Table1[[#This Row],[same_1]]=1 &amp; Table1[[#This Row],[same_2]]=1, 1, 0)</f>
        <v>0</v>
      </c>
      <c r="K436">
        <f>IF(ISNUMBER(SEARCH(Table1[[#This Row],[their_ent_1]],Table1[[#This Row],[my_ent_1]])), 1, 0)</f>
        <v>0</v>
      </c>
      <c r="L436">
        <f>IF(ISNUMBER(SEARCH(Table1[[#This Row],[their_ent_2]],Table1[[#This Row],[my_ent_2]])), 1, 0)</f>
        <v>0</v>
      </c>
    </row>
    <row r="437" spans="1:12" hidden="1" x14ac:dyDescent="0.3">
      <c r="A437" t="s">
        <v>1447</v>
      </c>
      <c r="B437" t="s">
        <v>1448</v>
      </c>
      <c r="C437" t="s">
        <v>1448</v>
      </c>
      <c r="D437" t="s">
        <v>1449</v>
      </c>
      <c r="E437" t="s">
        <v>1450</v>
      </c>
      <c r="F437">
        <v>0</v>
      </c>
      <c r="G437">
        <v>435</v>
      </c>
      <c r="H437">
        <f>IF(Table1[[#This Row],[my_ent_1]]=Table1[[#This Row],[their_ent_1]], 1, 0)</f>
        <v>1</v>
      </c>
      <c r="I437">
        <f>IF(Table1[[#This Row],[my_ent_2]]=Table1[[#This Row],[their_ent_2]], 1, 0)</f>
        <v>0</v>
      </c>
      <c r="J437">
        <f>IF(Table1[[#This Row],[same_1]]=1 &amp; Table1[[#This Row],[same_2]]=1, 1, 0)</f>
        <v>0</v>
      </c>
      <c r="K437">
        <f>IF(ISNUMBER(SEARCH(Table1[[#This Row],[their_ent_1]],Table1[[#This Row],[my_ent_1]])), 1, 0)</f>
        <v>1</v>
      </c>
      <c r="L437">
        <f>IF(ISNUMBER(SEARCH(Table1[[#This Row],[their_ent_2]],Table1[[#This Row],[my_ent_2]])), 1, 0)</f>
        <v>0</v>
      </c>
    </row>
    <row r="438" spans="1:12" hidden="1" x14ac:dyDescent="0.3">
      <c r="A438" t="s">
        <v>1451</v>
      </c>
      <c r="B438" t="s">
        <v>664</v>
      </c>
      <c r="C438" t="s">
        <v>1452</v>
      </c>
      <c r="D438" t="s">
        <v>1452</v>
      </c>
      <c r="E438" t="s">
        <v>354</v>
      </c>
      <c r="F438">
        <v>0</v>
      </c>
      <c r="G438">
        <v>436</v>
      </c>
      <c r="H438">
        <f>IF(Table1[[#This Row],[my_ent_1]]=Table1[[#This Row],[their_ent_1]], 1, 0)</f>
        <v>0</v>
      </c>
      <c r="I438">
        <f>IF(Table1[[#This Row],[my_ent_2]]=Table1[[#This Row],[their_ent_2]], 1, 0)</f>
        <v>0</v>
      </c>
      <c r="J438">
        <f>IF(Table1[[#This Row],[same_1]]=1 &amp; Table1[[#This Row],[same_2]]=1, 1, 0)</f>
        <v>0</v>
      </c>
      <c r="K438">
        <f>IF(ISNUMBER(SEARCH(Table1[[#This Row],[their_ent_1]],Table1[[#This Row],[my_ent_1]])), 1, 0)</f>
        <v>0</v>
      </c>
      <c r="L438">
        <f>IF(ISNUMBER(SEARCH(Table1[[#This Row],[their_ent_2]],Table1[[#This Row],[my_ent_2]])), 1, 0)</f>
        <v>0</v>
      </c>
    </row>
    <row r="439" spans="1:12" hidden="1" x14ac:dyDescent="0.3">
      <c r="A439" t="s">
        <v>1453</v>
      </c>
      <c r="B439" t="s">
        <v>1016</v>
      </c>
      <c r="C439" t="s">
        <v>1290</v>
      </c>
      <c r="D439" t="s">
        <v>1454</v>
      </c>
      <c r="E439" t="s">
        <v>1455</v>
      </c>
      <c r="F439">
        <v>0</v>
      </c>
      <c r="G439">
        <v>437</v>
      </c>
      <c r="H439">
        <f>IF(Table1[[#This Row],[my_ent_1]]=Table1[[#This Row],[their_ent_1]], 1, 0)</f>
        <v>0</v>
      </c>
      <c r="I439">
        <f>IF(Table1[[#This Row],[my_ent_2]]=Table1[[#This Row],[their_ent_2]], 1, 0)</f>
        <v>0</v>
      </c>
      <c r="J439">
        <f>IF(Table1[[#This Row],[same_1]]=1 &amp; Table1[[#This Row],[same_2]]=1, 1, 0)</f>
        <v>0</v>
      </c>
      <c r="K439">
        <f>IF(ISNUMBER(SEARCH(Table1[[#This Row],[their_ent_1]],Table1[[#This Row],[my_ent_1]])), 1, 0)</f>
        <v>0</v>
      </c>
      <c r="L439">
        <f>IF(ISNUMBER(SEARCH(Table1[[#This Row],[their_ent_2]],Table1[[#This Row],[my_ent_2]])), 1, 0)</f>
        <v>1</v>
      </c>
    </row>
    <row r="440" spans="1:12" hidden="1" x14ac:dyDescent="0.3">
      <c r="A440" t="s">
        <v>1456</v>
      </c>
      <c r="B440" t="s">
        <v>1284</v>
      </c>
      <c r="C440" t="s">
        <v>404</v>
      </c>
      <c r="D440" t="s">
        <v>73</v>
      </c>
      <c r="E440" t="s">
        <v>429</v>
      </c>
      <c r="F440">
        <v>0</v>
      </c>
      <c r="G440">
        <v>438</v>
      </c>
      <c r="H440">
        <f>IF(Table1[[#This Row],[my_ent_1]]=Table1[[#This Row],[their_ent_1]], 1, 0)</f>
        <v>0</v>
      </c>
      <c r="I440">
        <f>IF(Table1[[#This Row],[my_ent_2]]=Table1[[#This Row],[their_ent_2]], 1, 0)</f>
        <v>0</v>
      </c>
      <c r="J440">
        <f>IF(Table1[[#This Row],[same_1]]=1 &amp; Table1[[#This Row],[same_2]]=1, 1, 0)</f>
        <v>0</v>
      </c>
      <c r="K440">
        <f>IF(ISNUMBER(SEARCH(Table1[[#This Row],[their_ent_1]],Table1[[#This Row],[my_ent_1]])), 1, 0)</f>
        <v>1</v>
      </c>
      <c r="L440">
        <f>IF(ISNUMBER(SEARCH(Table1[[#This Row],[their_ent_2]],Table1[[#This Row],[my_ent_2]])), 1, 0)</f>
        <v>0</v>
      </c>
    </row>
    <row r="441" spans="1:12" hidden="1" x14ac:dyDescent="0.3">
      <c r="A441" t="s">
        <v>1457</v>
      </c>
      <c r="B441" t="s">
        <v>1458</v>
      </c>
      <c r="C441" t="s">
        <v>1458</v>
      </c>
      <c r="D441" t="s">
        <v>60</v>
      </c>
      <c r="E441" t="s">
        <v>1459</v>
      </c>
      <c r="F441">
        <v>0</v>
      </c>
      <c r="G441">
        <v>439</v>
      </c>
      <c r="H441">
        <f>IF(Table1[[#This Row],[my_ent_1]]=Table1[[#This Row],[their_ent_1]], 1, 0)</f>
        <v>1</v>
      </c>
      <c r="I441">
        <f>IF(Table1[[#This Row],[my_ent_2]]=Table1[[#This Row],[their_ent_2]], 1, 0)</f>
        <v>0</v>
      </c>
      <c r="J441">
        <f>IF(Table1[[#This Row],[same_1]]=1 &amp; Table1[[#This Row],[same_2]]=1, 1, 0)</f>
        <v>0</v>
      </c>
      <c r="K441">
        <f>IF(ISNUMBER(SEARCH(Table1[[#This Row],[their_ent_1]],Table1[[#This Row],[my_ent_1]])), 1, 0)</f>
        <v>1</v>
      </c>
      <c r="L441">
        <f>IF(ISNUMBER(SEARCH(Table1[[#This Row],[their_ent_2]],Table1[[#This Row],[my_ent_2]])), 1, 0)</f>
        <v>0</v>
      </c>
    </row>
    <row r="442" spans="1:12" x14ac:dyDescent="0.3">
      <c r="A442" t="s">
        <v>1460</v>
      </c>
      <c r="B442" t="s">
        <v>938</v>
      </c>
      <c r="C442" t="s">
        <v>507</v>
      </c>
      <c r="D442" t="s">
        <v>1265</v>
      </c>
      <c r="E442" t="s">
        <v>1265</v>
      </c>
      <c r="F442">
        <v>0</v>
      </c>
      <c r="G442">
        <v>440</v>
      </c>
      <c r="H442">
        <f>IF(Table1[[#This Row],[my_ent_1]]=Table1[[#This Row],[their_ent_1]], 1, 0)</f>
        <v>0</v>
      </c>
      <c r="I442">
        <f>IF(Table1[[#This Row],[my_ent_2]]=Table1[[#This Row],[their_ent_2]], 1, 0)</f>
        <v>1</v>
      </c>
      <c r="J442">
        <f>IF(Table1[[#This Row],[same_1]]=1 &amp; Table1[[#This Row],[same_2]]=1, 1, 0)</f>
        <v>0</v>
      </c>
      <c r="K442">
        <f>IF(ISNUMBER(SEARCH(Table1[[#This Row],[their_ent_1]],Table1[[#This Row],[my_ent_1]])), 1, 0)</f>
        <v>1</v>
      </c>
      <c r="L442">
        <f>IF(ISNUMBER(SEARCH(Table1[[#This Row],[their_ent_2]],Table1[[#This Row],[my_ent_2]])), 1, 0)</f>
        <v>1</v>
      </c>
    </row>
    <row r="443" spans="1:12" x14ac:dyDescent="0.3">
      <c r="A443" t="e">
        <f>- emerging nations would be wrong to blame their problems on Western central banks, and should focus on building up economic resilience through domestic reforms, British finance minister George Osborne said on Thursday.</f>
        <v>#NAME?</v>
      </c>
      <c r="B443" t="s">
        <v>812</v>
      </c>
      <c r="C443" t="s">
        <v>812</v>
      </c>
      <c r="D443" t="s">
        <v>1461</v>
      </c>
      <c r="E443" t="s">
        <v>1462</v>
      </c>
      <c r="F443">
        <v>0</v>
      </c>
      <c r="G443">
        <v>441</v>
      </c>
      <c r="H443">
        <f>IF(Table1[[#This Row],[my_ent_1]]=Table1[[#This Row],[their_ent_1]], 1, 0)</f>
        <v>1</v>
      </c>
      <c r="I443">
        <f>IF(Table1[[#This Row],[my_ent_2]]=Table1[[#This Row],[their_ent_2]], 1, 0)</f>
        <v>0</v>
      </c>
      <c r="J443">
        <f>IF(Table1[[#This Row],[same_1]]=1 &amp; Table1[[#This Row],[same_2]]=1, 1, 0)</f>
        <v>0</v>
      </c>
      <c r="K443">
        <f>IF(ISNUMBER(SEARCH(Table1[[#This Row],[their_ent_1]],Table1[[#This Row],[my_ent_1]])), 1, 0)</f>
        <v>1</v>
      </c>
      <c r="L443">
        <f>IF(ISNUMBER(SEARCH(Table1[[#This Row],[their_ent_2]],Table1[[#This Row],[my_ent_2]])), 1, 0)</f>
        <v>1</v>
      </c>
    </row>
    <row r="444" spans="1:12" hidden="1" x14ac:dyDescent="0.3">
      <c r="A444" t="s">
        <v>1463</v>
      </c>
      <c r="B444" t="s">
        <v>1464</v>
      </c>
      <c r="C444" t="s">
        <v>1465</v>
      </c>
      <c r="D444" t="s">
        <v>7</v>
      </c>
      <c r="E444" t="s">
        <v>7</v>
      </c>
      <c r="F444">
        <v>0</v>
      </c>
      <c r="G444">
        <v>442</v>
      </c>
      <c r="H444">
        <f>IF(Table1[[#This Row],[my_ent_1]]=Table1[[#This Row],[their_ent_1]], 1, 0)</f>
        <v>0</v>
      </c>
      <c r="I444">
        <f>IF(Table1[[#This Row],[my_ent_2]]=Table1[[#This Row],[their_ent_2]], 1, 0)</f>
        <v>1</v>
      </c>
      <c r="J444">
        <f>IF(Table1[[#This Row],[same_1]]=1 &amp; Table1[[#This Row],[same_2]]=1, 1, 0)</f>
        <v>0</v>
      </c>
      <c r="K444">
        <f>IF(ISNUMBER(SEARCH(Table1[[#This Row],[their_ent_1]],Table1[[#This Row],[my_ent_1]])), 1, 0)</f>
        <v>0</v>
      </c>
      <c r="L444">
        <f>IF(ISNUMBER(SEARCH(Table1[[#This Row],[their_ent_2]],Table1[[#This Row],[my_ent_2]])), 1, 0)</f>
        <v>1</v>
      </c>
    </row>
    <row r="445" spans="1:12" hidden="1" x14ac:dyDescent="0.3">
      <c r="A445" t="s">
        <v>1466</v>
      </c>
      <c r="B445" t="s">
        <v>193</v>
      </c>
      <c r="C445" t="s">
        <v>193</v>
      </c>
      <c r="D445" t="s">
        <v>1467</v>
      </c>
      <c r="E445" t="s">
        <v>1468</v>
      </c>
      <c r="F445">
        <v>0</v>
      </c>
      <c r="G445">
        <v>443</v>
      </c>
      <c r="H445">
        <f>IF(Table1[[#This Row],[my_ent_1]]=Table1[[#This Row],[their_ent_1]], 1, 0)</f>
        <v>1</v>
      </c>
      <c r="I445">
        <f>IF(Table1[[#This Row],[my_ent_2]]=Table1[[#This Row],[their_ent_2]], 1, 0)</f>
        <v>0</v>
      </c>
      <c r="J445">
        <f>IF(Table1[[#This Row],[same_1]]=1 &amp; Table1[[#This Row],[same_2]]=1, 1, 0)</f>
        <v>0</v>
      </c>
      <c r="K445">
        <f>IF(ISNUMBER(SEARCH(Table1[[#This Row],[their_ent_1]],Table1[[#This Row],[my_ent_1]])), 1, 0)</f>
        <v>1</v>
      </c>
      <c r="L445">
        <f>IF(ISNUMBER(SEARCH(Table1[[#This Row],[their_ent_2]],Table1[[#This Row],[my_ent_2]])), 1, 0)</f>
        <v>0</v>
      </c>
    </row>
    <row r="446" spans="1:12" hidden="1" x14ac:dyDescent="0.3">
      <c r="A446" t="s">
        <v>1469</v>
      </c>
      <c r="B446" t="s">
        <v>1062</v>
      </c>
      <c r="C446" t="s">
        <v>1062</v>
      </c>
      <c r="D446" t="s">
        <v>1470</v>
      </c>
      <c r="E446" t="s">
        <v>1471</v>
      </c>
      <c r="F446">
        <v>0</v>
      </c>
      <c r="G446">
        <v>444</v>
      </c>
      <c r="H446">
        <f>IF(Table1[[#This Row],[my_ent_1]]=Table1[[#This Row],[their_ent_1]], 1, 0)</f>
        <v>1</v>
      </c>
      <c r="I446">
        <f>IF(Table1[[#This Row],[my_ent_2]]=Table1[[#This Row],[their_ent_2]], 1, 0)</f>
        <v>0</v>
      </c>
      <c r="J446">
        <f>IF(Table1[[#This Row],[same_1]]=1 &amp; Table1[[#This Row],[same_2]]=1, 1, 0)</f>
        <v>0</v>
      </c>
      <c r="K446">
        <f>IF(ISNUMBER(SEARCH(Table1[[#This Row],[their_ent_1]],Table1[[#This Row],[my_ent_1]])), 1, 0)</f>
        <v>1</v>
      </c>
      <c r="L446">
        <f>IF(ISNUMBER(SEARCH(Table1[[#This Row],[their_ent_2]],Table1[[#This Row],[my_ent_2]])), 1, 0)</f>
        <v>0</v>
      </c>
    </row>
    <row r="447" spans="1:12" x14ac:dyDescent="0.3">
      <c r="A447" t="s">
        <v>1472</v>
      </c>
      <c r="B447" t="s">
        <v>208</v>
      </c>
      <c r="C447" t="s">
        <v>254</v>
      </c>
      <c r="D447" t="s">
        <v>294</v>
      </c>
      <c r="E447" t="s">
        <v>294</v>
      </c>
      <c r="F447">
        <v>0</v>
      </c>
      <c r="G447">
        <v>445</v>
      </c>
      <c r="H447">
        <f>IF(Table1[[#This Row],[my_ent_1]]=Table1[[#This Row],[their_ent_1]], 1, 0)</f>
        <v>0</v>
      </c>
      <c r="I447">
        <f>IF(Table1[[#This Row],[my_ent_2]]=Table1[[#This Row],[their_ent_2]], 1, 0)</f>
        <v>1</v>
      </c>
      <c r="J447">
        <f>IF(Table1[[#This Row],[same_1]]=1 &amp; Table1[[#This Row],[same_2]]=1, 1, 0)</f>
        <v>0</v>
      </c>
      <c r="K447">
        <f>IF(ISNUMBER(SEARCH(Table1[[#This Row],[their_ent_1]],Table1[[#This Row],[my_ent_1]])), 1, 0)</f>
        <v>1</v>
      </c>
      <c r="L447">
        <f>IF(ISNUMBER(SEARCH(Table1[[#This Row],[their_ent_2]],Table1[[#This Row],[my_ent_2]])), 1, 0)</f>
        <v>1</v>
      </c>
    </row>
    <row r="448" spans="1:12" hidden="1" x14ac:dyDescent="0.3">
      <c r="A448" t="s">
        <v>1473</v>
      </c>
      <c r="B448" t="s">
        <v>94</v>
      </c>
      <c r="C448" t="s">
        <v>196</v>
      </c>
      <c r="D448" t="s">
        <v>267</v>
      </c>
      <c r="E448" t="s">
        <v>94</v>
      </c>
      <c r="F448">
        <v>0</v>
      </c>
      <c r="G448">
        <v>446</v>
      </c>
      <c r="H448">
        <f>IF(Table1[[#This Row],[my_ent_1]]=Table1[[#This Row],[their_ent_1]], 1, 0)</f>
        <v>0</v>
      </c>
      <c r="I448">
        <f>IF(Table1[[#This Row],[my_ent_2]]=Table1[[#This Row],[their_ent_2]], 1, 0)</f>
        <v>0</v>
      </c>
      <c r="J448">
        <f>IF(Table1[[#This Row],[same_1]]=1 &amp; Table1[[#This Row],[same_2]]=1, 1, 0)</f>
        <v>0</v>
      </c>
      <c r="K448">
        <f>IF(ISNUMBER(SEARCH(Table1[[#This Row],[their_ent_1]],Table1[[#This Row],[my_ent_1]])), 1, 0)</f>
        <v>0</v>
      </c>
      <c r="L448">
        <f>IF(ISNUMBER(SEARCH(Table1[[#This Row],[their_ent_2]],Table1[[#This Row],[my_ent_2]])), 1, 0)</f>
        <v>0</v>
      </c>
    </row>
    <row r="449" spans="1:12" hidden="1" x14ac:dyDescent="0.3">
      <c r="A449" t="s">
        <v>1474</v>
      </c>
      <c r="B449" t="s">
        <v>1475</v>
      </c>
      <c r="C449" t="s">
        <v>1476</v>
      </c>
      <c r="D449" t="s">
        <v>1477</v>
      </c>
      <c r="E449" t="s">
        <v>1477</v>
      </c>
      <c r="F449">
        <v>0</v>
      </c>
      <c r="G449">
        <v>447</v>
      </c>
      <c r="H449">
        <f>IF(Table1[[#This Row],[my_ent_1]]=Table1[[#This Row],[their_ent_1]], 1, 0)</f>
        <v>0</v>
      </c>
      <c r="I449">
        <f>IF(Table1[[#This Row],[my_ent_2]]=Table1[[#This Row],[their_ent_2]], 1, 0)</f>
        <v>1</v>
      </c>
      <c r="J449">
        <f>IF(Table1[[#This Row],[same_1]]=1 &amp; Table1[[#This Row],[same_2]]=1, 1, 0)</f>
        <v>0</v>
      </c>
      <c r="K449">
        <f>IF(ISNUMBER(SEARCH(Table1[[#This Row],[their_ent_1]],Table1[[#This Row],[my_ent_1]])), 1, 0)</f>
        <v>0</v>
      </c>
      <c r="L449">
        <f>IF(ISNUMBER(SEARCH(Table1[[#This Row],[their_ent_2]],Table1[[#This Row],[my_ent_2]])), 1, 0)</f>
        <v>1</v>
      </c>
    </row>
    <row r="450" spans="1:12" hidden="1" x14ac:dyDescent="0.3">
      <c r="A450" t="s">
        <v>1478</v>
      </c>
      <c r="B450" t="s">
        <v>1016</v>
      </c>
      <c r="C450" t="s">
        <v>754</v>
      </c>
      <c r="D450" t="s">
        <v>1479</v>
      </c>
      <c r="E450" t="s">
        <v>29</v>
      </c>
      <c r="F450">
        <v>0</v>
      </c>
      <c r="G450">
        <v>448</v>
      </c>
      <c r="H450">
        <f>IF(Table1[[#This Row],[my_ent_1]]=Table1[[#This Row],[their_ent_1]], 1, 0)</f>
        <v>0</v>
      </c>
      <c r="I450">
        <f>IF(Table1[[#This Row],[my_ent_2]]=Table1[[#This Row],[their_ent_2]], 1, 0)</f>
        <v>0</v>
      </c>
      <c r="J450">
        <f>IF(Table1[[#This Row],[same_1]]=1 &amp; Table1[[#This Row],[same_2]]=1, 1, 0)</f>
        <v>0</v>
      </c>
      <c r="K450">
        <f>IF(ISNUMBER(SEARCH(Table1[[#This Row],[their_ent_1]],Table1[[#This Row],[my_ent_1]])), 1, 0)</f>
        <v>0</v>
      </c>
      <c r="L450">
        <f>IF(ISNUMBER(SEARCH(Table1[[#This Row],[their_ent_2]],Table1[[#This Row],[my_ent_2]])), 1, 0)</f>
        <v>0</v>
      </c>
    </row>
    <row r="451" spans="1:12" hidden="1" x14ac:dyDescent="0.3">
      <c r="A451" t="s">
        <v>1480</v>
      </c>
      <c r="B451" t="s">
        <v>1481</v>
      </c>
      <c r="C451" t="s">
        <v>1481</v>
      </c>
      <c r="D451" t="s">
        <v>54</v>
      </c>
      <c r="E451" t="s">
        <v>1482</v>
      </c>
      <c r="F451">
        <v>0</v>
      </c>
      <c r="G451">
        <v>449</v>
      </c>
      <c r="H451">
        <f>IF(Table1[[#This Row],[my_ent_1]]=Table1[[#This Row],[their_ent_1]], 1, 0)</f>
        <v>1</v>
      </c>
      <c r="I451">
        <f>IF(Table1[[#This Row],[my_ent_2]]=Table1[[#This Row],[their_ent_2]], 1, 0)</f>
        <v>0</v>
      </c>
      <c r="J451">
        <f>IF(Table1[[#This Row],[same_1]]=1 &amp; Table1[[#This Row],[same_2]]=1, 1, 0)</f>
        <v>0</v>
      </c>
      <c r="K451">
        <f>IF(ISNUMBER(SEARCH(Table1[[#This Row],[their_ent_1]],Table1[[#This Row],[my_ent_1]])), 1, 0)</f>
        <v>1</v>
      </c>
      <c r="L451">
        <f>IF(ISNUMBER(SEARCH(Table1[[#This Row],[their_ent_2]],Table1[[#This Row],[my_ent_2]])), 1, 0)</f>
        <v>0</v>
      </c>
    </row>
    <row r="452" spans="1:12" hidden="1" x14ac:dyDescent="0.3">
      <c r="A452" t="s">
        <v>1483</v>
      </c>
      <c r="B452" t="s">
        <v>1484</v>
      </c>
      <c r="C452" t="s">
        <v>1484</v>
      </c>
      <c r="D452" t="s">
        <v>65</v>
      </c>
      <c r="E452" t="s">
        <v>80</v>
      </c>
      <c r="F452">
        <v>0</v>
      </c>
      <c r="G452">
        <v>450</v>
      </c>
      <c r="H452">
        <f>IF(Table1[[#This Row],[my_ent_1]]=Table1[[#This Row],[their_ent_1]], 1, 0)</f>
        <v>1</v>
      </c>
      <c r="I452">
        <f>IF(Table1[[#This Row],[my_ent_2]]=Table1[[#This Row],[their_ent_2]], 1, 0)</f>
        <v>0</v>
      </c>
      <c r="J452">
        <f>IF(Table1[[#This Row],[same_1]]=1 &amp; Table1[[#This Row],[same_2]]=1, 1, 0)</f>
        <v>0</v>
      </c>
      <c r="K452">
        <f>IF(ISNUMBER(SEARCH(Table1[[#This Row],[their_ent_1]],Table1[[#This Row],[my_ent_1]])), 1, 0)</f>
        <v>1</v>
      </c>
      <c r="L452">
        <f>IF(ISNUMBER(SEARCH(Table1[[#This Row],[their_ent_2]],Table1[[#This Row],[my_ent_2]])), 1, 0)</f>
        <v>0</v>
      </c>
    </row>
    <row r="453" spans="1:12" hidden="1" x14ac:dyDescent="0.3">
      <c r="A453" t="s">
        <v>1485</v>
      </c>
      <c r="B453" t="s">
        <v>1486</v>
      </c>
      <c r="C453" t="s">
        <v>1487</v>
      </c>
      <c r="D453" t="s">
        <v>1488</v>
      </c>
      <c r="E453" t="s">
        <v>1489</v>
      </c>
      <c r="F453">
        <v>0</v>
      </c>
      <c r="G453">
        <v>451</v>
      </c>
      <c r="H453">
        <f>IF(Table1[[#This Row],[my_ent_1]]=Table1[[#This Row],[their_ent_1]], 1, 0)</f>
        <v>0</v>
      </c>
      <c r="I453">
        <f>IF(Table1[[#This Row],[my_ent_2]]=Table1[[#This Row],[their_ent_2]], 1, 0)</f>
        <v>0</v>
      </c>
      <c r="J453">
        <f>IF(Table1[[#This Row],[same_1]]=1 &amp; Table1[[#This Row],[same_2]]=1, 1, 0)</f>
        <v>0</v>
      </c>
      <c r="K453">
        <f>IF(ISNUMBER(SEARCH(Table1[[#This Row],[their_ent_1]],Table1[[#This Row],[my_ent_1]])), 1, 0)</f>
        <v>0</v>
      </c>
      <c r="L453">
        <f>IF(ISNUMBER(SEARCH(Table1[[#This Row],[their_ent_2]],Table1[[#This Row],[my_ent_2]])), 1, 0)</f>
        <v>0</v>
      </c>
    </row>
    <row r="454" spans="1:12" hidden="1" x14ac:dyDescent="0.3">
      <c r="A454" t="s">
        <v>1490</v>
      </c>
      <c r="B454" t="s">
        <v>1491</v>
      </c>
      <c r="C454" t="s">
        <v>1492</v>
      </c>
      <c r="D454" t="s">
        <v>1492</v>
      </c>
      <c r="E454" t="s">
        <v>1493</v>
      </c>
      <c r="F454">
        <v>0</v>
      </c>
      <c r="G454">
        <v>452</v>
      </c>
      <c r="H454">
        <f>IF(Table1[[#This Row],[my_ent_1]]=Table1[[#This Row],[their_ent_1]], 1, 0)</f>
        <v>0</v>
      </c>
      <c r="I454">
        <f>IF(Table1[[#This Row],[my_ent_2]]=Table1[[#This Row],[their_ent_2]], 1, 0)</f>
        <v>0</v>
      </c>
      <c r="J454">
        <f>IF(Table1[[#This Row],[same_1]]=1 &amp; Table1[[#This Row],[same_2]]=1, 1, 0)</f>
        <v>0</v>
      </c>
      <c r="K454">
        <f>IF(ISNUMBER(SEARCH(Table1[[#This Row],[their_ent_1]],Table1[[#This Row],[my_ent_1]])), 1, 0)</f>
        <v>0</v>
      </c>
      <c r="L454">
        <f>IF(ISNUMBER(SEARCH(Table1[[#This Row],[their_ent_2]],Table1[[#This Row],[my_ent_2]])), 1, 0)</f>
        <v>0</v>
      </c>
    </row>
    <row r="455" spans="1:12" hidden="1" x14ac:dyDescent="0.3">
      <c r="A455" t="s">
        <v>1494</v>
      </c>
      <c r="B455" t="s">
        <v>458</v>
      </c>
      <c r="C455" t="s">
        <v>58</v>
      </c>
      <c r="D455" t="s">
        <v>58</v>
      </c>
      <c r="E455" t="s">
        <v>328</v>
      </c>
      <c r="F455">
        <v>0</v>
      </c>
      <c r="G455">
        <v>453</v>
      </c>
      <c r="H455">
        <f>IF(Table1[[#This Row],[my_ent_1]]=Table1[[#This Row],[their_ent_1]], 1, 0)</f>
        <v>0</v>
      </c>
      <c r="I455">
        <f>IF(Table1[[#This Row],[my_ent_2]]=Table1[[#This Row],[their_ent_2]], 1, 0)</f>
        <v>0</v>
      </c>
      <c r="J455">
        <f>IF(Table1[[#This Row],[same_1]]=1 &amp; Table1[[#This Row],[same_2]]=1, 1, 0)</f>
        <v>0</v>
      </c>
      <c r="K455">
        <f>IF(ISNUMBER(SEARCH(Table1[[#This Row],[their_ent_1]],Table1[[#This Row],[my_ent_1]])), 1, 0)</f>
        <v>0</v>
      </c>
      <c r="L455">
        <f>IF(ISNUMBER(SEARCH(Table1[[#This Row],[their_ent_2]],Table1[[#This Row],[my_ent_2]])), 1, 0)</f>
        <v>0</v>
      </c>
    </row>
    <row r="456" spans="1:12" hidden="1" x14ac:dyDescent="0.3">
      <c r="A456" t="s">
        <v>1495</v>
      </c>
      <c r="B456" t="s">
        <v>1496</v>
      </c>
      <c r="C456" t="s">
        <v>1497</v>
      </c>
      <c r="D456" t="s">
        <v>263</v>
      </c>
      <c r="E456" t="s">
        <v>1498</v>
      </c>
      <c r="F456">
        <v>0</v>
      </c>
      <c r="G456">
        <v>454</v>
      </c>
      <c r="H456">
        <f>IF(Table1[[#This Row],[my_ent_1]]=Table1[[#This Row],[their_ent_1]], 1, 0)</f>
        <v>0</v>
      </c>
      <c r="I456">
        <f>IF(Table1[[#This Row],[my_ent_2]]=Table1[[#This Row],[their_ent_2]], 1, 0)</f>
        <v>0</v>
      </c>
      <c r="J456">
        <f>IF(Table1[[#This Row],[same_1]]=1 &amp; Table1[[#This Row],[same_2]]=1, 1, 0)</f>
        <v>0</v>
      </c>
      <c r="K456">
        <f>IF(ISNUMBER(SEARCH(Table1[[#This Row],[their_ent_1]],Table1[[#This Row],[my_ent_1]])), 1, 0)</f>
        <v>0</v>
      </c>
      <c r="L456">
        <f>IF(ISNUMBER(SEARCH(Table1[[#This Row],[their_ent_2]],Table1[[#This Row],[my_ent_2]])), 1, 0)</f>
        <v>0</v>
      </c>
    </row>
    <row r="457" spans="1:12" hidden="1" x14ac:dyDescent="0.3">
      <c r="A457" t="s">
        <v>1499</v>
      </c>
      <c r="B457" t="s">
        <v>1500</v>
      </c>
      <c r="C457" t="s">
        <v>1500</v>
      </c>
      <c r="D457" t="s">
        <v>15</v>
      </c>
      <c r="E457" t="s">
        <v>293</v>
      </c>
      <c r="F457">
        <v>0</v>
      </c>
      <c r="G457">
        <v>455</v>
      </c>
      <c r="H457">
        <f>IF(Table1[[#This Row],[my_ent_1]]=Table1[[#This Row],[their_ent_1]], 1, 0)</f>
        <v>1</v>
      </c>
      <c r="I457">
        <f>IF(Table1[[#This Row],[my_ent_2]]=Table1[[#This Row],[their_ent_2]], 1, 0)</f>
        <v>0</v>
      </c>
      <c r="J457">
        <f>IF(Table1[[#This Row],[same_1]]=1 &amp; Table1[[#This Row],[same_2]]=1, 1, 0)</f>
        <v>0</v>
      </c>
      <c r="K457">
        <f>IF(ISNUMBER(SEARCH(Table1[[#This Row],[their_ent_1]],Table1[[#This Row],[my_ent_1]])), 1, 0)</f>
        <v>1</v>
      </c>
      <c r="L457">
        <f>IF(ISNUMBER(SEARCH(Table1[[#This Row],[their_ent_2]],Table1[[#This Row],[my_ent_2]])), 1, 0)</f>
        <v>0</v>
      </c>
    </row>
    <row r="458" spans="1:12" hidden="1" x14ac:dyDescent="0.3">
      <c r="A458" t="s">
        <v>1501</v>
      </c>
      <c r="B458" t="s">
        <v>1502</v>
      </c>
      <c r="C458" t="s">
        <v>1503</v>
      </c>
      <c r="D458" t="s">
        <v>1504</v>
      </c>
      <c r="E458" t="s">
        <v>1504</v>
      </c>
      <c r="F458">
        <v>0</v>
      </c>
      <c r="G458">
        <v>456</v>
      </c>
      <c r="H458">
        <f>IF(Table1[[#This Row],[my_ent_1]]=Table1[[#This Row],[their_ent_1]], 1, 0)</f>
        <v>0</v>
      </c>
      <c r="I458">
        <f>IF(Table1[[#This Row],[my_ent_2]]=Table1[[#This Row],[their_ent_2]], 1, 0)</f>
        <v>1</v>
      </c>
      <c r="J458">
        <f>IF(Table1[[#This Row],[same_1]]=1 &amp; Table1[[#This Row],[same_2]]=1, 1, 0)</f>
        <v>0</v>
      </c>
      <c r="K458">
        <f>IF(ISNUMBER(SEARCH(Table1[[#This Row],[their_ent_1]],Table1[[#This Row],[my_ent_1]])), 1, 0)</f>
        <v>0</v>
      </c>
      <c r="L458">
        <f>IF(ISNUMBER(SEARCH(Table1[[#This Row],[their_ent_2]],Table1[[#This Row],[my_ent_2]])), 1, 0)</f>
        <v>1</v>
      </c>
    </row>
    <row r="459" spans="1:12" hidden="1" x14ac:dyDescent="0.3">
      <c r="A459" t="s">
        <v>1505</v>
      </c>
      <c r="B459" t="s">
        <v>1305</v>
      </c>
      <c r="C459" t="s">
        <v>1506</v>
      </c>
      <c r="D459" t="s">
        <v>1507</v>
      </c>
      <c r="E459" t="s">
        <v>1508</v>
      </c>
      <c r="F459">
        <v>0</v>
      </c>
      <c r="G459">
        <v>457</v>
      </c>
      <c r="H459">
        <f>IF(Table1[[#This Row],[my_ent_1]]=Table1[[#This Row],[their_ent_1]], 1, 0)</f>
        <v>0</v>
      </c>
      <c r="I459">
        <f>IF(Table1[[#This Row],[my_ent_2]]=Table1[[#This Row],[their_ent_2]], 1, 0)</f>
        <v>0</v>
      </c>
      <c r="J459">
        <f>IF(Table1[[#This Row],[same_1]]=1 &amp; Table1[[#This Row],[same_2]]=1, 1, 0)</f>
        <v>0</v>
      </c>
      <c r="K459">
        <f>IF(ISNUMBER(SEARCH(Table1[[#This Row],[their_ent_1]],Table1[[#This Row],[my_ent_1]])), 1, 0)</f>
        <v>0</v>
      </c>
      <c r="L459">
        <f>IF(ISNUMBER(SEARCH(Table1[[#This Row],[their_ent_2]],Table1[[#This Row],[my_ent_2]])), 1, 0)</f>
        <v>0</v>
      </c>
    </row>
    <row r="460" spans="1:12" hidden="1" x14ac:dyDescent="0.3">
      <c r="A460" t="s">
        <v>1509</v>
      </c>
      <c r="B460" t="s">
        <v>1510</v>
      </c>
      <c r="C460" t="s">
        <v>1511</v>
      </c>
      <c r="D460" t="s">
        <v>103</v>
      </c>
      <c r="E460" t="s">
        <v>1512</v>
      </c>
      <c r="F460">
        <v>0</v>
      </c>
      <c r="G460">
        <v>458</v>
      </c>
      <c r="H460">
        <f>IF(Table1[[#This Row],[my_ent_1]]=Table1[[#This Row],[their_ent_1]], 1, 0)</f>
        <v>0</v>
      </c>
      <c r="I460">
        <f>IF(Table1[[#This Row],[my_ent_2]]=Table1[[#This Row],[their_ent_2]], 1, 0)</f>
        <v>0</v>
      </c>
      <c r="J460">
        <f>IF(Table1[[#This Row],[same_1]]=1 &amp; Table1[[#This Row],[same_2]]=1, 1, 0)</f>
        <v>0</v>
      </c>
      <c r="K460">
        <f>IF(ISNUMBER(SEARCH(Table1[[#This Row],[their_ent_1]],Table1[[#This Row],[my_ent_1]])), 1, 0)</f>
        <v>0</v>
      </c>
      <c r="L460">
        <f>IF(ISNUMBER(SEARCH(Table1[[#This Row],[their_ent_2]],Table1[[#This Row],[my_ent_2]])), 1, 0)</f>
        <v>0</v>
      </c>
    </row>
    <row r="461" spans="1:12" hidden="1" x14ac:dyDescent="0.3">
      <c r="A461" t="s">
        <v>1513</v>
      </c>
      <c r="B461" t="s">
        <v>1514</v>
      </c>
      <c r="C461" t="s">
        <v>1514</v>
      </c>
      <c r="D461" t="s">
        <v>1515</v>
      </c>
      <c r="E461" t="s">
        <v>1516</v>
      </c>
      <c r="F461">
        <v>0</v>
      </c>
      <c r="G461">
        <v>459</v>
      </c>
      <c r="H461">
        <f>IF(Table1[[#This Row],[my_ent_1]]=Table1[[#This Row],[their_ent_1]], 1, 0)</f>
        <v>1</v>
      </c>
      <c r="I461">
        <f>IF(Table1[[#This Row],[my_ent_2]]=Table1[[#This Row],[their_ent_2]], 1, 0)</f>
        <v>0</v>
      </c>
      <c r="J461">
        <f>IF(Table1[[#This Row],[same_1]]=1 &amp; Table1[[#This Row],[same_2]]=1, 1, 0)</f>
        <v>0</v>
      </c>
      <c r="K461">
        <f>IF(ISNUMBER(SEARCH(Table1[[#This Row],[their_ent_1]],Table1[[#This Row],[my_ent_1]])), 1, 0)</f>
        <v>1</v>
      </c>
      <c r="L461">
        <f>IF(ISNUMBER(SEARCH(Table1[[#This Row],[their_ent_2]],Table1[[#This Row],[my_ent_2]])), 1, 0)</f>
        <v>0</v>
      </c>
    </row>
    <row r="462" spans="1:12" hidden="1" x14ac:dyDescent="0.3">
      <c r="A462" t="s">
        <v>1517</v>
      </c>
      <c r="B462" t="s">
        <v>1518</v>
      </c>
      <c r="C462" t="s">
        <v>1519</v>
      </c>
      <c r="D462" t="s">
        <v>1518</v>
      </c>
      <c r="E462" t="s">
        <v>1520</v>
      </c>
      <c r="F462">
        <v>0</v>
      </c>
      <c r="G462">
        <v>460</v>
      </c>
      <c r="H462">
        <f>IF(Table1[[#This Row],[my_ent_1]]=Table1[[#This Row],[their_ent_1]], 1, 0)</f>
        <v>0</v>
      </c>
      <c r="I462">
        <f>IF(Table1[[#This Row],[my_ent_2]]=Table1[[#This Row],[their_ent_2]], 1, 0)</f>
        <v>0</v>
      </c>
      <c r="J462">
        <f>IF(Table1[[#This Row],[same_1]]=1 &amp; Table1[[#This Row],[same_2]]=1, 1, 0)</f>
        <v>0</v>
      </c>
      <c r="K462">
        <f>IF(ISNUMBER(SEARCH(Table1[[#This Row],[their_ent_1]],Table1[[#This Row],[my_ent_1]])), 1, 0)</f>
        <v>0</v>
      </c>
      <c r="L462">
        <f>IF(ISNUMBER(SEARCH(Table1[[#This Row],[their_ent_2]],Table1[[#This Row],[my_ent_2]])), 1, 0)</f>
        <v>0</v>
      </c>
    </row>
    <row r="463" spans="1:12" hidden="1" x14ac:dyDescent="0.3">
      <c r="A463" t="s">
        <v>1521</v>
      </c>
      <c r="B463" t="s">
        <v>1522</v>
      </c>
      <c r="C463" t="s">
        <v>1523</v>
      </c>
      <c r="D463" t="s">
        <v>7</v>
      </c>
      <c r="E463" t="s">
        <v>1522</v>
      </c>
      <c r="F463">
        <v>0</v>
      </c>
      <c r="G463">
        <v>461</v>
      </c>
      <c r="H463">
        <f>IF(Table1[[#This Row],[my_ent_1]]=Table1[[#This Row],[their_ent_1]], 1, 0)</f>
        <v>0</v>
      </c>
      <c r="I463">
        <f>IF(Table1[[#This Row],[my_ent_2]]=Table1[[#This Row],[their_ent_2]], 1, 0)</f>
        <v>0</v>
      </c>
      <c r="J463">
        <f>IF(Table1[[#This Row],[same_1]]=1 &amp; Table1[[#This Row],[same_2]]=1, 1, 0)</f>
        <v>0</v>
      </c>
      <c r="K463">
        <f>IF(ISNUMBER(SEARCH(Table1[[#This Row],[their_ent_1]],Table1[[#This Row],[my_ent_1]])), 1, 0)</f>
        <v>0</v>
      </c>
      <c r="L463">
        <f>IF(ISNUMBER(SEARCH(Table1[[#This Row],[their_ent_2]],Table1[[#This Row],[my_ent_2]])), 1, 0)</f>
        <v>0</v>
      </c>
    </row>
    <row r="464" spans="1:12" hidden="1" x14ac:dyDescent="0.3">
      <c r="A464" t="s">
        <v>1524</v>
      </c>
      <c r="B464" t="s">
        <v>812</v>
      </c>
      <c r="C464" t="s">
        <v>1525</v>
      </c>
      <c r="D464" t="s">
        <v>1115</v>
      </c>
      <c r="E464" t="s">
        <v>812</v>
      </c>
      <c r="F464">
        <v>0</v>
      </c>
      <c r="G464">
        <v>462</v>
      </c>
      <c r="H464">
        <f>IF(Table1[[#This Row],[my_ent_1]]=Table1[[#This Row],[their_ent_1]], 1, 0)</f>
        <v>0</v>
      </c>
      <c r="I464">
        <f>IF(Table1[[#This Row],[my_ent_2]]=Table1[[#This Row],[their_ent_2]], 1, 0)</f>
        <v>0</v>
      </c>
      <c r="J464">
        <f>IF(Table1[[#This Row],[same_1]]=1 &amp; Table1[[#This Row],[same_2]]=1, 1, 0)</f>
        <v>0</v>
      </c>
      <c r="K464">
        <f>IF(ISNUMBER(SEARCH(Table1[[#This Row],[their_ent_1]],Table1[[#This Row],[my_ent_1]])), 1, 0)</f>
        <v>0</v>
      </c>
      <c r="L464">
        <f>IF(ISNUMBER(SEARCH(Table1[[#This Row],[their_ent_2]],Table1[[#This Row],[my_ent_2]])), 1, 0)</f>
        <v>0</v>
      </c>
    </row>
    <row r="465" spans="1:12" hidden="1" x14ac:dyDescent="0.3">
      <c r="A465" t="s">
        <v>1526</v>
      </c>
      <c r="B465" t="s">
        <v>1527</v>
      </c>
      <c r="C465" t="s">
        <v>1528</v>
      </c>
      <c r="D465" t="s">
        <v>1528</v>
      </c>
      <c r="E465" t="s">
        <v>1529</v>
      </c>
      <c r="F465">
        <v>0</v>
      </c>
      <c r="G465">
        <v>463</v>
      </c>
      <c r="H465">
        <f>IF(Table1[[#This Row],[my_ent_1]]=Table1[[#This Row],[their_ent_1]], 1, 0)</f>
        <v>0</v>
      </c>
      <c r="I465">
        <f>IF(Table1[[#This Row],[my_ent_2]]=Table1[[#This Row],[their_ent_2]], 1, 0)</f>
        <v>0</v>
      </c>
      <c r="J465">
        <f>IF(Table1[[#This Row],[same_1]]=1 &amp; Table1[[#This Row],[same_2]]=1, 1, 0)</f>
        <v>0</v>
      </c>
      <c r="K465">
        <f>IF(ISNUMBER(SEARCH(Table1[[#This Row],[their_ent_1]],Table1[[#This Row],[my_ent_1]])), 1, 0)</f>
        <v>0</v>
      </c>
      <c r="L465">
        <f>IF(ISNUMBER(SEARCH(Table1[[#This Row],[their_ent_2]],Table1[[#This Row],[my_ent_2]])), 1, 0)</f>
        <v>0</v>
      </c>
    </row>
    <row r="466" spans="1:12" x14ac:dyDescent="0.3">
      <c r="A466" t="s">
        <v>1530</v>
      </c>
      <c r="B466" t="s">
        <v>467</v>
      </c>
      <c r="C466" t="s">
        <v>94</v>
      </c>
      <c r="D466" t="s">
        <v>543</v>
      </c>
      <c r="E466" t="s">
        <v>543</v>
      </c>
      <c r="F466">
        <v>0</v>
      </c>
      <c r="G466">
        <v>464</v>
      </c>
      <c r="H466">
        <f>IF(Table1[[#This Row],[my_ent_1]]=Table1[[#This Row],[their_ent_1]], 1, 0)</f>
        <v>0</v>
      </c>
      <c r="I466">
        <f>IF(Table1[[#This Row],[my_ent_2]]=Table1[[#This Row],[their_ent_2]], 1, 0)</f>
        <v>1</v>
      </c>
      <c r="J466">
        <f>IF(Table1[[#This Row],[same_1]]=1 &amp; Table1[[#This Row],[same_2]]=1, 1, 0)</f>
        <v>0</v>
      </c>
      <c r="K466">
        <f>IF(ISNUMBER(SEARCH(Table1[[#This Row],[their_ent_1]],Table1[[#This Row],[my_ent_1]])), 1, 0)</f>
        <v>1</v>
      </c>
      <c r="L466">
        <f>IF(ISNUMBER(SEARCH(Table1[[#This Row],[their_ent_2]],Table1[[#This Row],[my_ent_2]])), 1, 0)</f>
        <v>1</v>
      </c>
    </row>
    <row r="467" spans="1:12" hidden="1" x14ac:dyDescent="0.3">
      <c r="A467" t="s">
        <v>1531</v>
      </c>
      <c r="B467" t="s">
        <v>1532</v>
      </c>
      <c r="C467" t="s">
        <v>1532</v>
      </c>
      <c r="D467" t="s">
        <v>1533</v>
      </c>
      <c r="E467" t="s">
        <v>1534</v>
      </c>
      <c r="F467">
        <v>0</v>
      </c>
      <c r="G467">
        <v>465</v>
      </c>
      <c r="H467">
        <f>IF(Table1[[#This Row],[my_ent_1]]=Table1[[#This Row],[their_ent_1]], 1, 0)</f>
        <v>1</v>
      </c>
      <c r="I467">
        <f>IF(Table1[[#This Row],[my_ent_2]]=Table1[[#This Row],[their_ent_2]], 1, 0)</f>
        <v>0</v>
      </c>
      <c r="J467">
        <f>IF(Table1[[#This Row],[same_1]]=1 &amp; Table1[[#This Row],[same_2]]=1, 1, 0)</f>
        <v>0</v>
      </c>
      <c r="K467">
        <f>IF(ISNUMBER(SEARCH(Table1[[#This Row],[their_ent_1]],Table1[[#This Row],[my_ent_1]])), 1, 0)</f>
        <v>1</v>
      </c>
      <c r="L467">
        <f>IF(ISNUMBER(SEARCH(Table1[[#This Row],[their_ent_2]],Table1[[#This Row],[my_ent_2]])), 1, 0)</f>
        <v>0</v>
      </c>
    </row>
    <row r="468" spans="1:12" hidden="1" x14ac:dyDescent="0.3">
      <c r="A468" t="s">
        <v>1535</v>
      </c>
      <c r="B468" t="s">
        <v>1536</v>
      </c>
      <c r="C468" t="s">
        <v>1537</v>
      </c>
      <c r="D468" t="s">
        <v>886</v>
      </c>
      <c r="E468" t="s">
        <v>886</v>
      </c>
      <c r="F468">
        <v>0</v>
      </c>
      <c r="G468">
        <v>466</v>
      </c>
      <c r="H468">
        <f>IF(Table1[[#This Row],[my_ent_1]]=Table1[[#This Row],[their_ent_1]], 1, 0)</f>
        <v>0</v>
      </c>
      <c r="I468">
        <f>IF(Table1[[#This Row],[my_ent_2]]=Table1[[#This Row],[their_ent_2]], 1, 0)</f>
        <v>1</v>
      </c>
      <c r="J468">
        <f>IF(Table1[[#This Row],[same_1]]=1 &amp; Table1[[#This Row],[same_2]]=1, 1, 0)</f>
        <v>0</v>
      </c>
      <c r="K468">
        <f>IF(ISNUMBER(SEARCH(Table1[[#This Row],[their_ent_1]],Table1[[#This Row],[my_ent_1]])), 1, 0)</f>
        <v>0</v>
      </c>
      <c r="L468">
        <f>IF(ISNUMBER(SEARCH(Table1[[#This Row],[their_ent_2]],Table1[[#This Row],[my_ent_2]])), 1, 0)</f>
        <v>1</v>
      </c>
    </row>
    <row r="469" spans="1:12" hidden="1" x14ac:dyDescent="0.3">
      <c r="A469" t="s">
        <v>1538</v>
      </c>
      <c r="B469" t="s">
        <v>1539</v>
      </c>
      <c r="C469" t="s">
        <v>1540</v>
      </c>
      <c r="D469" t="s">
        <v>1206</v>
      </c>
      <c r="E469" t="s">
        <v>1541</v>
      </c>
      <c r="F469">
        <v>0</v>
      </c>
      <c r="G469">
        <v>467</v>
      </c>
      <c r="H469">
        <f>IF(Table1[[#This Row],[my_ent_1]]=Table1[[#This Row],[their_ent_1]], 1, 0)</f>
        <v>0</v>
      </c>
      <c r="I469">
        <f>IF(Table1[[#This Row],[my_ent_2]]=Table1[[#This Row],[their_ent_2]], 1, 0)</f>
        <v>0</v>
      </c>
      <c r="J469">
        <f>IF(Table1[[#This Row],[same_1]]=1 &amp; Table1[[#This Row],[same_2]]=1, 1, 0)</f>
        <v>0</v>
      </c>
      <c r="K469">
        <f>IF(ISNUMBER(SEARCH(Table1[[#This Row],[their_ent_1]],Table1[[#This Row],[my_ent_1]])), 1, 0)</f>
        <v>0</v>
      </c>
      <c r="L469">
        <f>IF(ISNUMBER(SEARCH(Table1[[#This Row],[their_ent_2]],Table1[[#This Row],[my_ent_2]])), 1, 0)</f>
        <v>0</v>
      </c>
    </row>
    <row r="470" spans="1:12" hidden="1" x14ac:dyDescent="0.3">
      <c r="A470" t="s">
        <v>1542</v>
      </c>
      <c r="B470" t="s">
        <v>1543</v>
      </c>
      <c r="C470" t="s">
        <v>884</v>
      </c>
      <c r="D470" t="s">
        <v>1544</v>
      </c>
      <c r="E470" t="s">
        <v>1545</v>
      </c>
      <c r="F470">
        <v>0</v>
      </c>
      <c r="G470">
        <v>468</v>
      </c>
      <c r="H470">
        <f>IF(Table1[[#This Row],[my_ent_1]]=Table1[[#This Row],[their_ent_1]], 1, 0)</f>
        <v>0</v>
      </c>
      <c r="I470">
        <f>IF(Table1[[#This Row],[my_ent_2]]=Table1[[#This Row],[their_ent_2]], 1, 0)</f>
        <v>0</v>
      </c>
      <c r="J470">
        <f>IF(Table1[[#This Row],[same_1]]=1 &amp; Table1[[#This Row],[same_2]]=1, 1, 0)</f>
        <v>0</v>
      </c>
      <c r="K470">
        <f>IF(ISNUMBER(SEARCH(Table1[[#This Row],[their_ent_1]],Table1[[#This Row],[my_ent_1]])), 1, 0)</f>
        <v>0</v>
      </c>
      <c r="L470">
        <f>IF(ISNUMBER(SEARCH(Table1[[#This Row],[their_ent_2]],Table1[[#This Row],[my_ent_2]])), 1, 0)</f>
        <v>1</v>
      </c>
    </row>
    <row r="471" spans="1:12" hidden="1" x14ac:dyDescent="0.3">
      <c r="A471" t="s">
        <v>1546</v>
      </c>
      <c r="B471" t="s">
        <v>1547</v>
      </c>
      <c r="C471" t="s">
        <v>1548</v>
      </c>
      <c r="D471" t="s">
        <v>1549</v>
      </c>
      <c r="E471" t="s">
        <v>1550</v>
      </c>
      <c r="F471">
        <v>0</v>
      </c>
      <c r="G471">
        <v>469</v>
      </c>
      <c r="H471">
        <f>IF(Table1[[#This Row],[my_ent_1]]=Table1[[#This Row],[their_ent_1]], 1, 0)</f>
        <v>0</v>
      </c>
      <c r="I471">
        <f>IF(Table1[[#This Row],[my_ent_2]]=Table1[[#This Row],[their_ent_2]], 1, 0)</f>
        <v>0</v>
      </c>
      <c r="J471">
        <f>IF(Table1[[#This Row],[same_1]]=1 &amp; Table1[[#This Row],[same_2]]=1, 1, 0)</f>
        <v>0</v>
      </c>
      <c r="K471">
        <f>IF(ISNUMBER(SEARCH(Table1[[#This Row],[their_ent_1]],Table1[[#This Row],[my_ent_1]])), 1, 0)</f>
        <v>0</v>
      </c>
      <c r="L471">
        <f>IF(ISNUMBER(SEARCH(Table1[[#This Row],[their_ent_2]],Table1[[#This Row],[my_ent_2]])), 1, 0)</f>
        <v>0</v>
      </c>
    </row>
    <row r="472" spans="1:12" hidden="1" x14ac:dyDescent="0.3">
      <c r="A472" t="s">
        <v>1551</v>
      </c>
      <c r="B472" t="s">
        <v>1552</v>
      </c>
      <c r="C472" t="s">
        <v>1553</v>
      </c>
      <c r="D472" t="s">
        <v>1554</v>
      </c>
      <c r="E472" t="s">
        <v>1555</v>
      </c>
      <c r="F472">
        <v>0</v>
      </c>
      <c r="G472">
        <v>470</v>
      </c>
      <c r="H472">
        <f>IF(Table1[[#This Row],[my_ent_1]]=Table1[[#This Row],[their_ent_1]], 1, 0)</f>
        <v>0</v>
      </c>
      <c r="I472">
        <f>IF(Table1[[#This Row],[my_ent_2]]=Table1[[#This Row],[their_ent_2]], 1, 0)</f>
        <v>0</v>
      </c>
      <c r="J472">
        <f>IF(Table1[[#This Row],[same_1]]=1 &amp; Table1[[#This Row],[same_2]]=1, 1, 0)</f>
        <v>0</v>
      </c>
      <c r="K472">
        <f>IF(ISNUMBER(SEARCH(Table1[[#This Row],[their_ent_1]],Table1[[#This Row],[my_ent_1]])), 1, 0)</f>
        <v>0</v>
      </c>
      <c r="L472">
        <f>IF(ISNUMBER(SEARCH(Table1[[#This Row],[their_ent_2]],Table1[[#This Row],[my_ent_2]])), 1, 0)</f>
        <v>0</v>
      </c>
    </row>
    <row r="473" spans="1:12" x14ac:dyDescent="0.3">
      <c r="A473" t="s">
        <v>1556</v>
      </c>
      <c r="B473" t="s">
        <v>1557</v>
      </c>
      <c r="C473" t="s">
        <v>1557</v>
      </c>
      <c r="D473" t="s">
        <v>1558</v>
      </c>
      <c r="E473" t="s">
        <v>416</v>
      </c>
      <c r="F473">
        <v>0</v>
      </c>
      <c r="G473">
        <v>471</v>
      </c>
      <c r="H473">
        <f>IF(Table1[[#This Row],[my_ent_1]]=Table1[[#This Row],[their_ent_1]], 1, 0)</f>
        <v>1</v>
      </c>
      <c r="I473">
        <f>IF(Table1[[#This Row],[my_ent_2]]=Table1[[#This Row],[their_ent_2]], 1, 0)</f>
        <v>0</v>
      </c>
      <c r="J473">
        <f>IF(Table1[[#This Row],[same_1]]=1 &amp; Table1[[#This Row],[same_2]]=1, 1, 0)</f>
        <v>0</v>
      </c>
      <c r="K473">
        <f>IF(ISNUMBER(SEARCH(Table1[[#This Row],[their_ent_1]],Table1[[#This Row],[my_ent_1]])), 1, 0)</f>
        <v>1</v>
      </c>
      <c r="L473">
        <f>IF(ISNUMBER(SEARCH(Table1[[#This Row],[their_ent_2]],Table1[[#This Row],[my_ent_2]])), 1, 0)</f>
        <v>1</v>
      </c>
    </row>
    <row r="474" spans="1:12" hidden="1" x14ac:dyDescent="0.3">
      <c r="A474" t="s">
        <v>1559</v>
      </c>
      <c r="B474" t="s">
        <v>1560</v>
      </c>
      <c r="C474" t="s">
        <v>599</v>
      </c>
      <c r="D474" t="s">
        <v>599</v>
      </c>
      <c r="E474" t="s">
        <v>1561</v>
      </c>
      <c r="F474">
        <v>0</v>
      </c>
      <c r="G474">
        <v>472</v>
      </c>
      <c r="H474">
        <f>IF(Table1[[#This Row],[my_ent_1]]=Table1[[#This Row],[their_ent_1]], 1, 0)</f>
        <v>0</v>
      </c>
      <c r="I474">
        <f>IF(Table1[[#This Row],[my_ent_2]]=Table1[[#This Row],[their_ent_2]], 1, 0)</f>
        <v>0</v>
      </c>
      <c r="J474">
        <f>IF(Table1[[#This Row],[same_1]]=1 &amp; Table1[[#This Row],[same_2]]=1, 1, 0)</f>
        <v>0</v>
      </c>
      <c r="K474">
        <f>IF(ISNUMBER(SEARCH(Table1[[#This Row],[their_ent_1]],Table1[[#This Row],[my_ent_1]])), 1, 0)</f>
        <v>0</v>
      </c>
      <c r="L474">
        <f>IF(ISNUMBER(SEARCH(Table1[[#This Row],[their_ent_2]],Table1[[#This Row],[my_ent_2]])), 1, 0)</f>
        <v>0</v>
      </c>
    </row>
    <row r="475" spans="1:12" hidden="1" x14ac:dyDescent="0.3">
      <c r="A475" t="s">
        <v>1562</v>
      </c>
      <c r="B475" t="s">
        <v>1563</v>
      </c>
      <c r="C475" t="s">
        <v>1563</v>
      </c>
      <c r="D475" t="s">
        <v>1564</v>
      </c>
      <c r="E475" t="s">
        <v>1565</v>
      </c>
      <c r="F475">
        <v>0</v>
      </c>
      <c r="G475">
        <v>473</v>
      </c>
      <c r="H475">
        <f>IF(Table1[[#This Row],[my_ent_1]]=Table1[[#This Row],[their_ent_1]], 1, 0)</f>
        <v>1</v>
      </c>
      <c r="I475">
        <f>IF(Table1[[#This Row],[my_ent_2]]=Table1[[#This Row],[their_ent_2]], 1, 0)</f>
        <v>0</v>
      </c>
      <c r="J475">
        <f>IF(Table1[[#This Row],[same_1]]=1 &amp; Table1[[#This Row],[same_2]]=1, 1, 0)</f>
        <v>0</v>
      </c>
      <c r="K475">
        <f>IF(ISNUMBER(SEARCH(Table1[[#This Row],[their_ent_1]],Table1[[#This Row],[my_ent_1]])), 1, 0)</f>
        <v>1</v>
      </c>
      <c r="L475">
        <f>IF(ISNUMBER(SEARCH(Table1[[#This Row],[their_ent_2]],Table1[[#This Row],[my_ent_2]])), 1, 0)</f>
        <v>0</v>
      </c>
    </row>
    <row r="476" spans="1:12" hidden="1" x14ac:dyDescent="0.3">
      <c r="A476" t="s">
        <v>1566</v>
      </c>
      <c r="B476" t="s">
        <v>1567</v>
      </c>
      <c r="C476" t="s">
        <v>1568</v>
      </c>
      <c r="D476" t="s">
        <v>1569</v>
      </c>
      <c r="E476" t="s">
        <v>382</v>
      </c>
      <c r="F476">
        <v>0</v>
      </c>
      <c r="G476">
        <v>474</v>
      </c>
      <c r="H476">
        <f>IF(Table1[[#This Row],[my_ent_1]]=Table1[[#This Row],[their_ent_1]], 1, 0)</f>
        <v>0</v>
      </c>
      <c r="I476">
        <f>IF(Table1[[#This Row],[my_ent_2]]=Table1[[#This Row],[their_ent_2]], 1, 0)</f>
        <v>0</v>
      </c>
      <c r="J476">
        <f>IF(Table1[[#This Row],[same_1]]=1 &amp; Table1[[#This Row],[same_2]]=1, 1, 0)</f>
        <v>0</v>
      </c>
      <c r="K476">
        <f>IF(ISNUMBER(SEARCH(Table1[[#This Row],[their_ent_1]],Table1[[#This Row],[my_ent_1]])), 1, 0)</f>
        <v>1</v>
      </c>
      <c r="L476">
        <f>IF(ISNUMBER(SEARCH(Table1[[#This Row],[their_ent_2]],Table1[[#This Row],[my_ent_2]])), 1, 0)</f>
        <v>0</v>
      </c>
    </row>
    <row r="477" spans="1:12" x14ac:dyDescent="0.3">
      <c r="A477" t="s">
        <v>1570</v>
      </c>
      <c r="B477" t="s">
        <v>1571</v>
      </c>
      <c r="C477" t="s">
        <v>1571</v>
      </c>
      <c r="D477" t="s">
        <v>622</v>
      </c>
      <c r="E477" t="s">
        <v>148</v>
      </c>
      <c r="F477">
        <v>0</v>
      </c>
      <c r="G477">
        <v>475</v>
      </c>
      <c r="H477">
        <f>IF(Table1[[#This Row],[my_ent_1]]=Table1[[#This Row],[their_ent_1]], 1, 0)</f>
        <v>1</v>
      </c>
      <c r="I477">
        <f>IF(Table1[[#This Row],[my_ent_2]]=Table1[[#This Row],[their_ent_2]], 1, 0)</f>
        <v>0</v>
      </c>
      <c r="J477">
        <f>IF(Table1[[#This Row],[same_1]]=1 &amp; Table1[[#This Row],[same_2]]=1, 1, 0)</f>
        <v>0</v>
      </c>
      <c r="K477">
        <f>IF(ISNUMBER(SEARCH(Table1[[#This Row],[their_ent_1]],Table1[[#This Row],[my_ent_1]])), 1, 0)</f>
        <v>1</v>
      </c>
      <c r="L477">
        <f>IF(ISNUMBER(SEARCH(Table1[[#This Row],[their_ent_2]],Table1[[#This Row],[my_ent_2]])), 1, 0)</f>
        <v>1</v>
      </c>
    </row>
    <row r="478" spans="1:12" hidden="1" x14ac:dyDescent="0.3">
      <c r="A478" t="s">
        <v>1572</v>
      </c>
      <c r="B478" t="s">
        <v>1573</v>
      </c>
      <c r="C478" t="s">
        <v>468</v>
      </c>
      <c r="D478" t="s">
        <v>297</v>
      </c>
      <c r="E478" t="s">
        <v>297</v>
      </c>
      <c r="F478">
        <v>0</v>
      </c>
      <c r="G478">
        <v>476</v>
      </c>
      <c r="H478">
        <f>IF(Table1[[#This Row],[my_ent_1]]=Table1[[#This Row],[their_ent_1]], 1, 0)</f>
        <v>0</v>
      </c>
      <c r="I478">
        <f>IF(Table1[[#This Row],[my_ent_2]]=Table1[[#This Row],[their_ent_2]], 1, 0)</f>
        <v>1</v>
      </c>
      <c r="J478">
        <f>IF(Table1[[#This Row],[same_1]]=1 &amp; Table1[[#This Row],[same_2]]=1, 1, 0)</f>
        <v>0</v>
      </c>
      <c r="K478">
        <f>IF(ISNUMBER(SEARCH(Table1[[#This Row],[their_ent_1]],Table1[[#This Row],[my_ent_1]])), 1, 0)</f>
        <v>0</v>
      </c>
      <c r="L478">
        <f>IF(ISNUMBER(SEARCH(Table1[[#This Row],[their_ent_2]],Table1[[#This Row],[my_ent_2]])), 1, 0)</f>
        <v>1</v>
      </c>
    </row>
    <row r="479" spans="1:12" hidden="1" x14ac:dyDescent="0.3">
      <c r="A479" t="s">
        <v>1574</v>
      </c>
      <c r="B479" t="s">
        <v>58</v>
      </c>
      <c r="C479" t="s">
        <v>1575</v>
      </c>
      <c r="D479" t="s">
        <v>200</v>
      </c>
      <c r="E479" t="s">
        <v>1576</v>
      </c>
      <c r="F479">
        <v>0</v>
      </c>
      <c r="G479">
        <v>477</v>
      </c>
      <c r="H479">
        <f>IF(Table1[[#This Row],[my_ent_1]]=Table1[[#This Row],[their_ent_1]], 1, 0)</f>
        <v>0</v>
      </c>
      <c r="I479">
        <f>IF(Table1[[#This Row],[my_ent_2]]=Table1[[#This Row],[their_ent_2]], 1, 0)</f>
        <v>0</v>
      </c>
      <c r="J479">
        <f>IF(Table1[[#This Row],[same_1]]=1 &amp; Table1[[#This Row],[same_2]]=1, 1, 0)</f>
        <v>0</v>
      </c>
      <c r="K479">
        <f>IF(ISNUMBER(SEARCH(Table1[[#This Row],[their_ent_1]],Table1[[#This Row],[my_ent_1]])), 1, 0)</f>
        <v>0</v>
      </c>
      <c r="L479">
        <f>IF(ISNUMBER(SEARCH(Table1[[#This Row],[their_ent_2]],Table1[[#This Row],[my_ent_2]])), 1, 0)</f>
        <v>0</v>
      </c>
    </row>
    <row r="480" spans="1:12" hidden="1" x14ac:dyDescent="0.3">
      <c r="A480" t="s">
        <v>1577</v>
      </c>
      <c r="B480" t="s">
        <v>823</v>
      </c>
      <c r="C480" t="s">
        <v>823</v>
      </c>
      <c r="D480" t="s">
        <v>1578</v>
      </c>
      <c r="E480" t="s">
        <v>1579</v>
      </c>
      <c r="F480">
        <v>0</v>
      </c>
      <c r="G480">
        <v>478</v>
      </c>
      <c r="H480">
        <f>IF(Table1[[#This Row],[my_ent_1]]=Table1[[#This Row],[their_ent_1]], 1, 0)</f>
        <v>1</v>
      </c>
      <c r="I480">
        <f>IF(Table1[[#This Row],[my_ent_2]]=Table1[[#This Row],[their_ent_2]], 1, 0)</f>
        <v>0</v>
      </c>
      <c r="J480">
        <f>IF(Table1[[#This Row],[same_1]]=1 &amp; Table1[[#This Row],[same_2]]=1, 1, 0)</f>
        <v>0</v>
      </c>
      <c r="K480">
        <f>IF(ISNUMBER(SEARCH(Table1[[#This Row],[their_ent_1]],Table1[[#This Row],[my_ent_1]])), 1, 0)</f>
        <v>1</v>
      </c>
      <c r="L480">
        <f>IF(ISNUMBER(SEARCH(Table1[[#This Row],[their_ent_2]],Table1[[#This Row],[my_ent_2]])), 1, 0)</f>
        <v>0</v>
      </c>
    </row>
    <row r="481" spans="1:12" hidden="1" x14ac:dyDescent="0.3">
      <c r="A481" t="s">
        <v>1580</v>
      </c>
      <c r="B481" t="s">
        <v>1581</v>
      </c>
      <c r="C481" t="s">
        <v>225</v>
      </c>
      <c r="D481" t="s">
        <v>577</v>
      </c>
      <c r="E481" t="s">
        <v>1223</v>
      </c>
      <c r="F481">
        <v>0</v>
      </c>
      <c r="G481">
        <v>479</v>
      </c>
      <c r="H481">
        <f>IF(Table1[[#This Row],[my_ent_1]]=Table1[[#This Row],[their_ent_1]], 1, 0)</f>
        <v>0</v>
      </c>
      <c r="I481">
        <f>IF(Table1[[#This Row],[my_ent_2]]=Table1[[#This Row],[their_ent_2]], 1, 0)</f>
        <v>0</v>
      </c>
      <c r="J481">
        <f>IF(Table1[[#This Row],[same_1]]=1 &amp; Table1[[#This Row],[same_2]]=1, 1, 0)</f>
        <v>0</v>
      </c>
      <c r="K481">
        <f>IF(ISNUMBER(SEARCH(Table1[[#This Row],[their_ent_1]],Table1[[#This Row],[my_ent_1]])), 1, 0)</f>
        <v>0</v>
      </c>
      <c r="L481">
        <f>IF(ISNUMBER(SEARCH(Table1[[#This Row],[their_ent_2]],Table1[[#This Row],[my_ent_2]])), 1, 0)</f>
        <v>0</v>
      </c>
    </row>
    <row r="482" spans="1:12" hidden="1" x14ac:dyDescent="0.3">
      <c r="A482" t="s">
        <v>1582</v>
      </c>
      <c r="B482" t="s">
        <v>1284</v>
      </c>
      <c r="C482" t="s">
        <v>1284</v>
      </c>
      <c r="D482" t="s">
        <v>1500</v>
      </c>
      <c r="E482" t="s">
        <v>1583</v>
      </c>
      <c r="F482">
        <v>0</v>
      </c>
      <c r="G482">
        <v>480</v>
      </c>
      <c r="H482">
        <f>IF(Table1[[#This Row],[my_ent_1]]=Table1[[#This Row],[their_ent_1]], 1, 0)</f>
        <v>1</v>
      </c>
      <c r="I482">
        <f>IF(Table1[[#This Row],[my_ent_2]]=Table1[[#This Row],[their_ent_2]], 1, 0)</f>
        <v>0</v>
      </c>
      <c r="J482">
        <f>IF(Table1[[#This Row],[same_1]]=1 &amp; Table1[[#This Row],[same_2]]=1, 1, 0)</f>
        <v>0</v>
      </c>
      <c r="K482">
        <f>IF(ISNUMBER(SEARCH(Table1[[#This Row],[their_ent_1]],Table1[[#This Row],[my_ent_1]])), 1, 0)</f>
        <v>1</v>
      </c>
      <c r="L482">
        <f>IF(ISNUMBER(SEARCH(Table1[[#This Row],[their_ent_2]],Table1[[#This Row],[my_ent_2]])), 1, 0)</f>
        <v>0</v>
      </c>
    </row>
    <row r="483" spans="1:12" hidden="1" x14ac:dyDescent="0.3">
      <c r="A483" t="s">
        <v>1584</v>
      </c>
      <c r="B483" t="s">
        <v>1585</v>
      </c>
      <c r="C483" t="s">
        <v>1586</v>
      </c>
      <c r="D483" t="s">
        <v>1586</v>
      </c>
      <c r="E483" t="s">
        <v>683</v>
      </c>
      <c r="F483">
        <v>0</v>
      </c>
      <c r="G483">
        <v>481</v>
      </c>
      <c r="H483">
        <f>IF(Table1[[#This Row],[my_ent_1]]=Table1[[#This Row],[their_ent_1]], 1, 0)</f>
        <v>0</v>
      </c>
      <c r="I483">
        <f>IF(Table1[[#This Row],[my_ent_2]]=Table1[[#This Row],[their_ent_2]], 1, 0)</f>
        <v>0</v>
      </c>
      <c r="J483">
        <f>IF(Table1[[#This Row],[same_1]]=1 &amp; Table1[[#This Row],[same_2]]=1, 1, 0)</f>
        <v>0</v>
      </c>
      <c r="K483">
        <f>IF(ISNUMBER(SEARCH(Table1[[#This Row],[their_ent_1]],Table1[[#This Row],[my_ent_1]])), 1, 0)</f>
        <v>0</v>
      </c>
      <c r="L483">
        <f>IF(ISNUMBER(SEARCH(Table1[[#This Row],[their_ent_2]],Table1[[#This Row],[my_ent_2]])), 1, 0)</f>
        <v>0</v>
      </c>
    </row>
    <row r="484" spans="1:12" hidden="1" x14ac:dyDescent="0.3">
      <c r="A484" t="s">
        <v>1587</v>
      </c>
      <c r="B484" t="s">
        <v>1588</v>
      </c>
      <c r="C484" t="s">
        <v>578</v>
      </c>
      <c r="D484" t="s">
        <v>578</v>
      </c>
      <c r="E484" t="s">
        <v>1284</v>
      </c>
      <c r="F484">
        <v>0</v>
      </c>
      <c r="G484">
        <v>482</v>
      </c>
      <c r="H484">
        <f>IF(Table1[[#This Row],[my_ent_1]]=Table1[[#This Row],[their_ent_1]], 1, 0)</f>
        <v>0</v>
      </c>
      <c r="I484">
        <f>IF(Table1[[#This Row],[my_ent_2]]=Table1[[#This Row],[their_ent_2]], 1, 0)</f>
        <v>0</v>
      </c>
      <c r="J484">
        <f>IF(Table1[[#This Row],[same_1]]=1 &amp; Table1[[#This Row],[same_2]]=1, 1, 0)</f>
        <v>0</v>
      </c>
      <c r="K484">
        <f>IF(ISNUMBER(SEARCH(Table1[[#This Row],[their_ent_1]],Table1[[#This Row],[my_ent_1]])), 1, 0)</f>
        <v>0</v>
      </c>
      <c r="L484">
        <f>IF(ISNUMBER(SEARCH(Table1[[#This Row],[their_ent_2]],Table1[[#This Row],[my_ent_2]])), 1, 0)</f>
        <v>0</v>
      </c>
    </row>
    <row r="485" spans="1:12" hidden="1" x14ac:dyDescent="0.3">
      <c r="A485" t="s">
        <v>1589</v>
      </c>
      <c r="B485" t="s">
        <v>137</v>
      </c>
      <c r="C485" t="s">
        <v>138</v>
      </c>
      <c r="D485" t="s">
        <v>267</v>
      </c>
      <c r="E485" t="s">
        <v>307</v>
      </c>
      <c r="F485">
        <v>0</v>
      </c>
      <c r="G485">
        <v>483</v>
      </c>
      <c r="H485">
        <f>IF(Table1[[#This Row],[my_ent_1]]=Table1[[#This Row],[their_ent_1]], 1, 0)</f>
        <v>0</v>
      </c>
      <c r="I485">
        <f>IF(Table1[[#This Row],[my_ent_2]]=Table1[[#This Row],[their_ent_2]], 1, 0)</f>
        <v>0</v>
      </c>
      <c r="J485">
        <f>IF(Table1[[#This Row],[same_1]]=1 &amp; Table1[[#This Row],[same_2]]=1, 1, 0)</f>
        <v>0</v>
      </c>
      <c r="K485">
        <f>IF(ISNUMBER(SEARCH(Table1[[#This Row],[their_ent_1]],Table1[[#This Row],[my_ent_1]])), 1, 0)</f>
        <v>1</v>
      </c>
      <c r="L485">
        <f>IF(ISNUMBER(SEARCH(Table1[[#This Row],[their_ent_2]],Table1[[#This Row],[my_ent_2]])), 1, 0)</f>
        <v>0</v>
      </c>
    </row>
    <row r="486" spans="1:12" hidden="1" x14ac:dyDescent="0.3">
      <c r="A486" t="s">
        <v>1590</v>
      </c>
      <c r="B486" t="s">
        <v>1591</v>
      </c>
      <c r="C486" t="s">
        <v>1591</v>
      </c>
      <c r="D486" t="s">
        <v>267</v>
      </c>
      <c r="E486" t="s">
        <v>7</v>
      </c>
      <c r="F486">
        <v>0</v>
      </c>
      <c r="G486">
        <v>484</v>
      </c>
      <c r="H486">
        <f>IF(Table1[[#This Row],[my_ent_1]]=Table1[[#This Row],[their_ent_1]], 1, 0)</f>
        <v>1</v>
      </c>
      <c r="I486">
        <f>IF(Table1[[#This Row],[my_ent_2]]=Table1[[#This Row],[their_ent_2]], 1, 0)</f>
        <v>0</v>
      </c>
      <c r="J486">
        <f>IF(Table1[[#This Row],[same_1]]=1 &amp; Table1[[#This Row],[same_2]]=1, 1, 0)</f>
        <v>0</v>
      </c>
      <c r="K486">
        <f>IF(ISNUMBER(SEARCH(Table1[[#This Row],[their_ent_1]],Table1[[#This Row],[my_ent_1]])), 1, 0)</f>
        <v>1</v>
      </c>
      <c r="L486">
        <f>IF(ISNUMBER(SEARCH(Table1[[#This Row],[their_ent_2]],Table1[[#This Row],[my_ent_2]])), 1, 0)</f>
        <v>0</v>
      </c>
    </row>
    <row r="487" spans="1:12" hidden="1" x14ac:dyDescent="0.3">
      <c r="A487" t="s">
        <v>1592</v>
      </c>
      <c r="B487" t="s">
        <v>1593</v>
      </c>
      <c r="C487" t="s">
        <v>1593</v>
      </c>
      <c r="D487" t="s">
        <v>1594</v>
      </c>
      <c r="E487" t="s">
        <v>1595</v>
      </c>
      <c r="F487">
        <v>0</v>
      </c>
      <c r="G487">
        <v>485</v>
      </c>
      <c r="H487">
        <f>IF(Table1[[#This Row],[my_ent_1]]=Table1[[#This Row],[their_ent_1]], 1, 0)</f>
        <v>1</v>
      </c>
      <c r="I487">
        <f>IF(Table1[[#This Row],[my_ent_2]]=Table1[[#This Row],[their_ent_2]], 1, 0)</f>
        <v>0</v>
      </c>
      <c r="J487">
        <f>IF(Table1[[#This Row],[same_1]]=1 &amp; Table1[[#This Row],[same_2]]=1, 1, 0)</f>
        <v>0</v>
      </c>
      <c r="K487">
        <f>IF(ISNUMBER(SEARCH(Table1[[#This Row],[their_ent_1]],Table1[[#This Row],[my_ent_1]])), 1, 0)</f>
        <v>1</v>
      </c>
      <c r="L487">
        <f>IF(ISNUMBER(SEARCH(Table1[[#This Row],[their_ent_2]],Table1[[#This Row],[my_ent_2]])), 1, 0)</f>
        <v>0</v>
      </c>
    </row>
    <row r="488" spans="1:12" hidden="1" x14ac:dyDescent="0.3">
      <c r="A488" t="s">
        <v>1596</v>
      </c>
      <c r="B488" t="s">
        <v>972</v>
      </c>
      <c r="C488" t="s">
        <v>352</v>
      </c>
      <c r="D488" t="s">
        <v>1206</v>
      </c>
      <c r="E488" t="s">
        <v>1597</v>
      </c>
      <c r="F488">
        <v>0</v>
      </c>
      <c r="G488">
        <v>486</v>
      </c>
      <c r="H488">
        <f>IF(Table1[[#This Row],[my_ent_1]]=Table1[[#This Row],[their_ent_1]], 1, 0)</f>
        <v>0</v>
      </c>
      <c r="I488">
        <f>IF(Table1[[#This Row],[my_ent_2]]=Table1[[#This Row],[their_ent_2]], 1, 0)</f>
        <v>0</v>
      </c>
      <c r="J488">
        <f>IF(Table1[[#This Row],[same_1]]=1 &amp; Table1[[#This Row],[same_2]]=1, 1, 0)</f>
        <v>0</v>
      </c>
      <c r="K488">
        <f>IF(ISNUMBER(SEARCH(Table1[[#This Row],[their_ent_1]],Table1[[#This Row],[my_ent_1]])), 1, 0)</f>
        <v>0</v>
      </c>
      <c r="L488">
        <f>IF(ISNUMBER(SEARCH(Table1[[#This Row],[their_ent_2]],Table1[[#This Row],[my_ent_2]])), 1, 0)</f>
        <v>0</v>
      </c>
    </row>
    <row r="489" spans="1:12" hidden="1" x14ac:dyDescent="0.3">
      <c r="A489" t="s">
        <v>1598</v>
      </c>
      <c r="B489" t="s">
        <v>1599</v>
      </c>
      <c r="C489" t="s">
        <v>1600</v>
      </c>
      <c r="D489" t="s">
        <v>1601</v>
      </c>
      <c r="E489" t="s">
        <v>378</v>
      </c>
      <c r="F489">
        <v>0</v>
      </c>
      <c r="G489">
        <v>487</v>
      </c>
      <c r="H489">
        <f>IF(Table1[[#This Row],[my_ent_1]]=Table1[[#This Row],[their_ent_1]], 1, 0)</f>
        <v>0</v>
      </c>
      <c r="I489">
        <f>IF(Table1[[#This Row],[my_ent_2]]=Table1[[#This Row],[their_ent_2]], 1, 0)</f>
        <v>0</v>
      </c>
      <c r="J489">
        <f>IF(Table1[[#This Row],[same_1]]=1 &amp; Table1[[#This Row],[same_2]]=1, 1, 0)</f>
        <v>0</v>
      </c>
      <c r="K489">
        <f>IF(ISNUMBER(SEARCH(Table1[[#This Row],[their_ent_1]],Table1[[#This Row],[my_ent_1]])), 1, 0)</f>
        <v>0</v>
      </c>
      <c r="L489">
        <f>IF(ISNUMBER(SEARCH(Table1[[#This Row],[their_ent_2]],Table1[[#This Row],[my_ent_2]])), 1, 0)</f>
        <v>0</v>
      </c>
    </row>
    <row r="490" spans="1:12" hidden="1" x14ac:dyDescent="0.3">
      <c r="A490" t="s">
        <v>1602</v>
      </c>
      <c r="B490" t="s">
        <v>94</v>
      </c>
      <c r="C490" t="s">
        <v>94</v>
      </c>
      <c r="D490" t="s">
        <v>622</v>
      </c>
      <c r="E490" t="s">
        <v>1603</v>
      </c>
      <c r="F490">
        <v>0</v>
      </c>
      <c r="G490">
        <v>488</v>
      </c>
      <c r="H490">
        <f>IF(Table1[[#This Row],[my_ent_1]]=Table1[[#This Row],[their_ent_1]], 1, 0)</f>
        <v>1</v>
      </c>
      <c r="I490">
        <f>IF(Table1[[#This Row],[my_ent_2]]=Table1[[#This Row],[their_ent_2]], 1, 0)</f>
        <v>0</v>
      </c>
      <c r="J490">
        <f>IF(Table1[[#This Row],[same_1]]=1 &amp; Table1[[#This Row],[same_2]]=1, 1, 0)</f>
        <v>0</v>
      </c>
      <c r="K490">
        <f>IF(ISNUMBER(SEARCH(Table1[[#This Row],[their_ent_1]],Table1[[#This Row],[my_ent_1]])), 1, 0)</f>
        <v>1</v>
      </c>
      <c r="L490">
        <f>IF(ISNUMBER(SEARCH(Table1[[#This Row],[their_ent_2]],Table1[[#This Row],[my_ent_2]])), 1, 0)</f>
        <v>0</v>
      </c>
    </row>
    <row r="491" spans="1:12" hidden="1" x14ac:dyDescent="0.3">
      <c r="A491" t="s">
        <v>1604</v>
      </c>
      <c r="B491" t="s">
        <v>1605</v>
      </c>
      <c r="C491" t="s">
        <v>1605</v>
      </c>
      <c r="D491" t="s">
        <v>1605</v>
      </c>
      <c r="E491" t="s">
        <v>296</v>
      </c>
      <c r="F491">
        <v>0</v>
      </c>
      <c r="G491">
        <v>489</v>
      </c>
      <c r="H491">
        <f>IF(Table1[[#This Row],[my_ent_1]]=Table1[[#This Row],[their_ent_1]], 1, 0)</f>
        <v>1</v>
      </c>
      <c r="I491">
        <f>IF(Table1[[#This Row],[my_ent_2]]=Table1[[#This Row],[their_ent_2]], 1, 0)</f>
        <v>0</v>
      </c>
      <c r="J491">
        <f>IF(Table1[[#This Row],[same_1]]=1 &amp; Table1[[#This Row],[same_2]]=1, 1, 0)</f>
        <v>0</v>
      </c>
      <c r="K491">
        <f>IF(ISNUMBER(SEARCH(Table1[[#This Row],[their_ent_1]],Table1[[#This Row],[my_ent_1]])), 1, 0)</f>
        <v>1</v>
      </c>
      <c r="L491">
        <f>IF(ISNUMBER(SEARCH(Table1[[#This Row],[their_ent_2]],Table1[[#This Row],[my_ent_2]])), 1, 0)</f>
        <v>0</v>
      </c>
    </row>
    <row r="492" spans="1:12" hidden="1" x14ac:dyDescent="0.3">
      <c r="A492" t="s">
        <v>1606</v>
      </c>
      <c r="B492" t="s">
        <v>249</v>
      </c>
      <c r="C492" t="s">
        <v>1607</v>
      </c>
      <c r="D492" t="s">
        <v>324</v>
      </c>
      <c r="E492" t="s">
        <v>324</v>
      </c>
      <c r="F492">
        <v>0</v>
      </c>
      <c r="G492">
        <v>490</v>
      </c>
      <c r="H492">
        <f>IF(Table1[[#This Row],[my_ent_1]]=Table1[[#This Row],[their_ent_1]], 1, 0)</f>
        <v>0</v>
      </c>
      <c r="I492">
        <f>IF(Table1[[#This Row],[my_ent_2]]=Table1[[#This Row],[their_ent_2]], 1, 0)</f>
        <v>1</v>
      </c>
      <c r="J492">
        <f>IF(Table1[[#This Row],[same_1]]=1 &amp; Table1[[#This Row],[same_2]]=1, 1, 0)</f>
        <v>0</v>
      </c>
      <c r="K492">
        <f>IF(ISNUMBER(SEARCH(Table1[[#This Row],[their_ent_1]],Table1[[#This Row],[my_ent_1]])), 1, 0)</f>
        <v>0</v>
      </c>
      <c r="L492">
        <f>IF(ISNUMBER(SEARCH(Table1[[#This Row],[their_ent_2]],Table1[[#This Row],[my_ent_2]])), 1, 0)</f>
        <v>1</v>
      </c>
    </row>
    <row r="493" spans="1:12" x14ac:dyDescent="0.3">
      <c r="A493" t="s">
        <v>1608</v>
      </c>
      <c r="B493" t="s">
        <v>1609</v>
      </c>
      <c r="C493" t="s">
        <v>1609</v>
      </c>
      <c r="D493" t="s">
        <v>1610</v>
      </c>
      <c r="E493" t="s">
        <v>1611</v>
      </c>
      <c r="F493">
        <v>0</v>
      </c>
      <c r="G493">
        <v>491</v>
      </c>
      <c r="H493">
        <f>IF(Table1[[#This Row],[my_ent_1]]=Table1[[#This Row],[their_ent_1]], 1, 0)</f>
        <v>1</v>
      </c>
      <c r="I493">
        <f>IF(Table1[[#This Row],[my_ent_2]]=Table1[[#This Row],[their_ent_2]], 1, 0)</f>
        <v>0</v>
      </c>
      <c r="J493">
        <f>IF(Table1[[#This Row],[same_1]]=1 &amp; Table1[[#This Row],[same_2]]=1, 1, 0)</f>
        <v>0</v>
      </c>
      <c r="K493">
        <f>IF(ISNUMBER(SEARCH(Table1[[#This Row],[their_ent_1]],Table1[[#This Row],[my_ent_1]])), 1, 0)</f>
        <v>1</v>
      </c>
      <c r="L493">
        <f>IF(ISNUMBER(SEARCH(Table1[[#This Row],[their_ent_2]],Table1[[#This Row],[my_ent_2]])), 1, 0)</f>
        <v>1</v>
      </c>
    </row>
    <row r="494" spans="1:12" hidden="1" x14ac:dyDescent="0.3">
      <c r="A494" t="s">
        <v>1612</v>
      </c>
      <c r="B494" t="s">
        <v>360</v>
      </c>
      <c r="C494" t="s">
        <v>543</v>
      </c>
      <c r="D494" t="s">
        <v>362</v>
      </c>
      <c r="E494" t="s">
        <v>324</v>
      </c>
      <c r="F494">
        <v>0</v>
      </c>
      <c r="G494">
        <v>492</v>
      </c>
      <c r="H494">
        <f>IF(Table1[[#This Row],[my_ent_1]]=Table1[[#This Row],[their_ent_1]], 1, 0)</f>
        <v>0</v>
      </c>
      <c r="I494">
        <f>IF(Table1[[#This Row],[my_ent_2]]=Table1[[#This Row],[their_ent_2]], 1, 0)</f>
        <v>0</v>
      </c>
      <c r="J494">
        <f>IF(Table1[[#This Row],[same_1]]=1 &amp; Table1[[#This Row],[same_2]]=1, 1, 0)</f>
        <v>0</v>
      </c>
      <c r="K494">
        <f>IF(ISNUMBER(SEARCH(Table1[[#This Row],[their_ent_1]],Table1[[#This Row],[my_ent_1]])), 1, 0)</f>
        <v>0</v>
      </c>
      <c r="L494">
        <f>IF(ISNUMBER(SEARCH(Table1[[#This Row],[their_ent_2]],Table1[[#This Row],[my_ent_2]])), 1, 0)</f>
        <v>0</v>
      </c>
    </row>
    <row r="495" spans="1:12" hidden="1" x14ac:dyDescent="0.3">
      <c r="A495" t="s">
        <v>1613</v>
      </c>
      <c r="B495" t="s">
        <v>142</v>
      </c>
      <c r="C495" t="s">
        <v>1614</v>
      </c>
      <c r="D495" t="s">
        <v>1615</v>
      </c>
      <c r="E495" t="s">
        <v>1615</v>
      </c>
      <c r="F495">
        <v>0</v>
      </c>
      <c r="G495">
        <v>493</v>
      </c>
      <c r="H495">
        <f>IF(Table1[[#This Row],[my_ent_1]]=Table1[[#This Row],[their_ent_1]], 1, 0)</f>
        <v>0</v>
      </c>
      <c r="I495">
        <f>IF(Table1[[#This Row],[my_ent_2]]=Table1[[#This Row],[their_ent_2]], 1, 0)</f>
        <v>1</v>
      </c>
      <c r="J495">
        <f>IF(Table1[[#This Row],[same_1]]=1 &amp; Table1[[#This Row],[same_2]]=1, 1, 0)</f>
        <v>0</v>
      </c>
      <c r="K495">
        <f>IF(ISNUMBER(SEARCH(Table1[[#This Row],[their_ent_1]],Table1[[#This Row],[my_ent_1]])), 1, 0)</f>
        <v>0</v>
      </c>
      <c r="L495">
        <f>IF(ISNUMBER(SEARCH(Table1[[#This Row],[their_ent_2]],Table1[[#This Row],[my_ent_2]])), 1, 0)</f>
        <v>1</v>
      </c>
    </row>
    <row r="496" spans="1:12" hidden="1" x14ac:dyDescent="0.3">
      <c r="A496" t="s">
        <v>1616</v>
      </c>
      <c r="B496" t="s">
        <v>1617</v>
      </c>
      <c r="C496" t="s">
        <v>644</v>
      </c>
      <c r="D496" t="s">
        <v>1618</v>
      </c>
      <c r="E496" t="s">
        <v>1619</v>
      </c>
      <c r="F496">
        <v>0</v>
      </c>
      <c r="G496">
        <v>494</v>
      </c>
      <c r="H496">
        <f>IF(Table1[[#This Row],[my_ent_1]]=Table1[[#This Row],[their_ent_1]], 1, 0)</f>
        <v>0</v>
      </c>
      <c r="I496">
        <f>IF(Table1[[#This Row],[my_ent_2]]=Table1[[#This Row],[their_ent_2]], 1, 0)</f>
        <v>0</v>
      </c>
      <c r="J496">
        <f>IF(Table1[[#This Row],[same_1]]=1 &amp; Table1[[#This Row],[same_2]]=1, 1, 0)</f>
        <v>0</v>
      </c>
      <c r="K496">
        <f>IF(ISNUMBER(SEARCH(Table1[[#This Row],[their_ent_1]],Table1[[#This Row],[my_ent_1]])), 1, 0)</f>
        <v>1</v>
      </c>
      <c r="L496">
        <f>IF(ISNUMBER(SEARCH(Table1[[#This Row],[their_ent_2]],Table1[[#This Row],[my_ent_2]])), 1, 0)</f>
        <v>0</v>
      </c>
    </row>
    <row r="497" spans="1:12" hidden="1" x14ac:dyDescent="0.3">
      <c r="A497" t="s">
        <v>1620</v>
      </c>
      <c r="B497" t="s">
        <v>1621</v>
      </c>
      <c r="C497" t="s">
        <v>1622</v>
      </c>
      <c r="D497" t="s">
        <v>7</v>
      </c>
      <c r="E497" t="s">
        <v>165</v>
      </c>
      <c r="F497">
        <v>0</v>
      </c>
      <c r="G497">
        <v>495</v>
      </c>
      <c r="H497">
        <f>IF(Table1[[#This Row],[my_ent_1]]=Table1[[#This Row],[their_ent_1]], 1, 0)</f>
        <v>0</v>
      </c>
      <c r="I497">
        <f>IF(Table1[[#This Row],[my_ent_2]]=Table1[[#This Row],[their_ent_2]], 1, 0)</f>
        <v>0</v>
      </c>
      <c r="J497">
        <f>IF(Table1[[#This Row],[same_1]]=1 &amp; Table1[[#This Row],[same_2]]=1, 1, 0)</f>
        <v>0</v>
      </c>
      <c r="K497">
        <f>IF(ISNUMBER(SEARCH(Table1[[#This Row],[their_ent_1]],Table1[[#This Row],[my_ent_1]])), 1, 0)</f>
        <v>0</v>
      </c>
      <c r="L497">
        <f>IF(ISNUMBER(SEARCH(Table1[[#This Row],[their_ent_2]],Table1[[#This Row],[my_ent_2]])), 1, 0)</f>
        <v>0</v>
      </c>
    </row>
    <row r="498" spans="1:12" hidden="1" x14ac:dyDescent="0.3">
      <c r="A498" t="s">
        <v>1623</v>
      </c>
      <c r="B498" t="s">
        <v>1624</v>
      </c>
      <c r="C498" t="s">
        <v>1625</v>
      </c>
      <c r="D498" t="s">
        <v>1626</v>
      </c>
      <c r="E498" t="s">
        <v>72</v>
      </c>
      <c r="F498">
        <v>0</v>
      </c>
      <c r="G498">
        <v>496</v>
      </c>
      <c r="H498">
        <f>IF(Table1[[#This Row],[my_ent_1]]=Table1[[#This Row],[their_ent_1]], 1, 0)</f>
        <v>0</v>
      </c>
      <c r="I498">
        <f>IF(Table1[[#This Row],[my_ent_2]]=Table1[[#This Row],[their_ent_2]], 1, 0)</f>
        <v>0</v>
      </c>
      <c r="J498">
        <f>IF(Table1[[#This Row],[same_1]]=1 &amp; Table1[[#This Row],[same_2]]=1, 1, 0)</f>
        <v>0</v>
      </c>
      <c r="K498">
        <f>IF(ISNUMBER(SEARCH(Table1[[#This Row],[their_ent_1]],Table1[[#This Row],[my_ent_1]])), 1, 0)</f>
        <v>0</v>
      </c>
      <c r="L498">
        <f>IF(ISNUMBER(SEARCH(Table1[[#This Row],[their_ent_2]],Table1[[#This Row],[my_ent_2]])), 1, 0)</f>
        <v>0</v>
      </c>
    </row>
    <row r="499" spans="1:12" hidden="1" x14ac:dyDescent="0.3">
      <c r="A499" t="s">
        <v>1627</v>
      </c>
      <c r="B499" t="s">
        <v>296</v>
      </c>
      <c r="C499" t="s">
        <v>296</v>
      </c>
      <c r="D499" t="s">
        <v>1628</v>
      </c>
      <c r="E499" t="s">
        <v>1629</v>
      </c>
      <c r="F499">
        <v>0</v>
      </c>
      <c r="G499">
        <v>497</v>
      </c>
      <c r="H499">
        <f>IF(Table1[[#This Row],[my_ent_1]]=Table1[[#This Row],[their_ent_1]], 1, 0)</f>
        <v>1</v>
      </c>
      <c r="I499">
        <f>IF(Table1[[#This Row],[my_ent_2]]=Table1[[#This Row],[their_ent_2]], 1, 0)</f>
        <v>0</v>
      </c>
      <c r="J499">
        <f>IF(Table1[[#This Row],[same_1]]=1 &amp; Table1[[#This Row],[same_2]]=1, 1, 0)</f>
        <v>0</v>
      </c>
      <c r="K499">
        <f>IF(ISNUMBER(SEARCH(Table1[[#This Row],[their_ent_1]],Table1[[#This Row],[my_ent_1]])), 1, 0)</f>
        <v>1</v>
      </c>
      <c r="L499">
        <f>IF(ISNUMBER(SEARCH(Table1[[#This Row],[their_ent_2]],Table1[[#This Row],[my_ent_2]])), 1, 0)</f>
        <v>0</v>
      </c>
    </row>
    <row r="500" spans="1:12" x14ac:dyDescent="0.3">
      <c r="A500" t="s">
        <v>1630</v>
      </c>
      <c r="B500" t="s">
        <v>1631</v>
      </c>
      <c r="C500" t="s">
        <v>1239</v>
      </c>
      <c r="D500" t="s">
        <v>1632</v>
      </c>
      <c r="E500" t="s">
        <v>1632</v>
      </c>
      <c r="F500">
        <v>0</v>
      </c>
      <c r="G500">
        <v>498</v>
      </c>
      <c r="H500">
        <f>IF(Table1[[#This Row],[my_ent_1]]=Table1[[#This Row],[their_ent_1]], 1, 0)</f>
        <v>0</v>
      </c>
      <c r="I500">
        <f>IF(Table1[[#This Row],[my_ent_2]]=Table1[[#This Row],[their_ent_2]], 1, 0)</f>
        <v>1</v>
      </c>
      <c r="J500">
        <f>IF(Table1[[#This Row],[same_1]]=1 &amp; Table1[[#This Row],[same_2]]=1, 1, 0)</f>
        <v>0</v>
      </c>
      <c r="K500">
        <f>IF(ISNUMBER(SEARCH(Table1[[#This Row],[their_ent_1]],Table1[[#This Row],[my_ent_1]])), 1, 0)</f>
        <v>1</v>
      </c>
      <c r="L500">
        <f>IF(ISNUMBER(SEARCH(Table1[[#This Row],[their_ent_2]],Table1[[#This Row],[my_ent_2]])), 1, 0)</f>
        <v>1</v>
      </c>
    </row>
    <row r="501" spans="1:12" hidden="1" x14ac:dyDescent="0.3">
      <c r="A501" t="s">
        <v>716</v>
      </c>
      <c r="B501" t="s">
        <v>54</v>
      </c>
      <c r="C501" t="s">
        <v>717</v>
      </c>
      <c r="D501" t="s">
        <v>54</v>
      </c>
      <c r="E501" t="s">
        <v>718</v>
      </c>
      <c r="F501">
        <v>0</v>
      </c>
      <c r="G501">
        <v>499</v>
      </c>
      <c r="H501">
        <f>IF(Table1[[#This Row],[my_ent_1]]=Table1[[#This Row],[their_ent_1]], 1, 0)</f>
        <v>0</v>
      </c>
      <c r="I501">
        <f>IF(Table1[[#This Row],[my_ent_2]]=Table1[[#This Row],[their_ent_2]], 1, 0)</f>
        <v>0</v>
      </c>
      <c r="J501">
        <f>IF(Table1[[#This Row],[same_1]]=1 &amp; Table1[[#This Row],[same_2]]=1, 1, 0)</f>
        <v>0</v>
      </c>
      <c r="K501">
        <f>IF(ISNUMBER(SEARCH(Table1[[#This Row],[their_ent_1]],Table1[[#This Row],[my_ent_1]])), 1, 0)</f>
        <v>0</v>
      </c>
      <c r="L501">
        <f>IF(ISNUMBER(SEARCH(Table1[[#This Row],[their_ent_2]],Table1[[#This Row],[my_ent_2]])), 1, 0)</f>
        <v>0</v>
      </c>
    </row>
    <row r="502" spans="1:12" x14ac:dyDescent="0.3">
      <c r="A502" t="s">
        <v>1633</v>
      </c>
      <c r="B502" t="s">
        <v>1634</v>
      </c>
      <c r="C502" t="s">
        <v>1634</v>
      </c>
      <c r="D502" t="s">
        <v>1635</v>
      </c>
      <c r="E502" t="s">
        <v>1636</v>
      </c>
      <c r="F502">
        <v>0</v>
      </c>
      <c r="G502">
        <v>500</v>
      </c>
      <c r="H502">
        <f>IF(Table1[[#This Row],[my_ent_1]]=Table1[[#This Row],[their_ent_1]], 1, 0)</f>
        <v>1</v>
      </c>
      <c r="I502">
        <f>IF(Table1[[#This Row],[my_ent_2]]=Table1[[#This Row],[their_ent_2]], 1, 0)</f>
        <v>0</v>
      </c>
      <c r="J502">
        <f>IF(Table1[[#This Row],[same_1]]=1 &amp; Table1[[#This Row],[same_2]]=1, 1, 0)</f>
        <v>0</v>
      </c>
      <c r="K502">
        <f>IF(ISNUMBER(SEARCH(Table1[[#This Row],[their_ent_1]],Table1[[#This Row],[my_ent_1]])), 1, 0)</f>
        <v>1</v>
      </c>
      <c r="L502">
        <f>IF(ISNUMBER(SEARCH(Table1[[#This Row],[their_ent_2]],Table1[[#This Row],[my_ent_2]])), 1, 0)</f>
        <v>1</v>
      </c>
    </row>
    <row r="503" spans="1:12" hidden="1" x14ac:dyDescent="0.3">
      <c r="A503" t="s">
        <v>1637</v>
      </c>
      <c r="B503" t="s">
        <v>28</v>
      </c>
      <c r="C503" t="s">
        <v>58</v>
      </c>
      <c r="D503" t="s">
        <v>290</v>
      </c>
      <c r="E503" t="s">
        <v>1638</v>
      </c>
      <c r="F503">
        <v>0</v>
      </c>
      <c r="G503">
        <v>501</v>
      </c>
      <c r="H503">
        <f>IF(Table1[[#This Row],[my_ent_1]]=Table1[[#This Row],[their_ent_1]], 1, 0)</f>
        <v>0</v>
      </c>
      <c r="I503">
        <f>IF(Table1[[#This Row],[my_ent_2]]=Table1[[#This Row],[their_ent_2]], 1, 0)</f>
        <v>0</v>
      </c>
      <c r="J503">
        <f>IF(Table1[[#This Row],[same_1]]=1 &amp; Table1[[#This Row],[same_2]]=1, 1, 0)</f>
        <v>0</v>
      </c>
      <c r="K503">
        <f>IF(ISNUMBER(SEARCH(Table1[[#This Row],[their_ent_1]],Table1[[#This Row],[my_ent_1]])), 1, 0)</f>
        <v>1</v>
      </c>
      <c r="L503">
        <f>IF(ISNUMBER(SEARCH(Table1[[#This Row],[their_ent_2]],Table1[[#This Row],[my_ent_2]])), 1, 0)</f>
        <v>0</v>
      </c>
    </row>
    <row r="504" spans="1:12" hidden="1" x14ac:dyDescent="0.3">
      <c r="A504" t="s">
        <v>1639</v>
      </c>
      <c r="B504" t="s">
        <v>1640</v>
      </c>
      <c r="C504" t="s">
        <v>1178</v>
      </c>
      <c r="D504" t="s">
        <v>1641</v>
      </c>
      <c r="E504" t="s">
        <v>200</v>
      </c>
      <c r="F504">
        <v>0</v>
      </c>
      <c r="G504">
        <v>502</v>
      </c>
      <c r="H504">
        <f>IF(Table1[[#This Row],[my_ent_1]]=Table1[[#This Row],[their_ent_1]], 1, 0)</f>
        <v>0</v>
      </c>
      <c r="I504">
        <f>IF(Table1[[#This Row],[my_ent_2]]=Table1[[#This Row],[their_ent_2]], 1, 0)</f>
        <v>0</v>
      </c>
      <c r="J504">
        <f>IF(Table1[[#This Row],[same_1]]=1 &amp; Table1[[#This Row],[same_2]]=1, 1, 0)</f>
        <v>0</v>
      </c>
      <c r="K504">
        <f>IF(ISNUMBER(SEARCH(Table1[[#This Row],[their_ent_1]],Table1[[#This Row],[my_ent_1]])), 1, 0)</f>
        <v>0</v>
      </c>
      <c r="L504">
        <f>IF(ISNUMBER(SEARCH(Table1[[#This Row],[their_ent_2]],Table1[[#This Row],[my_ent_2]])), 1, 0)</f>
        <v>0</v>
      </c>
    </row>
    <row r="505" spans="1:12" hidden="1" x14ac:dyDescent="0.3">
      <c r="A505" t="s">
        <v>1642</v>
      </c>
      <c r="B505" t="s">
        <v>1643</v>
      </c>
      <c r="C505" t="s">
        <v>523</v>
      </c>
      <c r="D505" t="s">
        <v>294</v>
      </c>
      <c r="E505" t="s">
        <v>294</v>
      </c>
      <c r="F505">
        <v>0</v>
      </c>
      <c r="G505">
        <v>503</v>
      </c>
      <c r="H505">
        <f>IF(Table1[[#This Row],[my_ent_1]]=Table1[[#This Row],[their_ent_1]], 1, 0)</f>
        <v>0</v>
      </c>
      <c r="I505">
        <f>IF(Table1[[#This Row],[my_ent_2]]=Table1[[#This Row],[their_ent_2]], 1, 0)</f>
        <v>1</v>
      </c>
      <c r="J505">
        <f>IF(Table1[[#This Row],[same_1]]=1 &amp; Table1[[#This Row],[same_2]]=1, 1, 0)</f>
        <v>0</v>
      </c>
      <c r="K505">
        <f>IF(ISNUMBER(SEARCH(Table1[[#This Row],[their_ent_1]],Table1[[#This Row],[my_ent_1]])), 1, 0)</f>
        <v>0</v>
      </c>
      <c r="L505">
        <f>IF(ISNUMBER(SEARCH(Table1[[#This Row],[their_ent_2]],Table1[[#This Row],[my_ent_2]])), 1, 0)</f>
        <v>1</v>
      </c>
    </row>
    <row r="506" spans="1:12" hidden="1" x14ac:dyDescent="0.3">
      <c r="A506" t="s">
        <v>1644</v>
      </c>
      <c r="B506" t="s">
        <v>1645</v>
      </c>
      <c r="C506" t="s">
        <v>1645</v>
      </c>
      <c r="D506" t="s">
        <v>1646</v>
      </c>
      <c r="E506" t="s">
        <v>1647</v>
      </c>
      <c r="F506">
        <v>0</v>
      </c>
      <c r="G506">
        <v>504</v>
      </c>
      <c r="H506">
        <f>IF(Table1[[#This Row],[my_ent_1]]=Table1[[#This Row],[their_ent_1]], 1, 0)</f>
        <v>1</v>
      </c>
      <c r="I506">
        <f>IF(Table1[[#This Row],[my_ent_2]]=Table1[[#This Row],[their_ent_2]], 1, 0)</f>
        <v>0</v>
      </c>
      <c r="J506">
        <f>IF(Table1[[#This Row],[same_1]]=1 &amp; Table1[[#This Row],[same_2]]=1, 1, 0)</f>
        <v>0</v>
      </c>
      <c r="K506">
        <f>IF(ISNUMBER(SEARCH(Table1[[#This Row],[their_ent_1]],Table1[[#This Row],[my_ent_1]])), 1, 0)</f>
        <v>1</v>
      </c>
      <c r="L506">
        <f>IF(ISNUMBER(SEARCH(Table1[[#This Row],[their_ent_2]],Table1[[#This Row],[my_ent_2]])), 1, 0)</f>
        <v>0</v>
      </c>
    </row>
    <row r="507" spans="1:12" hidden="1" x14ac:dyDescent="0.3">
      <c r="A507" t="s">
        <v>1648</v>
      </c>
      <c r="B507" t="s">
        <v>480</v>
      </c>
      <c r="C507" t="s">
        <v>480</v>
      </c>
      <c r="D507" t="s">
        <v>1649</v>
      </c>
      <c r="E507" t="s">
        <v>34</v>
      </c>
      <c r="F507">
        <v>0</v>
      </c>
      <c r="G507">
        <v>505</v>
      </c>
      <c r="H507">
        <f>IF(Table1[[#This Row],[my_ent_1]]=Table1[[#This Row],[their_ent_1]], 1, 0)</f>
        <v>1</v>
      </c>
      <c r="I507">
        <f>IF(Table1[[#This Row],[my_ent_2]]=Table1[[#This Row],[their_ent_2]], 1, 0)</f>
        <v>0</v>
      </c>
      <c r="J507">
        <f>IF(Table1[[#This Row],[same_1]]=1 &amp; Table1[[#This Row],[same_2]]=1, 1, 0)</f>
        <v>0</v>
      </c>
      <c r="K507">
        <f>IF(ISNUMBER(SEARCH(Table1[[#This Row],[their_ent_1]],Table1[[#This Row],[my_ent_1]])), 1, 0)</f>
        <v>1</v>
      </c>
      <c r="L507">
        <f>IF(ISNUMBER(SEARCH(Table1[[#This Row],[their_ent_2]],Table1[[#This Row],[my_ent_2]])), 1, 0)</f>
        <v>0</v>
      </c>
    </row>
    <row r="508" spans="1:12" hidden="1" x14ac:dyDescent="0.3">
      <c r="A508" t="s">
        <v>1650</v>
      </c>
      <c r="B508" t="s">
        <v>1651</v>
      </c>
      <c r="C508" t="s">
        <v>1652</v>
      </c>
      <c r="D508" t="s">
        <v>1653</v>
      </c>
      <c r="E508" t="s">
        <v>1654</v>
      </c>
      <c r="F508">
        <v>0</v>
      </c>
      <c r="G508">
        <v>506</v>
      </c>
      <c r="H508">
        <f>IF(Table1[[#This Row],[my_ent_1]]=Table1[[#This Row],[their_ent_1]], 1, 0)</f>
        <v>0</v>
      </c>
      <c r="I508">
        <f>IF(Table1[[#This Row],[my_ent_2]]=Table1[[#This Row],[their_ent_2]], 1, 0)</f>
        <v>0</v>
      </c>
      <c r="J508">
        <f>IF(Table1[[#This Row],[same_1]]=1 &amp; Table1[[#This Row],[same_2]]=1, 1, 0)</f>
        <v>0</v>
      </c>
      <c r="K508">
        <f>IF(ISNUMBER(SEARCH(Table1[[#This Row],[their_ent_1]],Table1[[#This Row],[my_ent_1]])), 1, 0)</f>
        <v>1</v>
      </c>
      <c r="L508">
        <f>IF(ISNUMBER(SEARCH(Table1[[#This Row],[their_ent_2]],Table1[[#This Row],[my_ent_2]])), 1, 0)</f>
        <v>0</v>
      </c>
    </row>
    <row r="509" spans="1:12" x14ac:dyDescent="0.3">
      <c r="A509" t="s">
        <v>1655</v>
      </c>
      <c r="B509" t="s">
        <v>1656</v>
      </c>
      <c r="C509" t="s">
        <v>1657</v>
      </c>
      <c r="D509" t="s">
        <v>1658</v>
      </c>
      <c r="E509" t="s">
        <v>1658</v>
      </c>
      <c r="F509">
        <v>0</v>
      </c>
      <c r="G509">
        <v>507</v>
      </c>
      <c r="H509">
        <f>IF(Table1[[#This Row],[my_ent_1]]=Table1[[#This Row],[their_ent_1]], 1, 0)</f>
        <v>0</v>
      </c>
      <c r="I509">
        <f>IF(Table1[[#This Row],[my_ent_2]]=Table1[[#This Row],[their_ent_2]], 1, 0)</f>
        <v>1</v>
      </c>
      <c r="J509">
        <f>IF(Table1[[#This Row],[same_1]]=1 &amp; Table1[[#This Row],[same_2]]=1, 1, 0)</f>
        <v>0</v>
      </c>
      <c r="K509">
        <f>IF(ISNUMBER(SEARCH(Table1[[#This Row],[their_ent_1]],Table1[[#This Row],[my_ent_1]])), 1, 0)</f>
        <v>1</v>
      </c>
      <c r="L509">
        <f>IF(ISNUMBER(SEARCH(Table1[[#This Row],[their_ent_2]],Table1[[#This Row],[my_ent_2]])), 1, 0)</f>
        <v>1</v>
      </c>
    </row>
    <row r="510" spans="1:12" hidden="1" x14ac:dyDescent="0.3">
      <c r="A510" t="s">
        <v>1659</v>
      </c>
      <c r="B510" t="s">
        <v>1660</v>
      </c>
      <c r="C510" t="s">
        <v>1660</v>
      </c>
      <c r="D510" t="s">
        <v>1661</v>
      </c>
      <c r="E510" t="s">
        <v>1662</v>
      </c>
      <c r="F510">
        <v>0</v>
      </c>
      <c r="G510">
        <v>508</v>
      </c>
      <c r="H510">
        <f>IF(Table1[[#This Row],[my_ent_1]]=Table1[[#This Row],[their_ent_1]], 1, 0)</f>
        <v>1</v>
      </c>
      <c r="I510">
        <f>IF(Table1[[#This Row],[my_ent_2]]=Table1[[#This Row],[their_ent_2]], 1, 0)</f>
        <v>0</v>
      </c>
      <c r="J510">
        <f>IF(Table1[[#This Row],[same_1]]=1 &amp; Table1[[#This Row],[same_2]]=1, 1, 0)</f>
        <v>0</v>
      </c>
      <c r="K510">
        <f>IF(ISNUMBER(SEARCH(Table1[[#This Row],[their_ent_1]],Table1[[#This Row],[my_ent_1]])), 1, 0)</f>
        <v>1</v>
      </c>
      <c r="L510">
        <f>IF(ISNUMBER(SEARCH(Table1[[#This Row],[their_ent_2]],Table1[[#This Row],[my_ent_2]])), 1, 0)</f>
        <v>0</v>
      </c>
    </row>
    <row r="511" spans="1:12" hidden="1" x14ac:dyDescent="0.3">
      <c r="A511" t="s">
        <v>1663</v>
      </c>
      <c r="B511" t="s">
        <v>281</v>
      </c>
      <c r="C511" t="s">
        <v>1664</v>
      </c>
      <c r="D511" t="s">
        <v>1664</v>
      </c>
      <c r="E511" t="s">
        <v>1665</v>
      </c>
      <c r="F511">
        <v>0</v>
      </c>
      <c r="G511">
        <v>509</v>
      </c>
      <c r="H511">
        <f>IF(Table1[[#This Row],[my_ent_1]]=Table1[[#This Row],[their_ent_1]], 1, 0)</f>
        <v>0</v>
      </c>
      <c r="I511">
        <f>IF(Table1[[#This Row],[my_ent_2]]=Table1[[#This Row],[their_ent_2]], 1, 0)</f>
        <v>0</v>
      </c>
      <c r="J511">
        <f>IF(Table1[[#This Row],[same_1]]=1 &amp; Table1[[#This Row],[same_2]]=1, 1, 0)</f>
        <v>0</v>
      </c>
      <c r="K511">
        <f>IF(ISNUMBER(SEARCH(Table1[[#This Row],[their_ent_1]],Table1[[#This Row],[my_ent_1]])), 1, 0)</f>
        <v>0</v>
      </c>
      <c r="L511">
        <f>IF(ISNUMBER(SEARCH(Table1[[#This Row],[their_ent_2]],Table1[[#This Row],[my_ent_2]])), 1, 0)</f>
        <v>0</v>
      </c>
    </row>
    <row r="512" spans="1:12" hidden="1" x14ac:dyDescent="0.3">
      <c r="A512" t="s">
        <v>1666</v>
      </c>
      <c r="B512" t="s">
        <v>1578</v>
      </c>
      <c r="C512" t="s">
        <v>1421</v>
      </c>
      <c r="D512" t="s">
        <v>263</v>
      </c>
      <c r="E512" t="s">
        <v>1667</v>
      </c>
      <c r="F512">
        <v>0</v>
      </c>
      <c r="G512">
        <v>510</v>
      </c>
      <c r="H512">
        <f>IF(Table1[[#This Row],[my_ent_1]]=Table1[[#This Row],[their_ent_1]], 1, 0)</f>
        <v>0</v>
      </c>
      <c r="I512">
        <f>IF(Table1[[#This Row],[my_ent_2]]=Table1[[#This Row],[their_ent_2]], 1, 0)</f>
        <v>0</v>
      </c>
      <c r="J512">
        <f>IF(Table1[[#This Row],[same_1]]=1 &amp; Table1[[#This Row],[same_2]]=1, 1, 0)</f>
        <v>0</v>
      </c>
      <c r="K512">
        <f>IF(ISNUMBER(SEARCH(Table1[[#This Row],[their_ent_1]],Table1[[#This Row],[my_ent_1]])), 1, 0)</f>
        <v>0</v>
      </c>
      <c r="L512">
        <f>IF(ISNUMBER(SEARCH(Table1[[#This Row],[their_ent_2]],Table1[[#This Row],[my_ent_2]])), 1, 0)</f>
        <v>0</v>
      </c>
    </row>
    <row r="513" spans="1:12" hidden="1" x14ac:dyDescent="0.3">
      <c r="A513" t="s">
        <v>1668</v>
      </c>
      <c r="B513" t="s">
        <v>886</v>
      </c>
      <c r="C513" t="s">
        <v>1669</v>
      </c>
      <c r="D513" t="s">
        <v>1670</v>
      </c>
      <c r="E513" t="s">
        <v>1670</v>
      </c>
      <c r="F513">
        <v>0</v>
      </c>
      <c r="G513">
        <v>511</v>
      </c>
      <c r="H513">
        <f>IF(Table1[[#This Row],[my_ent_1]]=Table1[[#This Row],[their_ent_1]], 1, 0)</f>
        <v>0</v>
      </c>
      <c r="I513">
        <f>IF(Table1[[#This Row],[my_ent_2]]=Table1[[#This Row],[their_ent_2]], 1, 0)</f>
        <v>1</v>
      </c>
      <c r="J513">
        <f>IF(Table1[[#This Row],[same_1]]=1 &amp; Table1[[#This Row],[same_2]]=1, 1, 0)</f>
        <v>0</v>
      </c>
      <c r="K513">
        <f>IF(ISNUMBER(SEARCH(Table1[[#This Row],[their_ent_1]],Table1[[#This Row],[my_ent_1]])), 1, 0)</f>
        <v>0</v>
      </c>
      <c r="L513">
        <f>IF(ISNUMBER(SEARCH(Table1[[#This Row],[their_ent_2]],Table1[[#This Row],[my_ent_2]])), 1, 0)</f>
        <v>1</v>
      </c>
    </row>
    <row r="514" spans="1:12" hidden="1" x14ac:dyDescent="0.3">
      <c r="A514" t="s">
        <v>1671</v>
      </c>
      <c r="B514" t="s">
        <v>1672</v>
      </c>
      <c r="C514" t="s">
        <v>1673</v>
      </c>
      <c r="D514" t="s">
        <v>7</v>
      </c>
      <c r="E514" t="s">
        <v>1674</v>
      </c>
      <c r="F514">
        <v>0</v>
      </c>
      <c r="G514">
        <v>512</v>
      </c>
      <c r="H514">
        <f>IF(Table1[[#This Row],[my_ent_1]]=Table1[[#This Row],[their_ent_1]], 1, 0)</f>
        <v>0</v>
      </c>
      <c r="I514">
        <f>IF(Table1[[#This Row],[my_ent_2]]=Table1[[#This Row],[their_ent_2]], 1, 0)</f>
        <v>0</v>
      </c>
      <c r="J514">
        <f>IF(Table1[[#This Row],[same_1]]=1 &amp; Table1[[#This Row],[same_2]]=1, 1, 0)</f>
        <v>0</v>
      </c>
      <c r="K514">
        <f>IF(ISNUMBER(SEARCH(Table1[[#This Row],[their_ent_1]],Table1[[#This Row],[my_ent_1]])), 1, 0)</f>
        <v>0</v>
      </c>
      <c r="L514">
        <f>IF(ISNUMBER(SEARCH(Table1[[#This Row],[their_ent_2]],Table1[[#This Row],[my_ent_2]])), 1, 0)</f>
        <v>0</v>
      </c>
    </row>
    <row r="515" spans="1:12" hidden="1" x14ac:dyDescent="0.3">
      <c r="A515" t="s">
        <v>1675</v>
      </c>
      <c r="B515" t="s">
        <v>200</v>
      </c>
      <c r="C515" t="s">
        <v>1676</v>
      </c>
      <c r="D515" t="s">
        <v>1017</v>
      </c>
      <c r="E515" t="s">
        <v>15</v>
      </c>
      <c r="F515">
        <v>0</v>
      </c>
      <c r="G515">
        <v>513</v>
      </c>
      <c r="H515">
        <f>IF(Table1[[#This Row],[my_ent_1]]=Table1[[#This Row],[their_ent_1]], 1, 0)</f>
        <v>0</v>
      </c>
      <c r="I515">
        <f>IF(Table1[[#This Row],[my_ent_2]]=Table1[[#This Row],[their_ent_2]], 1, 0)</f>
        <v>0</v>
      </c>
      <c r="J515">
        <f>IF(Table1[[#This Row],[same_1]]=1 &amp; Table1[[#This Row],[same_2]]=1, 1, 0)</f>
        <v>0</v>
      </c>
      <c r="K515">
        <f>IF(ISNUMBER(SEARCH(Table1[[#This Row],[their_ent_1]],Table1[[#This Row],[my_ent_1]])), 1, 0)</f>
        <v>0</v>
      </c>
      <c r="L515">
        <f>IF(ISNUMBER(SEARCH(Table1[[#This Row],[their_ent_2]],Table1[[#This Row],[my_ent_2]])), 1, 0)</f>
        <v>0</v>
      </c>
    </row>
    <row r="516" spans="1:12" hidden="1" x14ac:dyDescent="0.3">
      <c r="A516" t="s">
        <v>1677</v>
      </c>
      <c r="B516" t="s">
        <v>1477</v>
      </c>
      <c r="C516" t="s">
        <v>1678</v>
      </c>
      <c r="D516" t="s">
        <v>1679</v>
      </c>
      <c r="E516" t="s">
        <v>1679</v>
      </c>
      <c r="F516">
        <v>0</v>
      </c>
      <c r="G516">
        <v>514</v>
      </c>
      <c r="H516">
        <f>IF(Table1[[#This Row],[my_ent_1]]=Table1[[#This Row],[their_ent_1]], 1, 0)</f>
        <v>0</v>
      </c>
      <c r="I516">
        <f>IF(Table1[[#This Row],[my_ent_2]]=Table1[[#This Row],[their_ent_2]], 1, 0)</f>
        <v>1</v>
      </c>
      <c r="J516">
        <f>IF(Table1[[#This Row],[same_1]]=1 &amp; Table1[[#This Row],[same_2]]=1, 1, 0)</f>
        <v>0</v>
      </c>
      <c r="K516">
        <f>IF(ISNUMBER(SEARCH(Table1[[#This Row],[their_ent_1]],Table1[[#This Row],[my_ent_1]])), 1, 0)</f>
        <v>0</v>
      </c>
      <c r="L516">
        <f>IF(ISNUMBER(SEARCH(Table1[[#This Row],[their_ent_2]],Table1[[#This Row],[my_ent_2]])), 1, 0)</f>
        <v>1</v>
      </c>
    </row>
    <row r="517" spans="1:12" x14ac:dyDescent="0.3">
      <c r="A517" t="s">
        <v>1680</v>
      </c>
      <c r="B517" t="s">
        <v>1681</v>
      </c>
      <c r="C517" t="s">
        <v>1681</v>
      </c>
      <c r="D517" t="s">
        <v>1682</v>
      </c>
      <c r="E517" t="s">
        <v>1683</v>
      </c>
      <c r="F517">
        <v>0</v>
      </c>
      <c r="G517">
        <v>515</v>
      </c>
      <c r="H517">
        <f>IF(Table1[[#This Row],[my_ent_1]]=Table1[[#This Row],[their_ent_1]], 1, 0)</f>
        <v>1</v>
      </c>
      <c r="I517">
        <f>IF(Table1[[#This Row],[my_ent_2]]=Table1[[#This Row],[their_ent_2]], 1, 0)</f>
        <v>0</v>
      </c>
      <c r="J517">
        <f>IF(Table1[[#This Row],[same_1]]=1 &amp; Table1[[#This Row],[same_2]]=1, 1, 0)</f>
        <v>0</v>
      </c>
      <c r="K517">
        <f>IF(ISNUMBER(SEARCH(Table1[[#This Row],[their_ent_1]],Table1[[#This Row],[my_ent_1]])), 1, 0)</f>
        <v>1</v>
      </c>
      <c r="L517">
        <f>IF(ISNUMBER(SEARCH(Table1[[#This Row],[their_ent_2]],Table1[[#This Row],[my_ent_2]])), 1, 0)</f>
        <v>1</v>
      </c>
    </row>
    <row r="518" spans="1:12" hidden="1" x14ac:dyDescent="0.3">
      <c r="A518" t="s">
        <v>1684</v>
      </c>
      <c r="B518" t="s">
        <v>525</v>
      </c>
      <c r="C518" t="s">
        <v>525</v>
      </c>
      <c r="D518" t="s">
        <v>1685</v>
      </c>
      <c r="E518" t="s">
        <v>738</v>
      </c>
      <c r="F518">
        <v>0</v>
      </c>
      <c r="G518">
        <v>516</v>
      </c>
      <c r="H518">
        <f>IF(Table1[[#This Row],[my_ent_1]]=Table1[[#This Row],[their_ent_1]], 1, 0)</f>
        <v>1</v>
      </c>
      <c r="I518">
        <f>IF(Table1[[#This Row],[my_ent_2]]=Table1[[#This Row],[their_ent_2]], 1, 0)</f>
        <v>0</v>
      </c>
      <c r="J518">
        <f>IF(Table1[[#This Row],[same_1]]=1 &amp; Table1[[#This Row],[same_2]]=1, 1, 0)</f>
        <v>0</v>
      </c>
      <c r="K518">
        <f>IF(ISNUMBER(SEARCH(Table1[[#This Row],[their_ent_1]],Table1[[#This Row],[my_ent_1]])), 1, 0)</f>
        <v>1</v>
      </c>
      <c r="L518">
        <f>IF(ISNUMBER(SEARCH(Table1[[#This Row],[their_ent_2]],Table1[[#This Row],[my_ent_2]])), 1, 0)</f>
        <v>0</v>
      </c>
    </row>
    <row r="519" spans="1:12" hidden="1" x14ac:dyDescent="0.3">
      <c r="A519" t="s">
        <v>1686</v>
      </c>
      <c r="B519" t="s">
        <v>1687</v>
      </c>
      <c r="C519" t="s">
        <v>382</v>
      </c>
      <c r="D519" t="s">
        <v>172</v>
      </c>
      <c r="E519" t="s">
        <v>172</v>
      </c>
      <c r="F519">
        <v>0</v>
      </c>
      <c r="G519">
        <v>517</v>
      </c>
      <c r="H519">
        <f>IF(Table1[[#This Row],[my_ent_1]]=Table1[[#This Row],[their_ent_1]], 1, 0)</f>
        <v>0</v>
      </c>
      <c r="I519">
        <f>IF(Table1[[#This Row],[my_ent_2]]=Table1[[#This Row],[their_ent_2]], 1, 0)</f>
        <v>1</v>
      </c>
      <c r="J519">
        <f>IF(Table1[[#This Row],[same_1]]=1 &amp; Table1[[#This Row],[same_2]]=1, 1, 0)</f>
        <v>0</v>
      </c>
      <c r="K519">
        <f>IF(ISNUMBER(SEARCH(Table1[[#This Row],[their_ent_1]],Table1[[#This Row],[my_ent_1]])), 1, 0)</f>
        <v>0</v>
      </c>
      <c r="L519">
        <f>IF(ISNUMBER(SEARCH(Table1[[#This Row],[their_ent_2]],Table1[[#This Row],[my_ent_2]])), 1, 0)</f>
        <v>1</v>
      </c>
    </row>
    <row r="520" spans="1:12" hidden="1" x14ac:dyDescent="0.3">
      <c r="A520" t="s">
        <v>1688</v>
      </c>
      <c r="B520" t="s">
        <v>1239</v>
      </c>
      <c r="C520" t="s">
        <v>1689</v>
      </c>
      <c r="D520" t="s">
        <v>1690</v>
      </c>
      <c r="E520" t="s">
        <v>1239</v>
      </c>
      <c r="F520">
        <v>0</v>
      </c>
      <c r="G520">
        <v>518</v>
      </c>
      <c r="H520">
        <f>IF(Table1[[#This Row],[my_ent_1]]=Table1[[#This Row],[their_ent_1]], 1, 0)</f>
        <v>0</v>
      </c>
      <c r="I520">
        <f>IF(Table1[[#This Row],[my_ent_2]]=Table1[[#This Row],[their_ent_2]], 1, 0)</f>
        <v>0</v>
      </c>
      <c r="J520">
        <f>IF(Table1[[#This Row],[same_1]]=1 &amp; Table1[[#This Row],[same_2]]=1, 1, 0)</f>
        <v>0</v>
      </c>
      <c r="K520">
        <f>IF(ISNUMBER(SEARCH(Table1[[#This Row],[their_ent_1]],Table1[[#This Row],[my_ent_1]])), 1, 0)</f>
        <v>0</v>
      </c>
      <c r="L520">
        <f>IF(ISNUMBER(SEARCH(Table1[[#This Row],[their_ent_2]],Table1[[#This Row],[my_ent_2]])), 1, 0)</f>
        <v>0</v>
      </c>
    </row>
    <row r="521" spans="1:12" hidden="1" x14ac:dyDescent="0.3">
      <c r="A521" t="s">
        <v>1691</v>
      </c>
      <c r="B521" t="s">
        <v>525</v>
      </c>
      <c r="C521" t="s">
        <v>138</v>
      </c>
      <c r="D521" t="s">
        <v>1692</v>
      </c>
      <c r="E521" t="s">
        <v>94</v>
      </c>
      <c r="F521">
        <v>0</v>
      </c>
      <c r="G521">
        <v>519</v>
      </c>
      <c r="H521">
        <f>IF(Table1[[#This Row],[my_ent_1]]=Table1[[#This Row],[their_ent_1]], 1, 0)</f>
        <v>0</v>
      </c>
      <c r="I521">
        <f>IF(Table1[[#This Row],[my_ent_2]]=Table1[[#This Row],[their_ent_2]], 1, 0)</f>
        <v>0</v>
      </c>
      <c r="J521">
        <f>IF(Table1[[#This Row],[same_1]]=1 &amp; Table1[[#This Row],[same_2]]=1, 1, 0)</f>
        <v>0</v>
      </c>
      <c r="K521">
        <f>IF(ISNUMBER(SEARCH(Table1[[#This Row],[their_ent_1]],Table1[[#This Row],[my_ent_1]])), 1, 0)</f>
        <v>0</v>
      </c>
      <c r="L521">
        <f>IF(ISNUMBER(SEARCH(Table1[[#This Row],[their_ent_2]],Table1[[#This Row],[my_ent_2]])), 1, 0)</f>
        <v>0</v>
      </c>
    </row>
    <row r="522" spans="1:12" hidden="1" x14ac:dyDescent="0.3">
      <c r="A522" t="s">
        <v>1693</v>
      </c>
      <c r="B522" t="s">
        <v>1694</v>
      </c>
      <c r="C522" t="s">
        <v>1695</v>
      </c>
      <c r="D522" t="s">
        <v>1696</v>
      </c>
      <c r="E522" t="s">
        <v>1697</v>
      </c>
      <c r="F522">
        <v>0</v>
      </c>
      <c r="G522">
        <v>520</v>
      </c>
      <c r="H522">
        <f>IF(Table1[[#This Row],[my_ent_1]]=Table1[[#This Row],[their_ent_1]], 1, 0)</f>
        <v>0</v>
      </c>
      <c r="I522">
        <f>IF(Table1[[#This Row],[my_ent_2]]=Table1[[#This Row],[their_ent_2]], 1, 0)</f>
        <v>0</v>
      </c>
      <c r="J522">
        <f>IF(Table1[[#This Row],[same_1]]=1 &amp; Table1[[#This Row],[same_2]]=1, 1, 0)</f>
        <v>0</v>
      </c>
      <c r="K522">
        <f>IF(ISNUMBER(SEARCH(Table1[[#This Row],[their_ent_1]],Table1[[#This Row],[my_ent_1]])), 1, 0)</f>
        <v>0</v>
      </c>
      <c r="L522">
        <f>IF(ISNUMBER(SEARCH(Table1[[#This Row],[their_ent_2]],Table1[[#This Row],[my_ent_2]])), 1, 0)</f>
        <v>0</v>
      </c>
    </row>
    <row r="523" spans="1:12" hidden="1" x14ac:dyDescent="0.3">
      <c r="A523" t="s">
        <v>1698</v>
      </c>
      <c r="B523" t="s">
        <v>7</v>
      </c>
      <c r="C523" t="s">
        <v>165</v>
      </c>
      <c r="D523" t="s">
        <v>1699</v>
      </c>
      <c r="E523" t="s">
        <v>1700</v>
      </c>
      <c r="F523">
        <v>0</v>
      </c>
      <c r="G523">
        <v>521</v>
      </c>
      <c r="H523">
        <f>IF(Table1[[#This Row],[my_ent_1]]=Table1[[#This Row],[their_ent_1]], 1, 0)</f>
        <v>0</v>
      </c>
      <c r="I523">
        <f>IF(Table1[[#This Row],[my_ent_2]]=Table1[[#This Row],[their_ent_2]], 1, 0)</f>
        <v>0</v>
      </c>
      <c r="J523">
        <f>IF(Table1[[#This Row],[same_1]]=1 &amp; Table1[[#This Row],[same_2]]=1, 1, 0)</f>
        <v>0</v>
      </c>
      <c r="K523">
        <f>IF(ISNUMBER(SEARCH(Table1[[#This Row],[their_ent_1]],Table1[[#This Row],[my_ent_1]])), 1, 0)</f>
        <v>0</v>
      </c>
      <c r="L523">
        <f>IF(ISNUMBER(SEARCH(Table1[[#This Row],[their_ent_2]],Table1[[#This Row],[my_ent_2]])), 1, 0)</f>
        <v>0</v>
      </c>
    </row>
    <row r="524" spans="1:12" hidden="1" x14ac:dyDescent="0.3">
      <c r="A524" t="s">
        <v>1701</v>
      </c>
      <c r="B524" t="s">
        <v>1702</v>
      </c>
      <c r="C524" t="s">
        <v>1703</v>
      </c>
      <c r="D524" t="s">
        <v>1703</v>
      </c>
      <c r="E524" t="s">
        <v>681</v>
      </c>
      <c r="F524">
        <v>0</v>
      </c>
      <c r="G524">
        <v>522</v>
      </c>
      <c r="H524">
        <f>IF(Table1[[#This Row],[my_ent_1]]=Table1[[#This Row],[their_ent_1]], 1, 0)</f>
        <v>0</v>
      </c>
      <c r="I524">
        <f>IF(Table1[[#This Row],[my_ent_2]]=Table1[[#This Row],[their_ent_2]], 1, 0)</f>
        <v>0</v>
      </c>
      <c r="J524">
        <f>IF(Table1[[#This Row],[same_1]]=1 &amp; Table1[[#This Row],[same_2]]=1, 1, 0)</f>
        <v>0</v>
      </c>
      <c r="K524">
        <f>IF(ISNUMBER(SEARCH(Table1[[#This Row],[their_ent_1]],Table1[[#This Row],[my_ent_1]])), 1, 0)</f>
        <v>0</v>
      </c>
      <c r="L524">
        <f>IF(ISNUMBER(SEARCH(Table1[[#This Row],[their_ent_2]],Table1[[#This Row],[my_ent_2]])), 1, 0)</f>
        <v>0</v>
      </c>
    </row>
    <row r="525" spans="1:12" hidden="1" x14ac:dyDescent="0.3">
      <c r="A525" t="s">
        <v>1704</v>
      </c>
      <c r="B525" t="s">
        <v>58</v>
      </c>
      <c r="C525" t="s">
        <v>58</v>
      </c>
      <c r="D525" t="s">
        <v>464</v>
      </c>
      <c r="E525" t="s">
        <v>382</v>
      </c>
      <c r="F525">
        <v>0</v>
      </c>
      <c r="G525">
        <v>523</v>
      </c>
      <c r="H525">
        <f>IF(Table1[[#This Row],[my_ent_1]]=Table1[[#This Row],[their_ent_1]], 1, 0)</f>
        <v>1</v>
      </c>
      <c r="I525">
        <f>IF(Table1[[#This Row],[my_ent_2]]=Table1[[#This Row],[their_ent_2]], 1, 0)</f>
        <v>0</v>
      </c>
      <c r="J525">
        <f>IF(Table1[[#This Row],[same_1]]=1 &amp; Table1[[#This Row],[same_2]]=1, 1, 0)</f>
        <v>0</v>
      </c>
      <c r="K525">
        <f>IF(ISNUMBER(SEARCH(Table1[[#This Row],[their_ent_1]],Table1[[#This Row],[my_ent_1]])), 1, 0)</f>
        <v>1</v>
      </c>
      <c r="L525">
        <f>IF(ISNUMBER(SEARCH(Table1[[#This Row],[their_ent_2]],Table1[[#This Row],[my_ent_2]])), 1, 0)</f>
        <v>0</v>
      </c>
    </row>
    <row r="526" spans="1:12" hidden="1" x14ac:dyDescent="0.3">
      <c r="A526" t="s">
        <v>1705</v>
      </c>
      <c r="B526" t="s">
        <v>94</v>
      </c>
      <c r="C526" t="s">
        <v>94</v>
      </c>
      <c r="D526" t="s">
        <v>7</v>
      </c>
      <c r="E526" t="s">
        <v>165</v>
      </c>
      <c r="F526">
        <v>0</v>
      </c>
      <c r="G526">
        <v>524</v>
      </c>
      <c r="H526">
        <f>IF(Table1[[#This Row],[my_ent_1]]=Table1[[#This Row],[their_ent_1]], 1, 0)</f>
        <v>1</v>
      </c>
      <c r="I526">
        <f>IF(Table1[[#This Row],[my_ent_2]]=Table1[[#This Row],[their_ent_2]], 1, 0)</f>
        <v>0</v>
      </c>
      <c r="J526">
        <f>IF(Table1[[#This Row],[same_1]]=1 &amp; Table1[[#This Row],[same_2]]=1, 1, 0)</f>
        <v>0</v>
      </c>
      <c r="K526">
        <f>IF(ISNUMBER(SEARCH(Table1[[#This Row],[their_ent_1]],Table1[[#This Row],[my_ent_1]])), 1, 0)</f>
        <v>1</v>
      </c>
      <c r="L526">
        <f>IF(ISNUMBER(SEARCH(Table1[[#This Row],[their_ent_2]],Table1[[#This Row],[my_ent_2]])), 1, 0)</f>
        <v>0</v>
      </c>
    </row>
    <row r="527" spans="1:12" hidden="1" x14ac:dyDescent="0.3">
      <c r="A527" t="s">
        <v>1706</v>
      </c>
      <c r="B527" t="s">
        <v>1707</v>
      </c>
      <c r="C527" t="s">
        <v>1708</v>
      </c>
      <c r="D527" t="s">
        <v>54</v>
      </c>
      <c r="E527" t="s">
        <v>1707</v>
      </c>
      <c r="F527">
        <v>0</v>
      </c>
      <c r="G527">
        <v>525</v>
      </c>
      <c r="H527">
        <f>IF(Table1[[#This Row],[my_ent_1]]=Table1[[#This Row],[their_ent_1]], 1, 0)</f>
        <v>0</v>
      </c>
      <c r="I527">
        <f>IF(Table1[[#This Row],[my_ent_2]]=Table1[[#This Row],[their_ent_2]], 1, 0)</f>
        <v>0</v>
      </c>
      <c r="J527">
        <f>IF(Table1[[#This Row],[same_1]]=1 &amp; Table1[[#This Row],[same_2]]=1, 1, 0)</f>
        <v>0</v>
      </c>
      <c r="K527">
        <f>IF(ISNUMBER(SEARCH(Table1[[#This Row],[their_ent_1]],Table1[[#This Row],[my_ent_1]])), 1, 0)</f>
        <v>0</v>
      </c>
      <c r="L527">
        <f>IF(ISNUMBER(SEARCH(Table1[[#This Row],[their_ent_2]],Table1[[#This Row],[my_ent_2]])), 1, 0)</f>
        <v>0</v>
      </c>
    </row>
    <row r="528" spans="1:12" hidden="1" x14ac:dyDescent="0.3">
      <c r="A528" t="s">
        <v>1709</v>
      </c>
      <c r="B528" t="s">
        <v>1710</v>
      </c>
      <c r="C528" t="s">
        <v>1711</v>
      </c>
      <c r="D528" t="s">
        <v>1206</v>
      </c>
      <c r="E528" t="s">
        <v>1712</v>
      </c>
      <c r="F528">
        <v>0</v>
      </c>
      <c r="G528">
        <v>526</v>
      </c>
      <c r="H528">
        <f>IF(Table1[[#This Row],[my_ent_1]]=Table1[[#This Row],[their_ent_1]], 1, 0)</f>
        <v>0</v>
      </c>
      <c r="I528">
        <f>IF(Table1[[#This Row],[my_ent_2]]=Table1[[#This Row],[their_ent_2]], 1, 0)</f>
        <v>0</v>
      </c>
      <c r="J528">
        <f>IF(Table1[[#This Row],[same_1]]=1 &amp; Table1[[#This Row],[same_2]]=1, 1, 0)</f>
        <v>0</v>
      </c>
      <c r="K528">
        <f>IF(ISNUMBER(SEARCH(Table1[[#This Row],[their_ent_1]],Table1[[#This Row],[my_ent_1]])), 1, 0)</f>
        <v>0</v>
      </c>
      <c r="L528">
        <f>IF(ISNUMBER(SEARCH(Table1[[#This Row],[their_ent_2]],Table1[[#This Row],[my_ent_2]])), 1, 0)</f>
        <v>0</v>
      </c>
    </row>
    <row r="529" spans="1:12" hidden="1" x14ac:dyDescent="0.3">
      <c r="A529" t="s">
        <v>1713</v>
      </c>
      <c r="B529" t="s">
        <v>94</v>
      </c>
      <c r="C529" t="s">
        <v>1714</v>
      </c>
      <c r="D529" t="s">
        <v>1715</v>
      </c>
      <c r="E529" t="s">
        <v>1657</v>
      </c>
      <c r="F529">
        <v>0</v>
      </c>
      <c r="G529">
        <v>527</v>
      </c>
      <c r="H529">
        <f>IF(Table1[[#This Row],[my_ent_1]]=Table1[[#This Row],[their_ent_1]], 1, 0)</f>
        <v>0</v>
      </c>
      <c r="I529">
        <f>IF(Table1[[#This Row],[my_ent_2]]=Table1[[#This Row],[their_ent_2]], 1, 0)</f>
        <v>0</v>
      </c>
      <c r="J529">
        <f>IF(Table1[[#This Row],[same_1]]=1 &amp; Table1[[#This Row],[same_2]]=1, 1, 0)</f>
        <v>0</v>
      </c>
      <c r="K529">
        <f>IF(ISNUMBER(SEARCH(Table1[[#This Row],[their_ent_1]],Table1[[#This Row],[my_ent_1]])), 1, 0)</f>
        <v>0</v>
      </c>
      <c r="L529">
        <f>IF(ISNUMBER(SEARCH(Table1[[#This Row],[their_ent_2]],Table1[[#This Row],[my_ent_2]])), 1, 0)</f>
        <v>0</v>
      </c>
    </row>
    <row r="530" spans="1:12" x14ac:dyDescent="0.3">
      <c r="A530" t="s">
        <v>1716</v>
      </c>
      <c r="B530" t="s">
        <v>525</v>
      </c>
      <c r="C530" t="s">
        <v>525</v>
      </c>
      <c r="D530" t="s">
        <v>859</v>
      </c>
      <c r="E530" t="s">
        <v>860</v>
      </c>
      <c r="F530">
        <v>0</v>
      </c>
      <c r="G530">
        <v>528</v>
      </c>
      <c r="H530">
        <f>IF(Table1[[#This Row],[my_ent_1]]=Table1[[#This Row],[their_ent_1]], 1, 0)</f>
        <v>1</v>
      </c>
      <c r="I530">
        <f>IF(Table1[[#This Row],[my_ent_2]]=Table1[[#This Row],[their_ent_2]], 1, 0)</f>
        <v>0</v>
      </c>
      <c r="J530">
        <f>IF(Table1[[#This Row],[same_1]]=1 &amp; Table1[[#This Row],[same_2]]=1, 1, 0)</f>
        <v>0</v>
      </c>
      <c r="K530">
        <f>IF(ISNUMBER(SEARCH(Table1[[#This Row],[their_ent_1]],Table1[[#This Row],[my_ent_1]])), 1, 0)</f>
        <v>1</v>
      </c>
      <c r="L530">
        <f>IF(ISNUMBER(SEARCH(Table1[[#This Row],[their_ent_2]],Table1[[#This Row],[my_ent_2]])), 1, 0)</f>
        <v>1</v>
      </c>
    </row>
    <row r="531" spans="1:12" x14ac:dyDescent="0.3">
      <c r="A531" t="s">
        <v>1717</v>
      </c>
      <c r="B531" t="s">
        <v>631</v>
      </c>
      <c r="C531" t="s">
        <v>94</v>
      </c>
      <c r="D531" t="s">
        <v>1718</v>
      </c>
      <c r="E531" t="s">
        <v>1719</v>
      </c>
      <c r="F531">
        <v>0</v>
      </c>
      <c r="G531">
        <v>529</v>
      </c>
      <c r="H531">
        <f>IF(Table1[[#This Row],[my_ent_1]]=Table1[[#This Row],[their_ent_1]], 1, 0)</f>
        <v>0</v>
      </c>
      <c r="I531">
        <f>IF(Table1[[#This Row],[my_ent_2]]=Table1[[#This Row],[their_ent_2]], 1, 0)</f>
        <v>0</v>
      </c>
      <c r="J531">
        <f>IF(Table1[[#This Row],[same_1]]=1 &amp; Table1[[#This Row],[same_2]]=1, 1, 0)</f>
        <v>0</v>
      </c>
      <c r="K531">
        <f>IF(ISNUMBER(SEARCH(Table1[[#This Row],[their_ent_1]],Table1[[#This Row],[my_ent_1]])), 1, 0)</f>
        <v>1</v>
      </c>
      <c r="L531">
        <f>IF(ISNUMBER(SEARCH(Table1[[#This Row],[their_ent_2]],Table1[[#This Row],[my_ent_2]])), 1, 0)</f>
        <v>1</v>
      </c>
    </row>
    <row r="532" spans="1:12" x14ac:dyDescent="0.3">
      <c r="A532" t="s">
        <v>1720</v>
      </c>
      <c r="B532" t="s">
        <v>1721</v>
      </c>
      <c r="C532" t="s">
        <v>1722</v>
      </c>
      <c r="D532" t="s">
        <v>1723</v>
      </c>
      <c r="E532" t="s">
        <v>1723</v>
      </c>
      <c r="F532">
        <v>0</v>
      </c>
      <c r="G532">
        <v>530</v>
      </c>
      <c r="H532">
        <f>IF(Table1[[#This Row],[my_ent_1]]=Table1[[#This Row],[their_ent_1]], 1, 0)</f>
        <v>0</v>
      </c>
      <c r="I532">
        <f>IF(Table1[[#This Row],[my_ent_2]]=Table1[[#This Row],[their_ent_2]], 1, 0)</f>
        <v>1</v>
      </c>
      <c r="J532">
        <f>IF(Table1[[#This Row],[same_1]]=1 &amp; Table1[[#This Row],[same_2]]=1, 1, 0)</f>
        <v>0</v>
      </c>
      <c r="K532">
        <f>IF(ISNUMBER(SEARCH(Table1[[#This Row],[their_ent_1]],Table1[[#This Row],[my_ent_1]])), 1, 0)</f>
        <v>1</v>
      </c>
      <c r="L532">
        <f>IF(ISNUMBER(SEARCH(Table1[[#This Row],[their_ent_2]],Table1[[#This Row],[my_ent_2]])), 1, 0)</f>
        <v>1</v>
      </c>
    </row>
    <row r="533" spans="1:12" hidden="1" x14ac:dyDescent="0.3">
      <c r="A533" t="s">
        <v>1724</v>
      </c>
      <c r="B533" t="s">
        <v>1725</v>
      </c>
      <c r="C533" t="s">
        <v>1726</v>
      </c>
      <c r="D533" t="s">
        <v>1425</v>
      </c>
      <c r="E533" t="s">
        <v>1727</v>
      </c>
      <c r="F533">
        <v>0</v>
      </c>
      <c r="G533">
        <v>531</v>
      </c>
      <c r="H533">
        <f>IF(Table1[[#This Row],[my_ent_1]]=Table1[[#This Row],[their_ent_1]], 1, 0)</f>
        <v>0</v>
      </c>
      <c r="I533">
        <f>IF(Table1[[#This Row],[my_ent_2]]=Table1[[#This Row],[their_ent_2]], 1, 0)</f>
        <v>0</v>
      </c>
      <c r="J533">
        <f>IF(Table1[[#This Row],[same_1]]=1 &amp; Table1[[#This Row],[same_2]]=1, 1, 0)</f>
        <v>0</v>
      </c>
      <c r="K533">
        <f>IF(ISNUMBER(SEARCH(Table1[[#This Row],[their_ent_1]],Table1[[#This Row],[my_ent_1]])), 1, 0)</f>
        <v>0</v>
      </c>
      <c r="L533">
        <f>IF(ISNUMBER(SEARCH(Table1[[#This Row],[their_ent_2]],Table1[[#This Row],[my_ent_2]])), 1, 0)</f>
        <v>0</v>
      </c>
    </row>
    <row r="534" spans="1:12" hidden="1" x14ac:dyDescent="0.3">
      <c r="A534" t="s">
        <v>1728</v>
      </c>
      <c r="B534" t="s">
        <v>58</v>
      </c>
      <c r="C534" t="s">
        <v>58</v>
      </c>
      <c r="D534" t="s">
        <v>470</v>
      </c>
      <c r="E534" t="s">
        <v>472</v>
      </c>
      <c r="F534">
        <v>0</v>
      </c>
      <c r="G534">
        <v>532</v>
      </c>
      <c r="H534">
        <f>IF(Table1[[#This Row],[my_ent_1]]=Table1[[#This Row],[their_ent_1]], 1, 0)</f>
        <v>1</v>
      </c>
      <c r="I534">
        <f>IF(Table1[[#This Row],[my_ent_2]]=Table1[[#This Row],[their_ent_2]], 1, 0)</f>
        <v>0</v>
      </c>
      <c r="J534">
        <f>IF(Table1[[#This Row],[same_1]]=1 &amp; Table1[[#This Row],[same_2]]=1, 1, 0)</f>
        <v>0</v>
      </c>
      <c r="K534">
        <f>IF(ISNUMBER(SEARCH(Table1[[#This Row],[their_ent_1]],Table1[[#This Row],[my_ent_1]])), 1, 0)</f>
        <v>1</v>
      </c>
      <c r="L534">
        <f>IF(ISNUMBER(SEARCH(Table1[[#This Row],[their_ent_2]],Table1[[#This Row],[my_ent_2]])), 1, 0)</f>
        <v>0</v>
      </c>
    </row>
    <row r="535" spans="1:12" x14ac:dyDescent="0.3">
      <c r="A535" t="s">
        <v>1729</v>
      </c>
      <c r="B535" t="s">
        <v>1730</v>
      </c>
      <c r="C535" t="s">
        <v>1730</v>
      </c>
      <c r="D535" t="s">
        <v>1731</v>
      </c>
      <c r="E535" t="s">
        <v>1732</v>
      </c>
      <c r="F535">
        <v>0</v>
      </c>
      <c r="G535">
        <v>533</v>
      </c>
      <c r="H535">
        <f>IF(Table1[[#This Row],[my_ent_1]]=Table1[[#This Row],[their_ent_1]], 1, 0)</f>
        <v>1</v>
      </c>
      <c r="I535">
        <f>IF(Table1[[#This Row],[my_ent_2]]=Table1[[#This Row],[their_ent_2]], 1, 0)</f>
        <v>0</v>
      </c>
      <c r="J535">
        <f>IF(Table1[[#This Row],[same_1]]=1 &amp; Table1[[#This Row],[same_2]]=1, 1, 0)</f>
        <v>0</v>
      </c>
      <c r="K535">
        <f>IF(ISNUMBER(SEARCH(Table1[[#This Row],[their_ent_1]],Table1[[#This Row],[my_ent_1]])), 1, 0)</f>
        <v>1</v>
      </c>
      <c r="L535">
        <f>IF(ISNUMBER(SEARCH(Table1[[#This Row],[their_ent_2]],Table1[[#This Row],[my_ent_2]])), 1, 0)</f>
        <v>1</v>
      </c>
    </row>
    <row r="536" spans="1:12" x14ac:dyDescent="0.3">
      <c r="A536" t="s">
        <v>1733</v>
      </c>
      <c r="B536" t="s">
        <v>1734</v>
      </c>
      <c r="C536" t="s">
        <v>1734</v>
      </c>
      <c r="D536" t="s">
        <v>1735</v>
      </c>
      <c r="E536" t="s">
        <v>1736</v>
      </c>
      <c r="F536">
        <v>0</v>
      </c>
      <c r="G536">
        <v>534</v>
      </c>
      <c r="H536">
        <f>IF(Table1[[#This Row],[my_ent_1]]=Table1[[#This Row],[their_ent_1]], 1, 0)</f>
        <v>1</v>
      </c>
      <c r="I536">
        <f>IF(Table1[[#This Row],[my_ent_2]]=Table1[[#This Row],[their_ent_2]], 1, 0)</f>
        <v>0</v>
      </c>
      <c r="J536">
        <f>IF(Table1[[#This Row],[same_1]]=1 &amp; Table1[[#This Row],[same_2]]=1, 1, 0)</f>
        <v>0</v>
      </c>
      <c r="K536">
        <f>IF(ISNUMBER(SEARCH(Table1[[#This Row],[their_ent_1]],Table1[[#This Row],[my_ent_1]])), 1, 0)</f>
        <v>1</v>
      </c>
      <c r="L536">
        <f>IF(ISNUMBER(SEARCH(Table1[[#This Row],[their_ent_2]],Table1[[#This Row],[my_ent_2]])), 1, 0)</f>
        <v>1</v>
      </c>
    </row>
    <row r="537" spans="1:12" hidden="1" x14ac:dyDescent="0.3">
      <c r="A537" t="s">
        <v>1737</v>
      </c>
      <c r="B537" t="s">
        <v>9</v>
      </c>
      <c r="C537" t="s">
        <v>36</v>
      </c>
      <c r="D537" t="s">
        <v>1738</v>
      </c>
      <c r="E537" t="s">
        <v>1739</v>
      </c>
      <c r="F537">
        <v>0</v>
      </c>
      <c r="G537">
        <v>535</v>
      </c>
      <c r="H537">
        <f>IF(Table1[[#This Row],[my_ent_1]]=Table1[[#This Row],[their_ent_1]], 1, 0)</f>
        <v>0</v>
      </c>
      <c r="I537">
        <f>IF(Table1[[#This Row],[my_ent_2]]=Table1[[#This Row],[their_ent_2]], 1, 0)</f>
        <v>0</v>
      </c>
      <c r="J537">
        <f>IF(Table1[[#This Row],[same_1]]=1 &amp; Table1[[#This Row],[same_2]]=1, 1, 0)</f>
        <v>0</v>
      </c>
      <c r="K537">
        <f>IF(ISNUMBER(SEARCH(Table1[[#This Row],[their_ent_1]],Table1[[#This Row],[my_ent_1]])), 1, 0)</f>
        <v>0</v>
      </c>
      <c r="L537">
        <f>IF(ISNUMBER(SEARCH(Table1[[#This Row],[their_ent_2]],Table1[[#This Row],[my_ent_2]])), 1, 0)</f>
        <v>0</v>
      </c>
    </row>
    <row r="538" spans="1:12" hidden="1" x14ac:dyDescent="0.3">
      <c r="A538" t="s">
        <v>1740</v>
      </c>
      <c r="B538" t="s">
        <v>1741</v>
      </c>
      <c r="C538" t="s">
        <v>1742</v>
      </c>
      <c r="D538" t="s">
        <v>1743</v>
      </c>
      <c r="E538" t="s">
        <v>1674</v>
      </c>
      <c r="F538">
        <v>0</v>
      </c>
      <c r="G538">
        <v>536</v>
      </c>
      <c r="H538">
        <f>IF(Table1[[#This Row],[my_ent_1]]=Table1[[#This Row],[their_ent_1]], 1, 0)</f>
        <v>0</v>
      </c>
      <c r="I538">
        <f>IF(Table1[[#This Row],[my_ent_2]]=Table1[[#This Row],[their_ent_2]], 1, 0)</f>
        <v>0</v>
      </c>
      <c r="J538">
        <f>IF(Table1[[#This Row],[same_1]]=1 &amp; Table1[[#This Row],[same_2]]=1, 1, 0)</f>
        <v>0</v>
      </c>
      <c r="K538">
        <f>IF(ISNUMBER(SEARCH(Table1[[#This Row],[their_ent_1]],Table1[[#This Row],[my_ent_1]])), 1, 0)</f>
        <v>1</v>
      </c>
      <c r="L538">
        <f>IF(ISNUMBER(SEARCH(Table1[[#This Row],[their_ent_2]],Table1[[#This Row],[my_ent_2]])), 1, 0)</f>
        <v>0</v>
      </c>
    </row>
    <row r="539" spans="1:12" hidden="1" x14ac:dyDescent="0.3">
      <c r="A539" t="s">
        <v>1744</v>
      </c>
      <c r="B539" t="s">
        <v>1745</v>
      </c>
      <c r="C539" t="s">
        <v>1746</v>
      </c>
      <c r="D539" t="s">
        <v>1625</v>
      </c>
      <c r="E539" t="s">
        <v>1747</v>
      </c>
      <c r="F539">
        <v>0</v>
      </c>
      <c r="G539">
        <v>537</v>
      </c>
      <c r="H539">
        <f>IF(Table1[[#This Row],[my_ent_1]]=Table1[[#This Row],[their_ent_1]], 1, 0)</f>
        <v>0</v>
      </c>
      <c r="I539">
        <f>IF(Table1[[#This Row],[my_ent_2]]=Table1[[#This Row],[their_ent_2]], 1, 0)</f>
        <v>0</v>
      </c>
      <c r="J539">
        <f>IF(Table1[[#This Row],[same_1]]=1 &amp; Table1[[#This Row],[same_2]]=1, 1, 0)</f>
        <v>0</v>
      </c>
      <c r="K539">
        <f>IF(ISNUMBER(SEARCH(Table1[[#This Row],[their_ent_1]],Table1[[#This Row],[my_ent_1]])), 1, 0)</f>
        <v>1</v>
      </c>
      <c r="L539">
        <f>IF(ISNUMBER(SEARCH(Table1[[#This Row],[their_ent_2]],Table1[[#This Row],[my_ent_2]])), 1, 0)</f>
        <v>0</v>
      </c>
    </row>
    <row r="540" spans="1:12" hidden="1" x14ac:dyDescent="0.3">
      <c r="A540" t="s">
        <v>1748</v>
      </c>
      <c r="B540" t="s">
        <v>200</v>
      </c>
      <c r="C540" t="s">
        <v>493</v>
      </c>
      <c r="D540" t="s">
        <v>493</v>
      </c>
      <c r="E540" t="s">
        <v>159</v>
      </c>
      <c r="F540">
        <v>0</v>
      </c>
      <c r="G540">
        <v>538</v>
      </c>
      <c r="H540">
        <f>IF(Table1[[#This Row],[my_ent_1]]=Table1[[#This Row],[their_ent_1]], 1, 0)</f>
        <v>0</v>
      </c>
      <c r="I540">
        <f>IF(Table1[[#This Row],[my_ent_2]]=Table1[[#This Row],[their_ent_2]], 1, 0)</f>
        <v>0</v>
      </c>
      <c r="J540">
        <f>IF(Table1[[#This Row],[same_1]]=1 &amp; Table1[[#This Row],[same_2]]=1, 1, 0)</f>
        <v>0</v>
      </c>
      <c r="K540">
        <f>IF(ISNUMBER(SEARCH(Table1[[#This Row],[their_ent_1]],Table1[[#This Row],[my_ent_1]])), 1, 0)</f>
        <v>0</v>
      </c>
      <c r="L540">
        <f>IF(ISNUMBER(SEARCH(Table1[[#This Row],[their_ent_2]],Table1[[#This Row],[my_ent_2]])), 1, 0)</f>
        <v>0</v>
      </c>
    </row>
    <row r="541" spans="1:12" x14ac:dyDescent="0.3">
      <c r="A541" t="s">
        <v>1749</v>
      </c>
      <c r="B541" t="s">
        <v>1137</v>
      </c>
      <c r="C541" t="s">
        <v>7</v>
      </c>
      <c r="D541" t="s">
        <v>266</v>
      </c>
      <c r="E541" t="s">
        <v>266</v>
      </c>
      <c r="F541">
        <v>0</v>
      </c>
      <c r="G541">
        <v>539</v>
      </c>
      <c r="H541">
        <f>IF(Table1[[#This Row],[my_ent_1]]=Table1[[#This Row],[their_ent_1]], 1, 0)</f>
        <v>0</v>
      </c>
      <c r="I541">
        <f>IF(Table1[[#This Row],[my_ent_2]]=Table1[[#This Row],[their_ent_2]], 1, 0)</f>
        <v>1</v>
      </c>
      <c r="J541">
        <f>IF(Table1[[#This Row],[same_1]]=1 &amp; Table1[[#This Row],[same_2]]=1, 1, 0)</f>
        <v>0</v>
      </c>
      <c r="K541">
        <f>IF(ISNUMBER(SEARCH(Table1[[#This Row],[their_ent_1]],Table1[[#This Row],[my_ent_1]])), 1, 0)</f>
        <v>1</v>
      </c>
      <c r="L541">
        <f>IF(ISNUMBER(SEARCH(Table1[[#This Row],[their_ent_2]],Table1[[#This Row],[my_ent_2]])), 1, 0)</f>
        <v>1</v>
      </c>
    </row>
    <row r="542" spans="1:12" x14ac:dyDescent="0.3">
      <c r="A542" t="s">
        <v>1750</v>
      </c>
      <c r="B542" t="s">
        <v>518</v>
      </c>
      <c r="C542" t="s">
        <v>382</v>
      </c>
      <c r="D542" t="s">
        <v>1751</v>
      </c>
      <c r="E542" t="s">
        <v>1752</v>
      </c>
      <c r="F542">
        <v>0</v>
      </c>
      <c r="G542">
        <v>540</v>
      </c>
      <c r="H542">
        <f>IF(Table1[[#This Row],[my_ent_1]]=Table1[[#This Row],[their_ent_1]], 1, 0)</f>
        <v>0</v>
      </c>
      <c r="I542">
        <f>IF(Table1[[#This Row],[my_ent_2]]=Table1[[#This Row],[their_ent_2]], 1, 0)</f>
        <v>0</v>
      </c>
      <c r="J542">
        <f>IF(Table1[[#This Row],[same_1]]=1 &amp; Table1[[#This Row],[same_2]]=1, 1, 0)</f>
        <v>0</v>
      </c>
      <c r="K542">
        <f>IF(ISNUMBER(SEARCH(Table1[[#This Row],[their_ent_1]],Table1[[#This Row],[my_ent_1]])), 1, 0)</f>
        <v>1</v>
      </c>
      <c r="L542">
        <f>IF(ISNUMBER(SEARCH(Table1[[#This Row],[their_ent_2]],Table1[[#This Row],[my_ent_2]])), 1, 0)</f>
        <v>1</v>
      </c>
    </row>
    <row r="543" spans="1:12" hidden="1" x14ac:dyDescent="0.3">
      <c r="A543" t="s">
        <v>1753</v>
      </c>
      <c r="B543" t="s">
        <v>7</v>
      </c>
      <c r="C543" t="s">
        <v>1273</v>
      </c>
      <c r="D543" t="s">
        <v>1754</v>
      </c>
      <c r="E543" t="s">
        <v>30</v>
      </c>
      <c r="F543">
        <v>0</v>
      </c>
      <c r="G543">
        <v>541</v>
      </c>
      <c r="H543">
        <f>IF(Table1[[#This Row],[my_ent_1]]=Table1[[#This Row],[their_ent_1]], 1, 0)</f>
        <v>0</v>
      </c>
      <c r="I543">
        <f>IF(Table1[[#This Row],[my_ent_2]]=Table1[[#This Row],[their_ent_2]], 1, 0)</f>
        <v>0</v>
      </c>
      <c r="J543">
        <f>IF(Table1[[#This Row],[same_1]]=1 &amp; Table1[[#This Row],[same_2]]=1, 1, 0)</f>
        <v>0</v>
      </c>
      <c r="K543">
        <f>IF(ISNUMBER(SEARCH(Table1[[#This Row],[their_ent_1]],Table1[[#This Row],[my_ent_1]])), 1, 0)</f>
        <v>0</v>
      </c>
      <c r="L543">
        <f>IF(ISNUMBER(SEARCH(Table1[[#This Row],[their_ent_2]],Table1[[#This Row],[my_ent_2]])), 1, 0)</f>
        <v>0</v>
      </c>
    </row>
    <row r="544" spans="1:12" x14ac:dyDescent="0.3">
      <c r="A544" t="s">
        <v>1755</v>
      </c>
      <c r="B544" t="s">
        <v>1756</v>
      </c>
      <c r="C544" t="s">
        <v>1757</v>
      </c>
      <c r="D544" t="s">
        <v>1758</v>
      </c>
      <c r="E544" t="s">
        <v>1758</v>
      </c>
      <c r="F544">
        <v>0</v>
      </c>
      <c r="G544">
        <v>542</v>
      </c>
      <c r="H544">
        <f>IF(Table1[[#This Row],[my_ent_1]]=Table1[[#This Row],[their_ent_1]], 1, 0)</f>
        <v>0</v>
      </c>
      <c r="I544">
        <f>IF(Table1[[#This Row],[my_ent_2]]=Table1[[#This Row],[their_ent_2]], 1, 0)</f>
        <v>1</v>
      </c>
      <c r="J544">
        <f>IF(Table1[[#This Row],[same_1]]=1 &amp; Table1[[#This Row],[same_2]]=1, 1, 0)</f>
        <v>0</v>
      </c>
      <c r="K544">
        <f>IF(ISNUMBER(SEARCH(Table1[[#This Row],[their_ent_1]],Table1[[#This Row],[my_ent_1]])), 1, 0)</f>
        <v>1</v>
      </c>
      <c r="L544">
        <f>IF(ISNUMBER(SEARCH(Table1[[#This Row],[their_ent_2]],Table1[[#This Row],[my_ent_2]])), 1, 0)</f>
        <v>1</v>
      </c>
    </row>
    <row r="545" spans="1:12" x14ac:dyDescent="0.3">
      <c r="A545" t="s">
        <v>1759</v>
      </c>
      <c r="B545" t="s">
        <v>401</v>
      </c>
      <c r="C545" t="s">
        <v>30</v>
      </c>
      <c r="D545" t="s">
        <v>137</v>
      </c>
      <c r="E545" t="s">
        <v>138</v>
      </c>
      <c r="F545">
        <v>0</v>
      </c>
      <c r="G545">
        <v>543</v>
      </c>
      <c r="H545">
        <f>IF(Table1[[#This Row],[my_ent_1]]=Table1[[#This Row],[their_ent_1]], 1, 0)</f>
        <v>0</v>
      </c>
      <c r="I545">
        <f>IF(Table1[[#This Row],[my_ent_2]]=Table1[[#This Row],[their_ent_2]], 1, 0)</f>
        <v>0</v>
      </c>
      <c r="J545">
        <f>IF(Table1[[#This Row],[same_1]]=1 &amp; Table1[[#This Row],[same_2]]=1, 1, 0)</f>
        <v>0</v>
      </c>
      <c r="K545">
        <f>IF(ISNUMBER(SEARCH(Table1[[#This Row],[their_ent_1]],Table1[[#This Row],[my_ent_1]])), 1, 0)</f>
        <v>1</v>
      </c>
      <c r="L545">
        <f>IF(ISNUMBER(SEARCH(Table1[[#This Row],[their_ent_2]],Table1[[#This Row],[my_ent_2]])), 1, 0)</f>
        <v>1</v>
      </c>
    </row>
    <row r="546" spans="1:12" hidden="1" x14ac:dyDescent="0.3">
      <c r="A546" t="s">
        <v>1760</v>
      </c>
      <c r="B546" t="s">
        <v>1761</v>
      </c>
      <c r="C546" t="s">
        <v>406</v>
      </c>
      <c r="D546" t="s">
        <v>267</v>
      </c>
      <c r="E546" t="s">
        <v>903</v>
      </c>
      <c r="F546">
        <v>0</v>
      </c>
      <c r="G546">
        <v>544</v>
      </c>
      <c r="H546">
        <f>IF(Table1[[#This Row],[my_ent_1]]=Table1[[#This Row],[their_ent_1]], 1, 0)</f>
        <v>0</v>
      </c>
      <c r="I546">
        <f>IF(Table1[[#This Row],[my_ent_2]]=Table1[[#This Row],[their_ent_2]], 1, 0)</f>
        <v>0</v>
      </c>
      <c r="J546">
        <f>IF(Table1[[#This Row],[same_1]]=1 &amp; Table1[[#This Row],[same_2]]=1, 1, 0)</f>
        <v>0</v>
      </c>
      <c r="K546">
        <f>IF(ISNUMBER(SEARCH(Table1[[#This Row],[their_ent_1]],Table1[[#This Row],[my_ent_1]])), 1, 0)</f>
        <v>0</v>
      </c>
      <c r="L546">
        <f>IF(ISNUMBER(SEARCH(Table1[[#This Row],[their_ent_2]],Table1[[#This Row],[my_ent_2]])), 1, 0)</f>
        <v>0</v>
      </c>
    </row>
    <row r="547" spans="1:12" hidden="1" x14ac:dyDescent="0.3">
      <c r="A547" t="s">
        <v>1762</v>
      </c>
      <c r="B547" t="s">
        <v>1763</v>
      </c>
      <c r="C547" t="s">
        <v>1764</v>
      </c>
      <c r="D547" t="s">
        <v>1765</v>
      </c>
      <c r="E547" t="s">
        <v>1765</v>
      </c>
      <c r="F547">
        <v>0</v>
      </c>
      <c r="G547">
        <v>545</v>
      </c>
      <c r="H547">
        <f>IF(Table1[[#This Row],[my_ent_1]]=Table1[[#This Row],[their_ent_1]], 1, 0)</f>
        <v>0</v>
      </c>
      <c r="I547">
        <f>IF(Table1[[#This Row],[my_ent_2]]=Table1[[#This Row],[their_ent_2]], 1, 0)</f>
        <v>1</v>
      </c>
      <c r="J547">
        <f>IF(Table1[[#This Row],[same_1]]=1 &amp; Table1[[#This Row],[same_2]]=1, 1, 0)</f>
        <v>0</v>
      </c>
      <c r="K547">
        <f>IF(ISNUMBER(SEARCH(Table1[[#This Row],[their_ent_1]],Table1[[#This Row],[my_ent_1]])), 1, 0)</f>
        <v>0</v>
      </c>
      <c r="L547">
        <f>IF(ISNUMBER(SEARCH(Table1[[#This Row],[their_ent_2]],Table1[[#This Row],[my_ent_2]])), 1, 0)</f>
        <v>1</v>
      </c>
    </row>
    <row r="548" spans="1:12" hidden="1" x14ac:dyDescent="0.3">
      <c r="A548" t="s">
        <v>1766</v>
      </c>
      <c r="B548" t="s">
        <v>1767</v>
      </c>
      <c r="C548" t="s">
        <v>1767</v>
      </c>
      <c r="D548" t="s">
        <v>1768</v>
      </c>
      <c r="E548" t="s">
        <v>1769</v>
      </c>
      <c r="F548">
        <v>0</v>
      </c>
      <c r="G548">
        <v>546</v>
      </c>
      <c r="H548">
        <f>IF(Table1[[#This Row],[my_ent_1]]=Table1[[#This Row],[their_ent_1]], 1, 0)</f>
        <v>1</v>
      </c>
      <c r="I548">
        <f>IF(Table1[[#This Row],[my_ent_2]]=Table1[[#This Row],[their_ent_2]], 1, 0)</f>
        <v>0</v>
      </c>
      <c r="J548">
        <f>IF(Table1[[#This Row],[same_1]]=1 &amp; Table1[[#This Row],[same_2]]=1, 1, 0)</f>
        <v>0</v>
      </c>
      <c r="K548">
        <f>IF(ISNUMBER(SEARCH(Table1[[#This Row],[their_ent_1]],Table1[[#This Row],[my_ent_1]])), 1, 0)</f>
        <v>1</v>
      </c>
      <c r="L548">
        <f>IF(ISNUMBER(SEARCH(Table1[[#This Row],[their_ent_2]],Table1[[#This Row],[my_ent_2]])), 1, 0)</f>
        <v>0</v>
      </c>
    </row>
    <row r="549" spans="1:12" hidden="1" x14ac:dyDescent="0.3">
      <c r="A549" t="s">
        <v>1770</v>
      </c>
      <c r="B549" t="s">
        <v>1771</v>
      </c>
      <c r="C549" t="s">
        <v>20</v>
      </c>
      <c r="D549" t="s">
        <v>1772</v>
      </c>
      <c r="E549" t="s">
        <v>1773</v>
      </c>
      <c r="F549">
        <v>0</v>
      </c>
      <c r="G549">
        <v>547</v>
      </c>
      <c r="H549">
        <f>IF(Table1[[#This Row],[my_ent_1]]=Table1[[#This Row],[their_ent_1]], 1, 0)</f>
        <v>0</v>
      </c>
      <c r="I549">
        <f>IF(Table1[[#This Row],[my_ent_2]]=Table1[[#This Row],[their_ent_2]], 1, 0)</f>
        <v>0</v>
      </c>
      <c r="J549">
        <f>IF(Table1[[#This Row],[same_1]]=1 &amp; Table1[[#This Row],[same_2]]=1, 1, 0)</f>
        <v>0</v>
      </c>
      <c r="K549">
        <f>IF(ISNUMBER(SEARCH(Table1[[#This Row],[their_ent_1]],Table1[[#This Row],[my_ent_1]])), 1, 0)</f>
        <v>0</v>
      </c>
      <c r="L549">
        <f>IF(ISNUMBER(SEARCH(Table1[[#This Row],[their_ent_2]],Table1[[#This Row],[my_ent_2]])), 1, 0)</f>
        <v>0</v>
      </c>
    </row>
    <row r="550" spans="1:12" hidden="1" x14ac:dyDescent="0.3">
      <c r="A550" t="s">
        <v>1774</v>
      </c>
      <c r="B550" t="s">
        <v>51</v>
      </c>
      <c r="C550" t="s">
        <v>1775</v>
      </c>
      <c r="D550" t="s">
        <v>1776</v>
      </c>
      <c r="E550" t="s">
        <v>1776</v>
      </c>
      <c r="F550">
        <v>0</v>
      </c>
      <c r="G550">
        <v>548</v>
      </c>
      <c r="H550">
        <f>IF(Table1[[#This Row],[my_ent_1]]=Table1[[#This Row],[their_ent_1]], 1, 0)</f>
        <v>0</v>
      </c>
      <c r="I550">
        <f>IF(Table1[[#This Row],[my_ent_2]]=Table1[[#This Row],[their_ent_2]], 1, 0)</f>
        <v>1</v>
      </c>
      <c r="J550">
        <f>IF(Table1[[#This Row],[same_1]]=1 &amp; Table1[[#This Row],[same_2]]=1, 1, 0)</f>
        <v>0</v>
      </c>
      <c r="K550">
        <f>IF(ISNUMBER(SEARCH(Table1[[#This Row],[their_ent_1]],Table1[[#This Row],[my_ent_1]])), 1, 0)</f>
        <v>0</v>
      </c>
      <c r="L550">
        <f>IF(ISNUMBER(SEARCH(Table1[[#This Row],[their_ent_2]],Table1[[#This Row],[my_ent_2]])), 1, 0)</f>
        <v>1</v>
      </c>
    </row>
    <row r="551" spans="1:12" x14ac:dyDescent="0.3">
      <c r="A551" t="s">
        <v>1777</v>
      </c>
      <c r="B551" t="s">
        <v>1405</v>
      </c>
      <c r="C551" t="s">
        <v>1405</v>
      </c>
      <c r="D551" t="s">
        <v>1778</v>
      </c>
      <c r="E551" t="s">
        <v>1779</v>
      </c>
      <c r="F551">
        <v>0</v>
      </c>
      <c r="G551">
        <v>549</v>
      </c>
      <c r="H551">
        <f>IF(Table1[[#This Row],[my_ent_1]]=Table1[[#This Row],[their_ent_1]], 1, 0)</f>
        <v>1</v>
      </c>
      <c r="I551">
        <f>IF(Table1[[#This Row],[my_ent_2]]=Table1[[#This Row],[their_ent_2]], 1, 0)</f>
        <v>0</v>
      </c>
      <c r="J551">
        <f>IF(Table1[[#This Row],[same_1]]=1 &amp; Table1[[#This Row],[same_2]]=1, 1, 0)</f>
        <v>0</v>
      </c>
      <c r="K551">
        <f>IF(ISNUMBER(SEARCH(Table1[[#This Row],[their_ent_1]],Table1[[#This Row],[my_ent_1]])), 1, 0)</f>
        <v>1</v>
      </c>
      <c r="L551">
        <f>IF(ISNUMBER(SEARCH(Table1[[#This Row],[their_ent_2]],Table1[[#This Row],[my_ent_2]])), 1, 0)</f>
        <v>1</v>
      </c>
    </row>
    <row r="552" spans="1:12" hidden="1" x14ac:dyDescent="0.3">
      <c r="A552" t="s">
        <v>1780</v>
      </c>
      <c r="B552" t="s">
        <v>183</v>
      </c>
      <c r="C552" t="s">
        <v>183</v>
      </c>
      <c r="D552" t="s">
        <v>54</v>
      </c>
      <c r="E552" t="s">
        <v>98</v>
      </c>
      <c r="F552">
        <v>0</v>
      </c>
      <c r="G552">
        <v>550</v>
      </c>
      <c r="H552">
        <f>IF(Table1[[#This Row],[my_ent_1]]=Table1[[#This Row],[their_ent_1]], 1, 0)</f>
        <v>1</v>
      </c>
      <c r="I552">
        <f>IF(Table1[[#This Row],[my_ent_2]]=Table1[[#This Row],[their_ent_2]], 1, 0)</f>
        <v>0</v>
      </c>
      <c r="J552">
        <f>IF(Table1[[#This Row],[same_1]]=1 &amp; Table1[[#This Row],[same_2]]=1, 1, 0)</f>
        <v>0</v>
      </c>
      <c r="K552">
        <f>IF(ISNUMBER(SEARCH(Table1[[#This Row],[their_ent_1]],Table1[[#This Row],[my_ent_1]])), 1, 0)</f>
        <v>1</v>
      </c>
      <c r="L552">
        <f>IF(ISNUMBER(SEARCH(Table1[[#This Row],[their_ent_2]],Table1[[#This Row],[my_ent_2]])), 1, 0)</f>
        <v>0</v>
      </c>
    </row>
    <row r="553" spans="1:12" hidden="1" x14ac:dyDescent="0.3">
      <c r="A553" t="s">
        <v>1781</v>
      </c>
      <c r="B553" t="s">
        <v>7</v>
      </c>
      <c r="C553" t="s">
        <v>683</v>
      </c>
      <c r="D553" t="s">
        <v>73</v>
      </c>
      <c r="E553" t="s">
        <v>1178</v>
      </c>
      <c r="F553">
        <v>0</v>
      </c>
      <c r="G553">
        <v>551</v>
      </c>
      <c r="H553">
        <f>IF(Table1[[#This Row],[my_ent_1]]=Table1[[#This Row],[their_ent_1]], 1, 0)</f>
        <v>0</v>
      </c>
      <c r="I553">
        <f>IF(Table1[[#This Row],[my_ent_2]]=Table1[[#This Row],[their_ent_2]], 1, 0)</f>
        <v>0</v>
      </c>
      <c r="J553">
        <f>IF(Table1[[#This Row],[same_1]]=1 &amp; Table1[[#This Row],[same_2]]=1, 1, 0)</f>
        <v>0</v>
      </c>
      <c r="K553">
        <f>IF(ISNUMBER(SEARCH(Table1[[#This Row],[their_ent_1]],Table1[[#This Row],[my_ent_1]])), 1, 0)</f>
        <v>0</v>
      </c>
      <c r="L553">
        <f>IF(ISNUMBER(SEARCH(Table1[[#This Row],[their_ent_2]],Table1[[#This Row],[my_ent_2]])), 1, 0)</f>
        <v>0</v>
      </c>
    </row>
    <row r="554" spans="1:12" hidden="1" x14ac:dyDescent="0.3">
      <c r="A554" t="s">
        <v>1782</v>
      </c>
      <c r="B554" t="s">
        <v>1783</v>
      </c>
      <c r="C554" t="s">
        <v>1784</v>
      </c>
      <c r="D554" t="s">
        <v>1785</v>
      </c>
      <c r="E554" t="s">
        <v>1786</v>
      </c>
      <c r="F554">
        <v>0</v>
      </c>
      <c r="G554">
        <v>552</v>
      </c>
      <c r="H554">
        <f>IF(Table1[[#This Row],[my_ent_1]]=Table1[[#This Row],[their_ent_1]], 1, 0)</f>
        <v>0</v>
      </c>
      <c r="I554">
        <f>IF(Table1[[#This Row],[my_ent_2]]=Table1[[#This Row],[their_ent_2]], 1, 0)</f>
        <v>0</v>
      </c>
      <c r="J554">
        <f>IF(Table1[[#This Row],[same_1]]=1 &amp; Table1[[#This Row],[same_2]]=1, 1, 0)</f>
        <v>0</v>
      </c>
      <c r="K554">
        <f>IF(ISNUMBER(SEARCH(Table1[[#This Row],[their_ent_1]],Table1[[#This Row],[my_ent_1]])), 1, 0)</f>
        <v>0</v>
      </c>
      <c r="L554">
        <f>IF(ISNUMBER(SEARCH(Table1[[#This Row],[their_ent_2]],Table1[[#This Row],[my_ent_2]])), 1, 0)</f>
        <v>0</v>
      </c>
    </row>
    <row r="555" spans="1:12" hidden="1" x14ac:dyDescent="0.3">
      <c r="A555" t="s">
        <v>1787</v>
      </c>
      <c r="B555" t="s">
        <v>1788</v>
      </c>
      <c r="C555" t="s">
        <v>1788</v>
      </c>
      <c r="D555" t="s">
        <v>65</v>
      </c>
      <c r="E555" t="s">
        <v>1789</v>
      </c>
      <c r="F555">
        <v>0</v>
      </c>
      <c r="G555">
        <v>553</v>
      </c>
      <c r="H555">
        <f>IF(Table1[[#This Row],[my_ent_1]]=Table1[[#This Row],[their_ent_1]], 1, 0)</f>
        <v>1</v>
      </c>
      <c r="I555">
        <f>IF(Table1[[#This Row],[my_ent_2]]=Table1[[#This Row],[their_ent_2]], 1, 0)</f>
        <v>0</v>
      </c>
      <c r="J555">
        <f>IF(Table1[[#This Row],[same_1]]=1 &amp; Table1[[#This Row],[same_2]]=1, 1, 0)</f>
        <v>0</v>
      </c>
      <c r="K555">
        <f>IF(ISNUMBER(SEARCH(Table1[[#This Row],[their_ent_1]],Table1[[#This Row],[my_ent_1]])), 1, 0)</f>
        <v>1</v>
      </c>
      <c r="L555">
        <f>IF(ISNUMBER(SEARCH(Table1[[#This Row],[their_ent_2]],Table1[[#This Row],[my_ent_2]])), 1, 0)</f>
        <v>0</v>
      </c>
    </row>
    <row r="556" spans="1:12" hidden="1" x14ac:dyDescent="0.3">
      <c r="A556" t="s">
        <v>1790</v>
      </c>
      <c r="B556" t="s">
        <v>1791</v>
      </c>
      <c r="C556" t="s">
        <v>1791</v>
      </c>
      <c r="D556" t="s">
        <v>1792</v>
      </c>
      <c r="E556" t="s">
        <v>73</v>
      </c>
      <c r="F556">
        <v>0</v>
      </c>
      <c r="G556">
        <v>554</v>
      </c>
      <c r="H556">
        <f>IF(Table1[[#This Row],[my_ent_1]]=Table1[[#This Row],[their_ent_1]], 1, 0)</f>
        <v>1</v>
      </c>
      <c r="I556">
        <f>IF(Table1[[#This Row],[my_ent_2]]=Table1[[#This Row],[their_ent_2]], 1, 0)</f>
        <v>0</v>
      </c>
      <c r="J556">
        <f>IF(Table1[[#This Row],[same_1]]=1 &amp; Table1[[#This Row],[same_2]]=1, 1, 0)</f>
        <v>0</v>
      </c>
      <c r="K556">
        <f>IF(ISNUMBER(SEARCH(Table1[[#This Row],[their_ent_1]],Table1[[#This Row],[my_ent_1]])), 1, 0)</f>
        <v>1</v>
      </c>
      <c r="L556">
        <f>IF(ISNUMBER(SEARCH(Table1[[#This Row],[their_ent_2]],Table1[[#This Row],[my_ent_2]])), 1, 0)</f>
        <v>0</v>
      </c>
    </row>
    <row r="557" spans="1:12" hidden="1" x14ac:dyDescent="0.3">
      <c r="A557" t="s">
        <v>1793</v>
      </c>
      <c r="B557" t="s">
        <v>15</v>
      </c>
      <c r="C557" t="s">
        <v>1794</v>
      </c>
      <c r="D557" t="s">
        <v>683</v>
      </c>
      <c r="E557" t="s">
        <v>1795</v>
      </c>
      <c r="F557">
        <v>0</v>
      </c>
      <c r="G557">
        <v>555</v>
      </c>
      <c r="H557">
        <f>IF(Table1[[#This Row],[my_ent_1]]=Table1[[#This Row],[their_ent_1]], 1, 0)</f>
        <v>0</v>
      </c>
      <c r="I557">
        <f>IF(Table1[[#This Row],[my_ent_2]]=Table1[[#This Row],[their_ent_2]], 1, 0)</f>
        <v>0</v>
      </c>
      <c r="J557">
        <f>IF(Table1[[#This Row],[same_1]]=1 &amp; Table1[[#This Row],[same_2]]=1, 1, 0)</f>
        <v>0</v>
      </c>
      <c r="K557">
        <f>IF(ISNUMBER(SEARCH(Table1[[#This Row],[their_ent_1]],Table1[[#This Row],[my_ent_1]])), 1, 0)</f>
        <v>0</v>
      </c>
      <c r="L557">
        <f>IF(ISNUMBER(SEARCH(Table1[[#This Row],[their_ent_2]],Table1[[#This Row],[my_ent_2]])), 1, 0)</f>
        <v>0</v>
      </c>
    </row>
    <row r="558" spans="1:12" hidden="1" x14ac:dyDescent="0.3">
      <c r="A558" t="s">
        <v>1796</v>
      </c>
      <c r="B558" t="s">
        <v>199</v>
      </c>
      <c r="C558" t="s">
        <v>1086</v>
      </c>
      <c r="D558" t="s">
        <v>1797</v>
      </c>
      <c r="E558" t="s">
        <v>1798</v>
      </c>
      <c r="F558">
        <v>0</v>
      </c>
      <c r="G558">
        <v>556</v>
      </c>
      <c r="H558">
        <f>IF(Table1[[#This Row],[my_ent_1]]=Table1[[#This Row],[their_ent_1]], 1, 0)</f>
        <v>0</v>
      </c>
      <c r="I558">
        <f>IF(Table1[[#This Row],[my_ent_2]]=Table1[[#This Row],[their_ent_2]], 1, 0)</f>
        <v>0</v>
      </c>
      <c r="J558">
        <f>IF(Table1[[#This Row],[same_1]]=1 &amp; Table1[[#This Row],[same_2]]=1, 1, 0)</f>
        <v>0</v>
      </c>
      <c r="K558">
        <f>IF(ISNUMBER(SEARCH(Table1[[#This Row],[their_ent_1]],Table1[[#This Row],[my_ent_1]])), 1, 0)</f>
        <v>0</v>
      </c>
      <c r="L558">
        <f>IF(ISNUMBER(SEARCH(Table1[[#This Row],[their_ent_2]],Table1[[#This Row],[my_ent_2]])), 1, 0)</f>
        <v>0</v>
      </c>
    </row>
    <row r="559" spans="1:12" hidden="1" x14ac:dyDescent="0.3">
      <c r="A559" t="s">
        <v>1799</v>
      </c>
      <c r="B559" t="s">
        <v>294</v>
      </c>
      <c r="C559" t="s">
        <v>294</v>
      </c>
      <c r="D559" t="s">
        <v>1800</v>
      </c>
      <c r="E559" t="s">
        <v>933</v>
      </c>
      <c r="F559">
        <v>0</v>
      </c>
      <c r="G559">
        <v>557</v>
      </c>
      <c r="H559">
        <f>IF(Table1[[#This Row],[my_ent_1]]=Table1[[#This Row],[their_ent_1]], 1, 0)</f>
        <v>1</v>
      </c>
      <c r="I559">
        <f>IF(Table1[[#This Row],[my_ent_2]]=Table1[[#This Row],[their_ent_2]], 1, 0)</f>
        <v>0</v>
      </c>
      <c r="J559">
        <f>IF(Table1[[#This Row],[same_1]]=1 &amp; Table1[[#This Row],[same_2]]=1, 1, 0)</f>
        <v>0</v>
      </c>
      <c r="K559">
        <f>IF(ISNUMBER(SEARCH(Table1[[#This Row],[their_ent_1]],Table1[[#This Row],[my_ent_1]])), 1, 0)</f>
        <v>1</v>
      </c>
      <c r="L559">
        <f>IF(ISNUMBER(SEARCH(Table1[[#This Row],[their_ent_2]],Table1[[#This Row],[my_ent_2]])), 1, 0)</f>
        <v>0</v>
      </c>
    </row>
    <row r="560" spans="1:12" hidden="1" x14ac:dyDescent="0.3">
      <c r="A560" t="s">
        <v>1801</v>
      </c>
      <c r="B560" t="s">
        <v>1532</v>
      </c>
      <c r="C560" t="s">
        <v>1532</v>
      </c>
      <c r="D560" t="s">
        <v>525</v>
      </c>
      <c r="E560" t="s">
        <v>7</v>
      </c>
      <c r="F560">
        <v>0</v>
      </c>
      <c r="G560">
        <v>558</v>
      </c>
      <c r="H560">
        <f>IF(Table1[[#This Row],[my_ent_1]]=Table1[[#This Row],[their_ent_1]], 1, 0)</f>
        <v>1</v>
      </c>
      <c r="I560">
        <f>IF(Table1[[#This Row],[my_ent_2]]=Table1[[#This Row],[their_ent_2]], 1, 0)</f>
        <v>0</v>
      </c>
      <c r="J560">
        <f>IF(Table1[[#This Row],[same_1]]=1 &amp; Table1[[#This Row],[same_2]]=1, 1, 0)</f>
        <v>0</v>
      </c>
      <c r="K560">
        <f>IF(ISNUMBER(SEARCH(Table1[[#This Row],[their_ent_1]],Table1[[#This Row],[my_ent_1]])), 1, 0)</f>
        <v>1</v>
      </c>
      <c r="L560">
        <f>IF(ISNUMBER(SEARCH(Table1[[#This Row],[their_ent_2]],Table1[[#This Row],[my_ent_2]])), 1, 0)</f>
        <v>0</v>
      </c>
    </row>
    <row r="561" spans="1:12" hidden="1" x14ac:dyDescent="0.3">
      <c r="A561" t="s">
        <v>1802</v>
      </c>
      <c r="B561" t="s">
        <v>1803</v>
      </c>
      <c r="C561" t="s">
        <v>236</v>
      </c>
      <c r="D561" t="s">
        <v>599</v>
      </c>
      <c r="E561" t="s">
        <v>915</v>
      </c>
      <c r="F561">
        <v>0</v>
      </c>
      <c r="G561">
        <v>559</v>
      </c>
      <c r="H561">
        <f>IF(Table1[[#This Row],[my_ent_1]]=Table1[[#This Row],[their_ent_1]], 1, 0)</f>
        <v>0</v>
      </c>
      <c r="I561">
        <f>IF(Table1[[#This Row],[my_ent_2]]=Table1[[#This Row],[their_ent_2]], 1, 0)</f>
        <v>0</v>
      </c>
      <c r="J561">
        <f>IF(Table1[[#This Row],[same_1]]=1 &amp; Table1[[#This Row],[same_2]]=1, 1, 0)</f>
        <v>0</v>
      </c>
      <c r="K561">
        <f>IF(ISNUMBER(SEARCH(Table1[[#This Row],[their_ent_1]],Table1[[#This Row],[my_ent_1]])), 1, 0)</f>
        <v>0</v>
      </c>
      <c r="L561">
        <f>IF(ISNUMBER(SEARCH(Table1[[#This Row],[their_ent_2]],Table1[[#This Row],[my_ent_2]])), 1, 0)</f>
        <v>0</v>
      </c>
    </row>
    <row r="562" spans="1:12" hidden="1" x14ac:dyDescent="0.3">
      <c r="A562" t="s">
        <v>1804</v>
      </c>
      <c r="B562" t="s">
        <v>1784</v>
      </c>
      <c r="C562" t="s">
        <v>688</v>
      </c>
      <c r="D562" t="s">
        <v>1805</v>
      </c>
      <c r="E562" t="s">
        <v>1784</v>
      </c>
      <c r="F562">
        <v>0</v>
      </c>
      <c r="G562">
        <v>560</v>
      </c>
      <c r="H562">
        <f>IF(Table1[[#This Row],[my_ent_1]]=Table1[[#This Row],[their_ent_1]], 1, 0)</f>
        <v>0</v>
      </c>
      <c r="I562">
        <f>IF(Table1[[#This Row],[my_ent_2]]=Table1[[#This Row],[their_ent_2]], 1, 0)</f>
        <v>0</v>
      </c>
      <c r="J562">
        <f>IF(Table1[[#This Row],[same_1]]=1 &amp; Table1[[#This Row],[same_2]]=1, 1, 0)</f>
        <v>0</v>
      </c>
      <c r="K562">
        <f>IF(ISNUMBER(SEARCH(Table1[[#This Row],[their_ent_1]],Table1[[#This Row],[my_ent_1]])), 1, 0)</f>
        <v>0</v>
      </c>
      <c r="L562">
        <f>IF(ISNUMBER(SEARCH(Table1[[#This Row],[their_ent_2]],Table1[[#This Row],[my_ent_2]])), 1, 0)</f>
        <v>0</v>
      </c>
    </row>
    <row r="563" spans="1:12" hidden="1" x14ac:dyDescent="0.3">
      <c r="A563" t="s">
        <v>1806</v>
      </c>
      <c r="B563" t="s">
        <v>1807</v>
      </c>
      <c r="C563" t="s">
        <v>1807</v>
      </c>
      <c r="D563" t="s">
        <v>103</v>
      </c>
      <c r="E563" t="s">
        <v>1808</v>
      </c>
      <c r="F563">
        <v>0</v>
      </c>
      <c r="G563">
        <v>561</v>
      </c>
      <c r="H563">
        <f>IF(Table1[[#This Row],[my_ent_1]]=Table1[[#This Row],[their_ent_1]], 1, 0)</f>
        <v>1</v>
      </c>
      <c r="I563">
        <f>IF(Table1[[#This Row],[my_ent_2]]=Table1[[#This Row],[their_ent_2]], 1, 0)</f>
        <v>0</v>
      </c>
      <c r="J563">
        <f>IF(Table1[[#This Row],[same_1]]=1 &amp; Table1[[#This Row],[same_2]]=1, 1, 0)</f>
        <v>0</v>
      </c>
      <c r="K563">
        <f>IF(ISNUMBER(SEARCH(Table1[[#This Row],[their_ent_1]],Table1[[#This Row],[my_ent_1]])), 1, 0)</f>
        <v>1</v>
      </c>
      <c r="L563">
        <f>IF(ISNUMBER(SEARCH(Table1[[#This Row],[their_ent_2]],Table1[[#This Row],[my_ent_2]])), 1, 0)</f>
        <v>0</v>
      </c>
    </row>
    <row r="564" spans="1:12" hidden="1" x14ac:dyDescent="0.3">
      <c r="A564" t="s">
        <v>1809</v>
      </c>
      <c r="B564" t="s">
        <v>1810</v>
      </c>
      <c r="C564" t="s">
        <v>1811</v>
      </c>
      <c r="D564" t="s">
        <v>1812</v>
      </c>
      <c r="E564" t="s">
        <v>1810</v>
      </c>
      <c r="F564">
        <v>0</v>
      </c>
      <c r="G564">
        <v>562</v>
      </c>
      <c r="H564">
        <f>IF(Table1[[#This Row],[my_ent_1]]=Table1[[#This Row],[their_ent_1]], 1, 0)</f>
        <v>0</v>
      </c>
      <c r="I564">
        <f>IF(Table1[[#This Row],[my_ent_2]]=Table1[[#This Row],[their_ent_2]], 1, 0)</f>
        <v>0</v>
      </c>
      <c r="J564">
        <f>IF(Table1[[#This Row],[same_1]]=1 &amp; Table1[[#This Row],[same_2]]=1, 1, 0)</f>
        <v>0</v>
      </c>
      <c r="K564">
        <f>IF(ISNUMBER(SEARCH(Table1[[#This Row],[their_ent_1]],Table1[[#This Row],[my_ent_1]])), 1, 0)</f>
        <v>0</v>
      </c>
      <c r="L564">
        <f>IF(ISNUMBER(SEARCH(Table1[[#This Row],[their_ent_2]],Table1[[#This Row],[my_ent_2]])), 1, 0)</f>
        <v>1</v>
      </c>
    </row>
    <row r="565" spans="1:12" x14ac:dyDescent="0.3">
      <c r="A565" t="s">
        <v>1813</v>
      </c>
      <c r="B565" t="s">
        <v>217</v>
      </c>
      <c r="C565" t="s">
        <v>217</v>
      </c>
      <c r="D565" t="s">
        <v>235</v>
      </c>
      <c r="E565" t="s">
        <v>1814</v>
      </c>
      <c r="F565">
        <v>0</v>
      </c>
      <c r="G565">
        <v>563</v>
      </c>
      <c r="H565">
        <f>IF(Table1[[#This Row],[my_ent_1]]=Table1[[#This Row],[their_ent_1]], 1, 0)</f>
        <v>1</v>
      </c>
      <c r="I565">
        <f>IF(Table1[[#This Row],[my_ent_2]]=Table1[[#This Row],[their_ent_2]], 1, 0)</f>
        <v>0</v>
      </c>
      <c r="J565">
        <f>IF(Table1[[#This Row],[same_1]]=1 &amp; Table1[[#This Row],[same_2]]=1, 1, 0)</f>
        <v>0</v>
      </c>
      <c r="K565">
        <f>IF(ISNUMBER(SEARCH(Table1[[#This Row],[their_ent_1]],Table1[[#This Row],[my_ent_1]])), 1, 0)</f>
        <v>1</v>
      </c>
      <c r="L565">
        <f>IF(ISNUMBER(SEARCH(Table1[[#This Row],[their_ent_2]],Table1[[#This Row],[my_ent_2]])), 1, 0)</f>
        <v>1</v>
      </c>
    </row>
    <row r="566" spans="1:12" hidden="1" x14ac:dyDescent="0.3">
      <c r="A566" t="s">
        <v>1815</v>
      </c>
      <c r="B566" t="s">
        <v>1816</v>
      </c>
      <c r="C566" t="s">
        <v>1817</v>
      </c>
      <c r="D566" t="s">
        <v>1284</v>
      </c>
      <c r="E566" t="s">
        <v>1284</v>
      </c>
      <c r="F566">
        <v>0</v>
      </c>
      <c r="G566">
        <v>564</v>
      </c>
      <c r="H566">
        <f>IF(Table1[[#This Row],[my_ent_1]]=Table1[[#This Row],[their_ent_1]], 1, 0)</f>
        <v>0</v>
      </c>
      <c r="I566">
        <f>IF(Table1[[#This Row],[my_ent_2]]=Table1[[#This Row],[their_ent_2]], 1, 0)</f>
        <v>1</v>
      </c>
      <c r="J566">
        <f>IF(Table1[[#This Row],[same_1]]=1 &amp; Table1[[#This Row],[same_2]]=1, 1, 0)</f>
        <v>0</v>
      </c>
      <c r="K566">
        <f>IF(ISNUMBER(SEARCH(Table1[[#This Row],[their_ent_1]],Table1[[#This Row],[my_ent_1]])), 1, 0)</f>
        <v>0</v>
      </c>
      <c r="L566">
        <f>IF(ISNUMBER(SEARCH(Table1[[#This Row],[their_ent_2]],Table1[[#This Row],[my_ent_2]])), 1, 0)</f>
        <v>1</v>
      </c>
    </row>
    <row r="567" spans="1:12" hidden="1" x14ac:dyDescent="0.3">
      <c r="A567" t="s">
        <v>1818</v>
      </c>
      <c r="B567" t="s">
        <v>1819</v>
      </c>
      <c r="C567" t="s">
        <v>1819</v>
      </c>
      <c r="D567" t="s">
        <v>54</v>
      </c>
      <c r="E567" t="s">
        <v>1820</v>
      </c>
      <c r="F567">
        <v>0</v>
      </c>
      <c r="G567">
        <v>565</v>
      </c>
      <c r="H567">
        <f>IF(Table1[[#This Row],[my_ent_1]]=Table1[[#This Row],[their_ent_1]], 1, 0)</f>
        <v>1</v>
      </c>
      <c r="I567">
        <f>IF(Table1[[#This Row],[my_ent_2]]=Table1[[#This Row],[their_ent_2]], 1, 0)</f>
        <v>0</v>
      </c>
      <c r="J567">
        <f>IF(Table1[[#This Row],[same_1]]=1 &amp; Table1[[#This Row],[same_2]]=1, 1, 0)</f>
        <v>0</v>
      </c>
      <c r="K567">
        <f>IF(ISNUMBER(SEARCH(Table1[[#This Row],[their_ent_1]],Table1[[#This Row],[my_ent_1]])), 1, 0)</f>
        <v>1</v>
      </c>
      <c r="L567">
        <f>IF(ISNUMBER(SEARCH(Table1[[#This Row],[their_ent_2]],Table1[[#This Row],[my_ent_2]])), 1, 0)</f>
        <v>0</v>
      </c>
    </row>
    <row r="568" spans="1:12" x14ac:dyDescent="0.3">
      <c r="A568" t="s">
        <v>1821</v>
      </c>
      <c r="B568" t="s">
        <v>1822</v>
      </c>
      <c r="C568" t="s">
        <v>599</v>
      </c>
      <c r="D568" t="s">
        <v>378</v>
      </c>
      <c r="E568" t="s">
        <v>378</v>
      </c>
      <c r="F568">
        <v>0</v>
      </c>
      <c r="G568">
        <v>566</v>
      </c>
      <c r="H568">
        <f>IF(Table1[[#This Row],[my_ent_1]]=Table1[[#This Row],[their_ent_1]], 1, 0)</f>
        <v>0</v>
      </c>
      <c r="I568">
        <f>IF(Table1[[#This Row],[my_ent_2]]=Table1[[#This Row],[their_ent_2]], 1, 0)</f>
        <v>1</v>
      </c>
      <c r="J568">
        <f>IF(Table1[[#This Row],[same_1]]=1 &amp; Table1[[#This Row],[same_2]]=1, 1, 0)</f>
        <v>0</v>
      </c>
      <c r="K568">
        <f>IF(ISNUMBER(SEARCH(Table1[[#This Row],[their_ent_1]],Table1[[#This Row],[my_ent_1]])), 1, 0)</f>
        <v>1</v>
      </c>
      <c r="L568">
        <f>IF(ISNUMBER(SEARCH(Table1[[#This Row],[their_ent_2]],Table1[[#This Row],[my_ent_2]])), 1, 0)</f>
        <v>1</v>
      </c>
    </row>
    <row r="569" spans="1:12" hidden="1" x14ac:dyDescent="0.3">
      <c r="A569" t="s">
        <v>1823</v>
      </c>
      <c r="B569" t="s">
        <v>910</v>
      </c>
      <c r="C569" t="s">
        <v>910</v>
      </c>
      <c r="D569" t="s">
        <v>7</v>
      </c>
      <c r="E569" t="s">
        <v>1789</v>
      </c>
      <c r="F569">
        <v>0</v>
      </c>
      <c r="G569">
        <v>567</v>
      </c>
      <c r="H569">
        <f>IF(Table1[[#This Row],[my_ent_1]]=Table1[[#This Row],[their_ent_1]], 1, 0)</f>
        <v>1</v>
      </c>
      <c r="I569">
        <f>IF(Table1[[#This Row],[my_ent_2]]=Table1[[#This Row],[their_ent_2]], 1, 0)</f>
        <v>0</v>
      </c>
      <c r="J569">
        <f>IF(Table1[[#This Row],[same_1]]=1 &amp; Table1[[#This Row],[same_2]]=1, 1, 0)</f>
        <v>0</v>
      </c>
      <c r="K569">
        <f>IF(ISNUMBER(SEARCH(Table1[[#This Row],[their_ent_1]],Table1[[#This Row],[my_ent_1]])), 1, 0)</f>
        <v>1</v>
      </c>
      <c r="L569">
        <f>IF(ISNUMBER(SEARCH(Table1[[#This Row],[their_ent_2]],Table1[[#This Row],[my_ent_2]])), 1, 0)</f>
        <v>0</v>
      </c>
    </row>
    <row r="570" spans="1:12" hidden="1" x14ac:dyDescent="0.3">
      <c r="A570" t="s">
        <v>1824</v>
      </c>
      <c r="B570" t="s">
        <v>1402</v>
      </c>
      <c r="C570" t="s">
        <v>1402</v>
      </c>
      <c r="D570" t="s">
        <v>299</v>
      </c>
      <c r="E570" t="s">
        <v>1825</v>
      </c>
      <c r="F570">
        <v>0</v>
      </c>
      <c r="G570">
        <v>568</v>
      </c>
      <c r="H570">
        <f>IF(Table1[[#This Row],[my_ent_1]]=Table1[[#This Row],[their_ent_1]], 1, 0)</f>
        <v>1</v>
      </c>
      <c r="I570">
        <f>IF(Table1[[#This Row],[my_ent_2]]=Table1[[#This Row],[their_ent_2]], 1, 0)</f>
        <v>0</v>
      </c>
      <c r="J570">
        <f>IF(Table1[[#This Row],[same_1]]=1 &amp; Table1[[#This Row],[same_2]]=1, 1, 0)</f>
        <v>0</v>
      </c>
      <c r="K570">
        <f>IF(ISNUMBER(SEARCH(Table1[[#This Row],[their_ent_1]],Table1[[#This Row],[my_ent_1]])), 1, 0)</f>
        <v>1</v>
      </c>
      <c r="L570">
        <f>IF(ISNUMBER(SEARCH(Table1[[#This Row],[their_ent_2]],Table1[[#This Row],[my_ent_2]])), 1, 0)</f>
        <v>0</v>
      </c>
    </row>
    <row r="571" spans="1:12" hidden="1" x14ac:dyDescent="0.3">
      <c r="A571" t="s">
        <v>1826</v>
      </c>
      <c r="B571" t="s">
        <v>58</v>
      </c>
      <c r="C571" t="s">
        <v>541</v>
      </c>
      <c r="D571" t="s">
        <v>1827</v>
      </c>
      <c r="E571" t="s">
        <v>1828</v>
      </c>
      <c r="F571">
        <v>0</v>
      </c>
      <c r="G571">
        <v>569</v>
      </c>
      <c r="H571">
        <f>IF(Table1[[#This Row],[my_ent_1]]=Table1[[#This Row],[their_ent_1]], 1, 0)</f>
        <v>0</v>
      </c>
      <c r="I571">
        <f>IF(Table1[[#This Row],[my_ent_2]]=Table1[[#This Row],[their_ent_2]], 1, 0)</f>
        <v>0</v>
      </c>
      <c r="J571">
        <f>IF(Table1[[#This Row],[same_1]]=1 &amp; Table1[[#This Row],[same_2]]=1, 1, 0)</f>
        <v>0</v>
      </c>
      <c r="K571">
        <f>IF(ISNUMBER(SEARCH(Table1[[#This Row],[their_ent_1]],Table1[[#This Row],[my_ent_1]])), 1, 0)</f>
        <v>0</v>
      </c>
      <c r="L571">
        <f>IF(ISNUMBER(SEARCH(Table1[[#This Row],[their_ent_2]],Table1[[#This Row],[my_ent_2]])), 1, 0)</f>
        <v>1</v>
      </c>
    </row>
    <row r="572" spans="1:12" hidden="1" x14ac:dyDescent="0.3">
      <c r="A572" t="s">
        <v>1829</v>
      </c>
      <c r="B572" t="s">
        <v>58</v>
      </c>
      <c r="C572" t="s">
        <v>578</v>
      </c>
      <c r="D572" t="s">
        <v>263</v>
      </c>
      <c r="E572" t="s">
        <v>31</v>
      </c>
      <c r="F572">
        <v>0</v>
      </c>
      <c r="G572">
        <v>570</v>
      </c>
      <c r="H572">
        <f>IF(Table1[[#This Row],[my_ent_1]]=Table1[[#This Row],[their_ent_1]], 1, 0)</f>
        <v>0</v>
      </c>
      <c r="I572">
        <f>IF(Table1[[#This Row],[my_ent_2]]=Table1[[#This Row],[their_ent_2]], 1, 0)</f>
        <v>0</v>
      </c>
      <c r="J572">
        <f>IF(Table1[[#This Row],[same_1]]=1 &amp; Table1[[#This Row],[same_2]]=1, 1, 0)</f>
        <v>0</v>
      </c>
      <c r="K572">
        <f>IF(ISNUMBER(SEARCH(Table1[[#This Row],[their_ent_1]],Table1[[#This Row],[my_ent_1]])), 1, 0)</f>
        <v>0</v>
      </c>
      <c r="L572">
        <f>IF(ISNUMBER(SEARCH(Table1[[#This Row],[their_ent_2]],Table1[[#This Row],[my_ent_2]])), 1, 0)</f>
        <v>0</v>
      </c>
    </row>
    <row r="573" spans="1:12" hidden="1" x14ac:dyDescent="0.3">
      <c r="A573" t="s">
        <v>1830</v>
      </c>
      <c r="B573" t="s">
        <v>15</v>
      </c>
      <c r="C573" t="s">
        <v>15</v>
      </c>
      <c r="D573" t="s">
        <v>28</v>
      </c>
      <c r="E573" t="s">
        <v>611</v>
      </c>
      <c r="F573">
        <v>0</v>
      </c>
      <c r="G573">
        <v>571</v>
      </c>
      <c r="H573">
        <f>IF(Table1[[#This Row],[my_ent_1]]=Table1[[#This Row],[their_ent_1]], 1, 0)</f>
        <v>1</v>
      </c>
      <c r="I573">
        <f>IF(Table1[[#This Row],[my_ent_2]]=Table1[[#This Row],[their_ent_2]], 1, 0)</f>
        <v>0</v>
      </c>
      <c r="J573">
        <f>IF(Table1[[#This Row],[same_1]]=1 &amp; Table1[[#This Row],[same_2]]=1, 1, 0)</f>
        <v>0</v>
      </c>
      <c r="K573">
        <f>IF(ISNUMBER(SEARCH(Table1[[#This Row],[their_ent_1]],Table1[[#This Row],[my_ent_1]])), 1, 0)</f>
        <v>1</v>
      </c>
      <c r="L573">
        <f>IF(ISNUMBER(SEARCH(Table1[[#This Row],[their_ent_2]],Table1[[#This Row],[my_ent_2]])), 1, 0)</f>
        <v>0</v>
      </c>
    </row>
    <row r="574" spans="1:12" hidden="1" x14ac:dyDescent="0.3">
      <c r="A574" t="s">
        <v>1831</v>
      </c>
      <c r="B574" t="s">
        <v>34</v>
      </c>
      <c r="C574" t="s">
        <v>34</v>
      </c>
      <c r="D574" t="s">
        <v>7</v>
      </c>
      <c r="E574" t="s">
        <v>165</v>
      </c>
      <c r="F574">
        <v>0</v>
      </c>
      <c r="G574">
        <v>572</v>
      </c>
      <c r="H574">
        <f>IF(Table1[[#This Row],[my_ent_1]]=Table1[[#This Row],[their_ent_1]], 1, 0)</f>
        <v>1</v>
      </c>
      <c r="I574">
        <f>IF(Table1[[#This Row],[my_ent_2]]=Table1[[#This Row],[their_ent_2]], 1, 0)</f>
        <v>0</v>
      </c>
      <c r="J574">
        <f>IF(Table1[[#This Row],[same_1]]=1 &amp; Table1[[#This Row],[same_2]]=1, 1, 0)</f>
        <v>0</v>
      </c>
      <c r="K574">
        <f>IF(ISNUMBER(SEARCH(Table1[[#This Row],[their_ent_1]],Table1[[#This Row],[my_ent_1]])), 1, 0)</f>
        <v>1</v>
      </c>
      <c r="L574">
        <f>IF(ISNUMBER(SEARCH(Table1[[#This Row],[their_ent_2]],Table1[[#This Row],[my_ent_2]])), 1, 0)</f>
        <v>0</v>
      </c>
    </row>
    <row r="575" spans="1:12" hidden="1" x14ac:dyDescent="0.3">
      <c r="A575" t="s">
        <v>1832</v>
      </c>
      <c r="B575" t="s">
        <v>1833</v>
      </c>
      <c r="C575" t="s">
        <v>1833</v>
      </c>
      <c r="D575" t="s">
        <v>1834</v>
      </c>
      <c r="E575" t="s">
        <v>1835</v>
      </c>
      <c r="F575">
        <v>0</v>
      </c>
      <c r="G575">
        <v>573</v>
      </c>
      <c r="H575">
        <f>IF(Table1[[#This Row],[my_ent_1]]=Table1[[#This Row],[their_ent_1]], 1, 0)</f>
        <v>1</v>
      </c>
      <c r="I575">
        <f>IF(Table1[[#This Row],[my_ent_2]]=Table1[[#This Row],[their_ent_2]], 1, 0)</f>
        <v>0</v>
      </c>
      <c r="J575">
        <f>IF(Table1[[#This Row],[same_1]]=1 &amp; Table1[[#This Row],[same_2]]=1, 1, 0)</f>
        <v>0</v>
      </c>
      <c r="K575">
        <f>IF(ISNUMBER(SEARCH(Table1[[#This Row],[their_ent_1]],Table1[[#This Row],[my_ent_1]])), 1, 0)</f>
        <v>1</v>
      </c>
      <c r="L575">
        <f>IF(ISNUMBER(SEARCH(Table1[[#This Row],[their_ent_2]],Table1[[#This Row],[my_ent_2]])), 1, 0)</f>
        <v>0</v>
      </c>
    </row>
    <row r="576" spans="1:12" hidden="1" x14ac:dyDescent="0.3">
      <c r="A576" t="s">
        <v>1836</v>
      </c>
      <c r="B576" t="s">
        <v>1431</v>
      </c>
      <c r="C576" t="s">
        <v>1431</v>
      </c>
      <c r="D576" t="s">
        <v>1837</v>
      </c>
      <c r="E576" t="s">
        <v>387</v>
      </c>
      <c r="F576">
        <v>0</v>
      </c>
      <c r="G576">
        <v>574</v>
      </c>
      <c r="H576">
        <f>IF(Table1[[#This Row],[my_ent_1]]=Table1[[#This Row],[their_ent_1]], 1, 0)</f>
        <v>1</v>
      </c>
      <c r="I576">
        <f>IF(Table1[[#This Row],[my_ent_2]]=Table1[[#This Row],[their_ent_2]], 1, 0)</f>
        <v>0</v>
      </c>
      <c r="J576">
        <f>IF(Table1[[#This Row],[same_1]]=1 &amp; Table1[[#This Row],[same_2]]=1, 1, 0)</f>
        <v>0</v>
      </c>
      <c r="K576">
        <f>IF(ISNUMBER(SEARCH(Table1[[#This Row],[their_ent_1]],Table1[[#This Row],[my_ent_1]])), 1, 0)</f>
        <v>1</v>
      </c>
      <c r="L576">
        <f>IF(ISNUMBER(SEARCH(Table1[[#This Row],[their_ent_2]],Table1[[#This Row],[my_ent_2]])), 1, 0)</f>
        <v>0</v>
      </c>
    </row>
    <row r="577" spans="1:12" hidden="1" x14ac:dyDescent="0.3">
      <c r="A577" t="s">
        <v>1838</v>
      </c>
      <c r="B577" t="s">
        <v>294</v>
      </c>
      <c r="C577" t="s">
        <v>294</v>
      </c>
      <c r="D577" t="s">
        <v>1839</v>
      </c>
      <c r="E577" t="s">
        <v>1840</v>
      </c>
      <c r="F577">
        <v>0</v>
      </c>
      <c r="G577">
        <v>575</v>
      </c>
      <c r="H577">
        <f>IF(Table1[[#This Row],[my_ent_1]]=Table1[[#This Row],[their_ent_1]], 1, 0)</f>
        <v>1</v>
      </c>
      <c r="I577">
        <f>IF(Table1[[#This Row],[my_ent_2]]=Table1[[#This Row],[their_ent_2]], 1, 0)</f>
        <v>0</v>
      </c>
      <c r="J577">
        <f>IF(Table1[[#This Row],[same_1]]=1 &amp; Table1[[#This Row],[same_2]]=1, 1, 0)</f>
        <v>0</v>
      </c>
      <c r="K577">
        <f>IF(ISNUMBER(SEARCH(Table1[[#This Row],[their_ent_1]],Table1[[#This Row],[my_ent_1]])), 1, 0)</f>
        <v>1</v>
      </c>
      <c r="L577">
        <f>IF(ISNUMBER(SEARCH(Table1[[#This Row],[their_ent_2]],Table1[[#This Row],[my_ent_2]])), 1, 0)</f>
        <v>0</v>
      </c>
    </row>
    <row r="578" spans="1:12" hidden="1" x14ac:dyDescent="0.3">
      <c r="A578" t="s">
        <v>1841</v>
      </c>
      <c r="B578" t="s">
        <v>480</v>
      </c>
      <c r="C578" t="s">
        <v>480</v>
      </c>
      <c r="D578" t="s">
        <v>1115</v>
      </c>
      <c r="E578" t="s">
        <v>578</v>
      </c>
      <c r="F578">
        <v>0</v>
      </c>
      <c r="G578">
        <v>576</v>
      </c>
      <c r="H578">
        <f>IF(Table1[[#This Row],[my_ent_1]]=Table1[[#This Row],[their_ent_1]], 1, 0)</f>
        <v>1</v>
      </c>
      <c r="I578">
        <f>IF(Table1[[#This Row],[my_ent_2]]=Table1[[#This Row],[their_ent_2]], 1, 0)</f>
        <v>0</v>
      </c>
      <c r="J578">
        <f>IF(Table1[[#This Row],[same_1]]=1 &amp; Table1[[#This Row],[same_2]]=1, 1, 0)</f>
        <v>0</v>
      </c>
      <c r="K578">
        <f>IF(ISNUMBER(SEARCH(Table1[[#This Row],[their_ent_1]],Table1[[#This Row],[my_ent_1]])), 1, 0)</f>
        <v>1</v>
      </c>
      <c r="L578">
        <f>IF(ISNUMBER(SEARCH(Table1[[#This Row],[their_ent_2]],Table1[[#This Row],[my_ent_2]])), 1, 0)</f>
        <v>0</v>
      </c>
    </row>
    <row r="579" spans="1:12" hidden="1" x14ac:dyDescent="0.3">
      <c r="A579" t="s">
        <v>1842</v>
      </c>
      <c r="B579" t="s">
        <v>1843</v>
      </c>
      <c r="C579" t="s">
        <v>1844</v>
      </c>
      <c r="D579" t="s">
        <v>1206</v>
      </c>
      <c r="E579" t="s">
        <v>1845</v>
      </c>
      <c r="F579">
        <v>0</v>
      </c>
      <c r="G579">
        <v>577</v>
      </c>
      <c r="H579">
        <f>IF(Table1[[#This Row],[my_ent_1]]=Table1[[#This Row],[their_ent_1]], 1, 0)</f>
        <v>0</v>
      </c>
      <c r="I579">
        <f>IF(Table1[[#This Row],[my_ent_2]]=Table1[[#This Row],[their_ent_2]], 1, 0)</f>
        <v>0</v>
      </c>
      <c r="J579">
        <f>IF(Table1[[#This Row],[same_1]]=1 &amp; Table1[[#This Row],[same_2]]=1, 1, 0)</f>
        <v>0</v>
      </c>
      <c r="K579">
        <f>IF(ISNUMBER(SEARCH(Table1[[#This Row],[their_ent_1]],Table1[[#This Row],[my_ent_1]])), 1, 0)</f>
        <v>1</v>
      </c>
      <c r="L579">
        <f>IF(ISNUMBER(SEARCH(Table1[[#This Row],[their_ent_2]],Table1[[#This Row],[my_ent_2]])), 1, 0)</f>
        <v>0</v>
      </c>
    </row>
    <row r="580" spans="1:12" hidden="1" x14ac:dyDescent="0.3">
      <c r="A580" t="s">
        <v>1846</v>
      </c>
      <c r="B580" t="s">
        <v>1847</v>
      </c>
      <c r="C580" t="s">
        <v>1421</v>
      </c>
      <c r="D580" t="s">
        <v>705</v>
      </c>
      <c r="E580" t="s">
        <v>1848</v>
      </c>
      <c r="F580">
        <v>0</v>
      </c>
      <c r="G580">
        <v>578</v>
      </c>
      <c r="H580">
        <f>IF(Table1[[#This Row],[my_ent_1]]=Table1[[#This Row],[their_ent_1]], 1, 0)</f>
        <v>0</v>
      </c>
      <c r="I580">
        <f>IF(Table1[[#This Row],[my_ent_2]]=Table1[[#This Row],[their_ent_2]], 1, 0)</f>
        <v>0</v>
      </c>
      <c r="J580">
        <f>IF(Table1[[#This Row],[same_1]]=1 &amp; Table1[[#This Row],[same_2]]=1, 1, 0)</f>
        <v>0</v>
      </c>
      <c r="K580">
        <f>IF(ISNUMBER(SEARCH(Table1[[#This Row],[their_ent_1]],Table1[[#This Row],[my_ent_1]])), 1, 0)</f>
        <v>0</v>
      </c>
      <c r="L580">
        <f>IF(ISNUMBER(SEARCH(Table1[[#This Row],[their_ent_2]],Table1[[#This Row],[my_ent_2]])), 1, 0)</f>
        <v>0</v>
      </c>
    </row>
    <row r="581" spans="1:12" hidden="1" x14ac:dyDescent="0.3">
      <c r="A581" t="s">
        <v>1849</v>
      </c>
      <c r="B581" t="s">
        <v>186</v>
      </c>
      <c r="C581" t="s">
        <v>94</v>
      </c>
      <c r="D581" t="s">
        <v>1850</v>
      </c>
      <c r="E581" t="s">
        <v>144</v>
      </c>
      <c r="F581">
        <v>0</v>
      </c>
      <c r="G581">
        <v>579</v>
      </c>
      <c r="H581">
        <f>IF(Table1[[#This Row],[my_ent_1]]=Table1[[#This Row],[their_ent_1]], 1, 0)</f>
        <v>0</v>
      </c>
      <c r="I581">
        <f>IF(Table1[[#This Row],[my_ent_2]]=Table1[[#This Row],[their_ent_2]], 1, 0)</f>
        <v>0</v>
      </c>
      <c r="J581">
        <f>IF(Table1[[#This Row],[same_1]]=1 &amp; Table1[[#This Row],[same_2]]=1, 1, 0)</f>
        <v>0</v>
      </c>
      <c r="K581">
        <f>IF(ISNUMBER(SEARCH(Table1[[#This Row],[their_ent_1]],Table1[[#This Row],[my_ent_1]])), 1, 0)</f>
        <v>0</v>
      </c>
      <c r="L581">
        <f>IF(ISNUMBER(SEARCH(Table1[[#This Row],[their_ent_2]],Table1[[#This Row],[my_ent_2]])), 1, 0)</f>
        <v>0</v>
      </c>
    </row>
    <row r="582" spans="1:12" hidden="1" x14ac:dyDescent="0.3">
      <c r="A582" t="s">
        <v>1851</v>
      </c>
      <c r="B582" t="s">
        <v>1852</v>
      </c>
      <c r="C582" t="s">
        <v>1853</v>
      </c>
      <c r="D582" t="s">
        <v>54</v>
      </c>
      <c r="E582" t="s">
        <v>1854</v>
      </c>
      <c r="F582">
        <v>0</v>
      </c>
      <c r="G582">
        <v>580</v>
      </c>
      <c r="H582">
        <f>IF(Table1[[#This Row],[my_ent_1]]=Table1[[#This Row],[their_ent_1]], 1, 0)</f>
        <v>0</v>
      </c>
      <c r="I582">
        <f>IF(Table1[[#This Row],[my_ent_2]]=Table1[[#This Row],[their_ent_2]], 1, 0)</f>
        <v>0</v>
      </c>
      <c r="J582">
        <f>IF(Table1[[#This Row],[same_1]]=1 &amp; Table1[[#This Row],[same_2]]=1, 1, 0)</f>
        <v>0</v>
      </c>
      <c r="K582">
        <f>IF(ISNUMBER(SEARCH(Table1[[#This Row],[their_ent_1]],Table1[[#This Row],[my_ent_1]])), 1, 0)</f>
        <v>0</v>
      </c>
      <c r="L582">
        <f>IF(ISNUMBER(SEARCH(Table1[[#This Row],[their_ent_2]],Table1[[#This Row],[my_ent_2]])), 1, 0)</f>
        <v>0</v>
      </c>
    </row>
    <row r="583" spans="1:12" x14ac:dyDescent="0.3">
      <c r="A583" t="s">
        <v>1855</v>
      </c>
      <c r="B583" t="s">
        <v>199</v>
      </c>
      <c r="C583" t="s">
        <v>199</v>
      </c>
      <c r="D583" t="s">
        <v>1137</v>
      </c>
      <c r="E583" t="s">
        <v>7</v>
      </c>
      <c r="F583">
        <v>0</v>
      </c>
      <c r="G583">
        <v>581</v>
      </c>
      <c r="H583">
        <f>IF(Table1[[#This Row],[my_ent_1]]=Table1[[#This Row],[their_ent_1]], 1, 0)</f>
        <v>1</v>
      </c>
      <c r="I583">
        <f>IF(Table1[[#This Row],[my_ent_2]]=Table1[[#This Row],[their_ent_2]], 1, 0)</f>
        <v>0</v>
      </c>
      <c r="J583">
        <f>IF(Table1[[#This Row],[same_1]]=1 &amp; Table1[[#This Row],[same_2]]=1, 1, 0)</f>
        <v>0</v>
      </c>
      <c r="K583">
        <f>IF(ISNUMBER(SEARCH(Table1[[#This Row],[their_ent_1]],Table1[[#This Row],[my_ent_1]])), 1, 0)</f>
        <v>1</v>
      </c>
      <c r="L583">
        <f>IF(ISNUMBER(SEARCH(Table1[[#This Row],[their_ent_2]],Table1[[#This Row],[my_ent_2]])), 1, 0)</f>
        <v>1</v>
      </c>
    </row>
    <row r="584" spans="1:12" hidden="1" x14ac:dyDescent="0.3">
      <c r="A584" t="s">
        <v>1856</v>
      </c>
      <c r="B584" t="s">
        <v>1857</v>
      </c>
      <c r="C584" t="s">
        <v>1858</v>
      </c>
      <c r="D584" t="s">
        <v>1477</v>
      </c>
      <c r="E584" t="s">
        <v>426</v>
      </c>
      <c r="F584">
        <v>0</v>
      </c>
      <c r="G584">
        <v>582</v>
      </c>
      <c r="H584">
        <f>IF(Table1[[#This Row],[my_ent_1]]=Table1[[#This Row],[their_ent_1]], 1, 0)</f>
        <v>0</v>
      </c>
      <c r="I584">
        <f>IF(Table1[[#This Row],[my_ent_2]]=Table1[[#This Row],[their_ent_2]], 1, 0)</f>
        <v>0</v>
      </c>
      <c r="J584">
        <f>IF(Table1[[#This Row],[same_1]]=1 &amp; Table1[[#This Row],[same_2]]=1, 1, 0)</f>
        <v>0</v>
      </c>
      <c r="K584">
        <f>IF(ISNUMBER(SEARCH(Table1[[#This Row],[their_ent_1]],Table1[[#This Row],[my_ent_1]])), 1, 0)</f>
        <v>1</v>
      </c>
      <c r="L584">
        <f>IF(ISNUMBER(SEARCH(Table1[[#This Row],[their_ent_2]],Table1[[#This Row],[my_ent_2]])), 1, 0)</f>
        <v>0</v>
      </c>
    </row>
    <row r="585" spans="1:12" x14ac:dyDescent="0.3">
      <c r="A585" t="s">
        <v>1859</v>
      </c>
      <c r="B585" t="s">
        <v>1860</v>
      </c>
      <c r="C585" t="s">
        <v>1860</v>
      </c>
      <c r="D585" t="s">
        <v>920</v>
      </c>
      <c r="E585" t="s">
        <v>1219</v>
      </c>
      <c r="F585">
        <v>0</v>
      </c>
      <c r="G585">
        <v>583</v>
      </c>
      <c r="H585">
        <f>IF(Table1[[#This Row],[my_ent_1]]=Table1[[#This Row],[their_ent_1]], 1, 0)</f>
        <v>1</v>
      </c>
      <c r="I585">
        <f>IF(Table1[[#This Row],[my_ent_2]]=Table1[[#This Row],[their_ent_2]], 1, 0)</f>
        <v>0</v>
      </c>
      <c r="J585">
        <f>IF(Table1[[#This Row],[same_1]]=1 &amp; Table1[[#This Row],[same_2]]=1, 1, 0)</f>
        <v>0</v>
      </c>
      <c r="K585">
        <f>IF(ISNUMBER(SEARCH(Table1[[#This Row],[their_ent_1]],Table1[[#This Row],[my_ent_1]])), 1, 0)</f>
        <v>1</v>
      </c>
      <c r="L585">
        <f>IF(ISNUMBER(SEARCH(Table1[[#This Row],[their_ent_2]],Table1[[#This Row],[my_ent_2]])), 1, 0)</f>
        <v>1</v>
      </c>
    </row>
    <row r="586" spans="1:12" hidden="1" x14ac:dyDescent="0.3">
      <c r="A586" t="s">
        <v>1861</v>
      </c>
      <c r="B586" t="s">
        <v>1862</v>
      </c>
      <c r="C586" t="s">
        <v>183</v>
      </c>
      <c r="D586" t="s">
        <v>200</v>
      </c>
      <c r="E586" t="s">
        <v>200</v>
      </c>
      <c r="F586">
        <v>0</v>
      </c>
      <c r="G586">
        <v>584</v>
      </c>
      <c r="H586">
        <f>IF(Table1[[#This Row],[my_ent_1]]=Table1[[#This Row],[their_ent_1]], 1, 0)</f>
        <v>0</v>
      </c>
      <c r="I586">
        <f>IF(Table1[[#This Row],[my_ent_2]]=Table1[[#This Row],[their_ent_2]], 1, 0)</f>
        <v>1</v>
      </c>
      <c r="J586">
        <f>IF(Table1[[#This Row],[same_1]]=1 &amp; Table1[[#This Row],[same_2]]=1, 1, 0)</f>
        <v>0</v>
      </c>
      <c r="K586">
        <f>IF(ISNUMBER(SEARCH(Table1[[#This Row],[their_ent_1]],Table1[[#This Row],[my_ent_1]])), 1, 0)</f>
        <v>0</v>
      </c>
      <c r="L586">
        <f>IF(ISNUMBER(SEARCH(Table1[[#This Row],[their_ent_2]],Table1[[#This Row],[my_ent_2]])), 1, 0)</f>
        <v>1</v>
      </c>
    </row>
    <row r="587" spans="1:12" hidden="1" x14ac:dyDescent="0.3">
      <c r="A587" t="s">
        <v>1863</v>
      </c>
      <c r="B587" t="s">
        <v>267</v>
      </c>
      <c r="C587" t="s">
        <v>94</v>
      </c>
      <c r="D587" t="s">
        <v>1137</v>
      </c>
      <c r="E587" t="s">
        <v>7</v>
      </c>
      <c r="F587">
        <v>0</v>
      </c>
      <c r="G587">
        <v>585</v>
      </c>
      <c r="H587">
        <f>IF(Table1[[#This Row],[my_ent_1]]=Table1[[#This Row],[their_ent_1]], 1, 0)</f>
        <v>0</v>
      </c>
      <c r="I587">
        <f>IF(Table1[[#This Row],[my_ent_2]]=Table1[[#This Row],[their_ent_2]], 1, 0)</f>
        <v>0</v>
      </c>
      <c r="J587">
        <f>IF(Table1[[#This Row],[same_1]]=1 &amp; Table1[[#This Row],[same_2]]=1, 1, 0)</f>
        <v>0</v>
      </c>
      <c r="K587">
        <f>IF(ISNUMBER(SEARCH(Table1[[#This Row],[their_ent_1]],Table1[[#This Row],[my_ent_1]])), 1, 0)</f>
        <v>0</v>
      </c>
      <c r="L587">
        <f>IF(ISNUMBER(SEARCH(Table1[[#This Row],[their_ent_2]],Table1[[#This Row],[my_ent_2]])), 1, 0)</f>
        <v>1</v>
      </c>
    </row>
    <row r="588" spans="1:12" hidden="1" x14ac:dyDescent="0.3">
      <c r="A588" t="s">
        <v>1864</v>
      </c>
      <c r="B588" t="s">
        <v>1865</v>
      </c>
      <c r="C588" t="s">
        <v>36</v>
      </c>
      <c r="D588" t="s">
        <v>1866</v>
      </c>
      <c r="E588" t="s">
        <v>886</v>
      </c>
      <c r="F588">
        <v>0</v>
      </c>
      <c r="G588">
        <v>586</v>
      </c>
      <c r="H588">
        <f>IF(Table1[[#This Row],[my_ent_1]]=Table1[[#This Row],[their_ent_1]], 1, 0)</f>
        <v>0</v>
      </c>
      <c r="I588">
        <f>IF(Table1[[#This Row],[my_ent_2]]=Table1[[#This Row],[their_ent_2]], 1, 0)</f>
        <v>0</v>
      </c>
      <c r="J588">
        <f>IF(Table1[[#This Row],[same_1]]=1 &amp; Table1[[#This Row],[same_2]]=1, 1, 0)</f>
        <v>0</v>
      </c>
      <c r="K588">
        <f>IF(ISNUMBER(SEARCH(Table1[[#This Row],[their_ent_1]],Table1[[#This Row],[my_ent_1]])), 1, 0)</f>
        <v>0</v>
      </c>
      <c r="L588">
        <f>IF(ISNUMBER(SEARCH(Table1[[#This Row],[their_ent_2]],Table1[[#This Row],[my_ent_2]])), 1, 0)</f>
        <v>0</v>
      </c>
    </row>
    <row r="589" spans="1:12" hidden="1" x14ac:dyDescent="0.3">
      <c r="A589" t="s">
        <v>1867</v>
      </c>
      <c r="B589" t="s">
        <v>58</v>
      </c>
      <c r="C589" t="s">
        <v>1699</v>
      </c>
      <c r="D589" t="s">
        <v>1699</v>
      </c>
      <c r="E589" t="s">
        <v>1868</v>
      </c>
      <c r="F589">
        <v>0</v>
      </c>
      <c r="G589">
        <v>587</v>
      </c>
      <c r="H589">
        <f>IF(Table1[[#This Row],[my_ent_1]]=Table1[[#This Row],[their_ent_1]], 1, 0)</f>
        <v>0</v>
      </c>
      <c r="I589">
        <f>IF(Table1[[#This Row],[my_ent_2]]=Table1[[#This Row],[their_ent_2]], 1, 0)</f>
        <v>0</v>
      </c>
      <c r="J589">
        <f>IF(Table1[[#This Row],[same_1]]=1 &amp; Table1[[#This Row],[same_2]]=1, 1, 0)</f>
        <v>0</v>
      </c>
      <c r="K589">
        <f>IF(ISNUMBER(SEARCH(Table1[[#This Row],[their_ent_1]],Table1[[#This Row],[my_ent_1]])), 1, 0)</f>
        <v>0</v>
      </c>
      <c r="L589">
        <f>IF(ISNUMBER(SEARCH(Table1[[#This Row],[their_ent_2]],Table1[[#This Row],[my_ent_2]])), 1, 0)</f>
        <v>0</v>
      </c>
    </row>
    <row r="590" spans="1:12" hidden="1" x14ac:dyDescent="0.3">
      <c r="A590" t="s">
        <v>1869</v>
      </c>
      <c r="B590" t="s">
        <v>1870</v>
      </c>
      <c r="C590" t="s">
        <v>1165</v>
      </c>
      <c r="D590" t="s">
        <v>1871</v>
      </c>
      <c r="E590" t="s">
        <v>1870</v>
      </c>
      <c r="F590">
        <v>0</v>
      </c>
      <c r="G590">
        <v>588</v>
      </c>
      <c r="H590">
        <f>IF(Table1[[#This Row],[my_ent_1]]=Table1[[#This Row],[their_ent_1]], 1, 0)</f>
        <v>0</v>
      </c>
      <c r="I590">
        <f>IF(Table1[[#This Row],[my_ent_2]]=Table1[[#This Row],[their_ent_2]], 1, 0)</f>
        <v>0</v>
      </c>
      <c r="J590">
        <f>IF(Table1[[#This Row],[same_1]]=1 &amp; Table1[[#This Row],[same_2]]=1, 1, 0)</f>
        <v>0</v>
      </c>
      <c r="K590">
        <f>IF(ISNUMBER(SEARCH(Table1[[#This Row],[their_ent_1]],Table1[[#This Row],[my_ent_1]])), 1, 0)</f>
        <v>0</v>
      </c>
      <c r="L590">
        <f>IF(ISNUMBER(SEARCH(Table1[[#This Row],[their_ent_2]],Table1[[#This Row],[my_ent_2]])), 1, 0)</f>
        <v>0</v>
      </c>
    </row>
    <row r="591" spans="1:12" hidden="1" x14ac:dyDescent="0.3">
      <c r="A591" t="s">
        <v>1872</v>
      </c>
      <c r="B591" t="s">
        <v>1873</v>
      </c>
      <c r="C591" t="s">
        <v>1874</v>
      </c>
      <c r="D591" t="s">
        <v>1874</v>
      </c>
      <c r="E591" t="s">
        <v>1875</v>
      </c>
      <c r="F591">
        <v>0</v>
      </c>
      <c r="G591">
        <v>589</v>
      </c>
      <c r="H591">
        <f>IF(Table1[[#This Row],[my_ent_1]]=Table1[[#This Row],[their_ent_1]], 1, 0)</f>
        <v>0</v>
      </c>
      <c r="I591">
        <f>IF(Table1[[#This Row],[my_ent_2]]=Table1[[#This Row],[their_ent_2]], 1, 0)</f>
        <v>0</v>
      </c>
      <c r="J591">
        <f>IF(Table1[[#This Row],[same_1]]=1 &amp; Table1[[#This Row],[same_2]]=1, 1, 0)</f>
        <v>0</v>
      </c>
      <c r="K591">
        <f>IF(ISNUMBER(SEARCH(Table1[[#This Row],[their_ent_1]],Table1[[#This Row],[my_ent_1]])), 1, 0)</f>
        <v>0</v>
      </c>
      <c r="L591">
        <f>IF(ISNUMBER(SEARCH(Table1[[#This Row],[their_ent_2]],Table1[[#This Row],[my_ent_2]])), 1, 0)</f>
        <v>0</v>
      </c>
    </row>
    <row r="592" spans="1:12" hidden="1" x14ac:dyDescent="0.3">
      <c r="A592" t="s">
        <v>1876</v>
      </c>
      <c r="B592" t="s">
        <v>1877</v>
      </c>
      <c r="C592" t="s">
        <v>1878</v>
      </c>
      <c r="D592" t="s">
        <v>263</v>
      </c>
      <c r="E592" t="s">
        <v>404</v>
      </c>
      <c r="F592">
        <v>0</v>
      </c>
      <c r="G592">
        <v>590</v>
      </c>
      <c r="H592">
        <f>IF(Table1[[#This Row],[my_ent_1]]=Table1[[#This Row],[their_ent_1]], 1, 0)</f>
        <v>0</v>
      </c>
      <c r="I592">
        <f>IF(Table1[[#This Row],[my_ent_2]]=Table1[[#This Row],[their_ent_2]], 1, 0)</f>
        <v>0</v>
      </c>
      <c r="J592">
        <f>IF(Table1[[#This Row],[same_1]]=1 &amp; Table1[[#This Row],[same_2]]=1, 1, 0)</f>
        <v>0</v>
      </c>
      <c r="K592">
        <f>IF(ISNUMBER(SEARCH(Table1[[#This Row],[their_ent_1]],Table1[[#This Row],[my_ent_1]])), 1, 0)</f>
        <v>0</v>
      </c>
      <c r="L592">
        <f>IF(ISNUMBER(SEARCH(Table1[[#This Row],[their_ent_2]],Table1[[#This Row],[my_ent_2]])), 1, 0)</f>
        <v>0</v>
      </c>
    </row>
    <row r="593" spans="1:12" hidden="1" x14ac:dyDescent="0.3">
      <c r="A593" t="s">
        <v>1879</v>
      </c>
      <c r="B593" t="s">
        <v>467</v>
      </c>
      <c r="C593" t="s">
        <v>94</v>
      </c>
      <c r="D593" t="s">
        <v>267</v>
      </c>
      <c r="E593" t="s">
        <v>1880</v>
      </c>
      <c r="F593">
        <v>0</v>
      </c>
      <c r="G593">
        <v>591</v>
      </c>
      <c r="H593">
        <f>IF(Table1[[#This Row],[my_ent_1]]=Table1[[#This Row],[their_ent_1]], 1, 0)</f>
        <v>0</v>
      </c>
      <c r="I593">
        <f>IF(Table1[[#This Row],[my_ent_2]]=Table1[[#This Row],[their_ent_2]], 1, 0)</f>
        <v>0</v>
      </c>
      <c r="J593">
        <f>IF(Table1[[#This Row],[same_1]]=1 &amp; Table1[[#This Row],[same_2]]=1, 1, 0)</f>
        <v>0</v>
      </c>
      <c r="K593">
        <f>IF(ISNUMBER(SEARCH(Table1[[#This Row],[their_ent_1]],Table1[[#This Row],[my_ent_1]])), 1, 0)</f>
        <v>1</v>
      </c>
      <c r="L593">
        <f>IF(ISNUMBER(SEARCH(Table1[[#This Row],[their_ent_2]],Table1[[#This Row],[my_ent_2]])), 1, 0)</f>
        <v>0</v>
      </c>
    </row>
    <row r="594" spans="1:12" hidden="1" x14ac:dyDescent="0.3">
      <c r="A594" t="s">
        <v>1881</v>
      </c>
      <c r="B594" t="s">
        <v>1882</v>
      </c>
      <c r="C594" t="s">
        <v>1883</v>
      </c>
      <c r="D594" t="s">
        <v>54</v>
      </c>
      <c r="E594" t="s">
        <v>1884</v>
      </c>
      <c r="F594">
        <v>0</v>
      </c>
      <c r="G594">
        <v>592</v>
      </c>
      <c r="H594">
        <f>IF(Table1[[#This Row],[my_ent_1]]=Table1[[#This Row],[their_ent_1]], 1, 0)</f>
        <v>0</v>
      </c>
      <c r="I594">
        <f>IF(Table1[[#This Row],[my_ent_2]]=Table1[[#This Row],[their_ent_2]], 1, 0)</f>
        <v>0</v>
      </c>
      <c r="J594">
        <f>IF(Table1[[#This Row],[same_1]]=1 &amp; Table1[[#This Row],[same_2]]=1, 1, 0)</f>
        <v>0</v>
      </c>
      <c r="K594">
        <f>IF(ISNUMBER(SEARCH(Table1[[#This Row],[their_ent_1]],Table1[[#This Row],[my_ent_1]])), 1, 0)</f>
        <v>1</v>
      </c>
      <c r="L594">
        <f>IF(ISNUMBER(SEARCH(Table1[[#This Row],[their_ent_2]],Table1[[#This Row],[my_ent_2]])), 1, 0)</f>
        <v>0</v>
      </c>
    </row>
    <row r="595" spans="1:12" hidden="1" x14ac:dyDescent="0.3">
      <c r="A595" t="s">
        <v>1885</v>
      </c>
      <c r="B595" t="s">
        <v>290</v>
      </c>
      <c r="C595" t="s">
        <v>1886</v>
      </c>
      <c r="D595" t="s">
        <v>1887</v>
      </c>
      <c r="E595" t="s">
        <v>1489</v>
      </c>
      <c r="F595">
        <v>0</v>
      </c>
      <c r="G595">
        <v>593</v>
      </c>
      <c r="H595">
        <f>IF(Table1[[#This Row],[my_ent_1]]=Table1[[#This Row],[their_ent_1]], 1, 0)</f>
        <v>0</v>
      </c>
      <c r="I595">
        <f>IF(Table1[[#This Row],[my_ent_2]]=Table1[[#This Row],[their_ent_2]], 1, 0)</f>
        <v>0</v>
      </c>
      <c r="J595">
        <f>IF(Table1[[#This Row],[same_1]]=1 &amp; Table1[[#This Row],[same_2]]=1, 1, 0)</f>
        <v>0</v>
      </c>
      <c r="K595">
        <f>IF(ISNUMBER(SEARCH(Table1[[#This Row],[their_ent_1]],Table1[[#This Row],[my_ent_1]])), 1, 0)</f>
        <v>0</v>
      </c>
      <c r="L595">
        <f>IF(ISNUMBER(SEARCH(Table1[[#This Row],[their_ent_2]],Table1[[#This Row],[my_ent_2]])), 1, 0)</f>
        <v>0</v>
      </c>
    </row>
    <row r="596" spans="1:12" hidden="1" x14ac:dyDescent="0.3">
      <c r="A596" t="s">
        <v>1888</v>
      </c>
      <c r="B596" t="s">
        <v>1889</v>
      </c>
      <c r="C596" t="s">
        <v>1890</v>
      </c>
      <c r="D596" t="s">
        <v>1891</v>
      </c>
      <c r="E596" t="s">
        <v>470</v>
      </c>
      <c r="F596">
        <v>0</v>
      </c>
      <c r="G596">
        <v>594</v>
      </c>
      <c r="H596">
        <f>IF(Table1[[#This Row],[my_ent_1]]=Table1[[#This Row],[their_ent_1]], 1, 0)</f>
        <v>0</v>
      </c>
      <c r="I596">
        <f>IF(Table1[[#This Row],[my_ent_2]]=Table1[[#This Row],[their_ent_2]], 1, 0)</f>
        <v>0</v>
      </c>
      <c r="J596">
        <f>IF(Table1[[#This Row],[same_1]]=1 &amp; Table1[[#This Row],[same_2]]=1, 1, 0)</f>
        <v>0</v>
      </c>
      <c r="K596">
        <f>IF(ISNUMBER(SEARCH(Table1[[#This Row],[their_ent_1]],Table1[[#This Row],[my_ent_1]])), 1, 0)</f>
        <v>0</v>
      </c>
      <c r="L596">
        <f>IF(ISNUMBER(SEARCH(Table1[[#This Row],[their_ent_2]],Table1[[#This Row],[my_ent_2]])), 1, 0)</f>
        <v>0</v>
      </c>
    </row>
    <row r="597" spans="1:12" hidden="1" x14ac:dyDescent="0.3">
      <c r="A597" t="s">
        <v>1892</v>
      </c>
      <c r="B597" t="s">
        <v>1893</v>
      </c>
      <c r="C597" t="s">
        <v>1894</v>
      </c>
      <c r="D597" t="s">
        <v>54</v>
      </c>
      <c r="E597" t="s">
        <v>1895</v>
      </c>
      <c r="F597">
        <v>0</v>
      </c>
      <c r="G597">
        <v>595</v>
      </c>
      <c r="H597">
        <f>IF(Table1[[#This Row],[my_ent_1]]=Table1[[#This Row],[their_ent_1]], 1, 0)</f>
        <v>0</v>
      </c>
      <c r="I597">
        <f>IF(Table1[[#This Row],[my_ent_2]]=Table1[[#This Row],[their_ent_2]], 1, 0)</f>
        <v>0</v>
      </c>
      <c r="J597">
        <f>IF(Table1[[#This Row],[same_1]]=1 &amp; Table1[[#This Row],[same_2]]=1, 1, 0)</f>
        <v>0</v>
      </c>
      <c r="K597">
        <f>IF(ISNUMBER(SEARCH(Table1[[#This Row],[their_ent_1]],Table1[[#This Row],[my_ent_1]])), 1, 0)</f>
        <v>1</v>
      </c>
      <c r="L597">
        <f>IF(ISNUMBER(SEARCH(Table1[[#This Row],[their_ent_2]],Table1[[#This Row],[my_ent_2]])), 1, 0)</f>
        <v>0</v>
      </c>
    </row>
    <row r="598" spans="1:12" x14ac:dyDescent="0.3">
      <c r="A598" t="s">
        <v>1896</v>
      </c>
      <c r="B598" t="s">
        <v>378</v>
      </c>
      <c r="C598" t="s">
        <v>378</v>
      </c>
      <c r="D598" t="s">
        <v>938</v>
      </c>
      <c r="E598" t="s">
        <v>507</v>
      </c>
      <c r="F598">
        <v>0</v>
      </c>
      <c r="G598">
        <v>596</v>
      </c>
      <c r="H598">
        <f>IF(Table1[[#This Row],[my_ent_1]]=Table1[[#This Row],[their_ent_1]], 1, 0)</f>
        <v>1</v>
      </c>
      <c r="I598">
        <f>IF(Table1[[#This Row],[my_ent_2]]=Table1[[#This Row],[their_ent_2]], 1, 0)</f>
        <v>0</v>
      </c>
      <c r="J598">
        <f>IF(Table1[[#This Row],[same_1]]=1 &amp; Table1[[#This Row],[same_2]]=1, 1, 0)</f>
        <v>0</v>
      </c>
      <c r="K598">
        <f>IF(ISNUMBER(SEARCH(Table1[[#This Row],[their_ent_1]],Table1[[#This Row],[my_ent_1]])), 1, 0)</f>
        <v>1</v>
      </c>
      <c r="L598">
        <f>IF(ISNUMBER(SEARCH(Table1[[#This Row],[their_ent_2]],Table1[[#This Row],[my_ent_2]])), 1, 0)</f>
        <v>1</v>
      </c>
    </row>
    <row r="599" spans="1:12" hidden="1" x14ac:dyDescent="0.3">
      <c r="A599" t="s">
        <v>1897</v>
      </c>
      <c r="B599" t="s">
        <v>1898</v>
      </c>
      <c r="C599" t="s">
        <v>1899</v>
      </c>
      <c r="D599" t="s">
        <v>1900</v>
      </c>
      <c r="E599" t="s">
        <v>1900</v>
      </c>
      <c r="F599">
        <v>0</v>
      </c>
      <c r="G599">
        <v>597</v>
      </c>
      <c r="H599">
        <f>IF(Table1[[#This Row],[my_ent_1]]=Table1[[#This Row],[their_ent_1]], 1, 0)</f>
        <v>0</v>
      </c>
      <c r="I599">
        <f>IF(Table1[[#This Row],[my_ent_2]]=Table1[[#This Row],[their_ent_2]], 1, 0)</f>
        <v>1</v>
      </c>
      <c r="J599">
        <f>IF(Table1[[#This Row],[same_1]]=1 &amp; Table1[[#This Row],[same_2]]=1, 1, 0)</f>
        <v>0</v>
      </c>
      <c r="K599">
        <f>IF(ISNUMBER(SEARCH(Table1[[#This Row],[their_ent_1]],Table1[[#This Row],[my_ent_1]])), 1, 0)</f>
        <v>0</v>
      </c>
      <c r="L599">
        <f>IF(ISNUMBER(SEARCH(Table1[[#This Row],[their_ent_2]],Table1[[#This Row],[my_ent_2]])), 1, 0)</f>
        <v>1</v>
      </c>
    </row>
    <row r="600" spans="1:12" hidden="1" x14ac:dyDescent="0.3">
      <c r="A600" t="s">
        <v>1901</v>
      </c>
      <c r="B600" t="s">
        <v>1446</v>
      </c>
      <c r="C600" t="s">
        <v>1902</v>
      </c>
      <c r="D600" t="s">
        <v>1903</v>
      </c>
      <c r="E600" t="s">
        <v>1904</v>
      </c>
      <c r="F600">
        <v>0</v>
      </c>
      <c r="G600">
        <v>598</v>
      </c>
      <c r="H600">
        <f>IF(Table1[[#This Row],[my_ent_1]]=Table1[[#This Row],[their_ent_1]], 1, 0)</f>
        <v>0</v>
      </c>
      <c r="I600">
        <f>IF(Table1[[#This Row],[my_ent_2]]=Table1[[#This Row],[their_ent_2]], 1, 0)</f>
        <v>0</v>
      </c>
      <c r="J600">
        <f>IF(Table1[[#This Row],[same_1]]=1 &amp; Table1[[#This Row],[same_2]]=1, 1, 0)</f>
        <v>0</v>
      </c>
      <c r="K600">
        <f>IF(ISNUMBER(SEARCH(Table1[[#This Row],[their_ent_1]],Table1[[#This Row],[my_ent_1]])), 1, 0)</f>
        <v>0</v>
      </c>
      <c r="L600">
        <f>IF(ISNUMBER(SEARCH(Table1[[#This Row],[their_ent_2]],Table1[[#This Row],[my_ent_2]])), 1, 0)</f>
        <v>1</v>
      </c>
    </row>
    <row r="601" spans="1:12" hidden="1" x14ac:dyDescent="0.3">
      <c r="A601" t="s">
        <v>1905</v>
      </c>
      <c r="B601" t="s">
        <v>1241</v>
      </c>
      <c r="C601" t="s">
        <v>1241</v>
      </c>
      <c r="D601" t="s">
        <v>563</v>
      </c>
      <c r="E601" t="s">
        <v>15</v>
      </c>
      <c r="F601">
        <v>0</v>
      </c>
      <c r="G601">
        <v>599</v>
      </c>
      <c r="H601">
        <f>IF(Table1[[#This Row],[my_ent_1]]=Table1[[#This Row],[their_ent_1]], 1, 0)</f>
        <v>1</v>
      </c>
      <c r="I601">
        <f>IF(Table1[[#This Row],[my_ent_2]]=Table1[[#This Row],[their_ent_2]], 1, 0)</f>
        <v>0</v>
      </c>
      <c r="J601">
        <f>IF(Table1[[#This Row],[same_1]]=1 &amp; Table1[[#This Row],[same_2]]=1, 1, 0)</f>
        <v>0</v>
      </c>
      <c r="K601">
        <f>IF(ISNUMBER(SEARCH(Table1[[#This Row],[their_ent_1]],Table1[[#This Row],[my_ent_1]])), 1, 0)</f>
        <v>1</v>
      </c>
      <c r="L601">
        <f>IF(ISNUMBER(SEARCH(Table1[[#This Row],[their_ent_2]],Table1[[#This Row],[my_ent_2]])), 1, 0)</f>
        <v>0</v>
      </c>
    </row>
    <row r="602" spans="1:12" hidden="1" x14ac:dyDescent="0.3">
      <c r="A602" t="s">
        <v>1906</v>
      </c>
      <c r="B602" t="s">
        <v>401</v>
      </c>
      <c r="C602" t="s">
        <v>196</v>
      </c>
      <c r="D602" t="s">
        <v>241</v>
      </c>
      <c r="E602" t="s">
        <v>34</v>
      </c>
      <c r="F602">
        <v>0</v>
      </c>
      <c r="G602">
        <v>600</v>
      </c>
      <c r="H602">
        <f>IF(Table1[[#This Row],[my_ent_1]]=Table1[[#This Row],[their_ent_1]], 1, 0)</f>
        <v>0</v>
      </c>
      <c r="I602">
        <f>IF(Table1[[#This Row],[my_ent_2]]=Table1[[#This Row],[their_ent_2]], 1, 0)</f>
        <v>0</v>
      </c>
      <c r="J602">
        <f>IF(Table1[[#This Row],[same_1]]=1 &amp; Table1[[#This Row],[same_2]]=1, 1, 0)</f>
        <v>0</v>
      </c>
      <c r="K602">
        <f>IF(ISNUMBER(SEARCH(Table1[[#This Row],[their_ent_1]],Table1[[#This Row],[my_ent_1]])), 1, 0)</f>
        <v>0</v>
      </c>
      <c r="L602">
        <f>IF(ISNUMBER(SEARCH(Table1[[#This Row],[their_ent_2]],Table1[[#This Row],[my_ent_2]])), 1, 0)</f>
        <v>1</v>
      </c>
    </row>
    <row r="603" spans="1:12" hidden="1" x14ac:dyDescent="0.3">
      <c r="A603" t="s">
        <v>1907</v>
      </c>
      <c r="B603" t="s">
        <v>7</v>
      </c>
      <c r="C603" t="s">
        <v>290</v>
      </c>
      <c r="D603" t="s">
        <v>94</v>
      </c>
      <c r="E603" t="s">
        <v>94</v>
      </c>
      <c r="F603">
        <v>0</v>
      </c>
      <c r="G603">
        <v>601</v>
      </c>
      <c r="H603">
        <f>IF(Table1[[#This Row],[my_ent_1]]=Table1[[#This Row],[their_ent_1]], 1, 0)</f>
        <v>0</v>
      </c>
      <c r="I603">
        <f>IF(Table1[[#This Row],[my_ent_2]]=Table1[[#This Row],[their_ent_2]], 1, 0)</f>
        <v>1</v>
      </c>
      <c r="J603">
        <f>IF(Table1[[#This Row],[same_1]]=1 &amp; Table1[[#This Row],[same_2]]=1, 1, 0)</f>
        <v>0</v>
      </c>
      <c r="K603">
        <f>IF(ISNUMBER(SEARCH(Table1[[#This Row],[their_ent_1]],Table1[[#This Row],[my_ent_1]])), 1, 0)</f>
        <v>0</v>
      </c>
      <c r="L603">
        <f>IF(ISNUMBER(SEARCH(Table1[[#This Row],[their_ent_2]],Table1[[#This Row],[my_ent_2]])), 1, 0)</f>
        <v>1</v>
      </c>
    </row>
    <row r="604" spans="1:12" hidden="1" x14ac:dyDescent="0.3">
      <c r="A604" t="s">
        <v>1908</v>
      </c>
      <c r="B604" t="s">
        <v>241</v>
      </c>
      <c r="C604" t="s">
        <v>34</v>
      </c>
      <c r="D604" t="s">
        <v>1909</v>
      </c>
      <c r="E604" t="s">
        <v>683</v>
      </c>
      <c r="F604">
        <v>0</v>
      </c>
      <c r="G604">
        <v>602</v>
      </c>
      <c r="H604">
        <f>IF(Table1[[#This Row],[my_ent_1]]=Table1[[#This Row],[their_ent_1]], 1, 0)</f>
        <v>0</v>
      </c>
      <c r="I604">
        <f>IF(Table1[[#This Row],[my_ent_2]]=Table1[[#This Row],[their_ent_2]], 1, 0)</f>
        <v>0</v>
      </c>
      <c r="J604">
        <f>IF(Table1[[#This Row],[same_1]]=1 &amp; Table1[[#This Row],[same_2]]=1, 1, 0)</f>
        <v>0</v>
      </c>
      <c r="K604">
        <f>IF(ISNUMBER(SEARCH(Table1[[#This Row],[their_ent_1]],Table1[[#This Row],[my_ent_1]])), 1, 0)</f>
        <v>1</v>
      </c>
      <c r="L604">
        <f>IF(ISNUMBER(SEARCH(Table1[[#This Row],[their_ent_2]],Table1[[#This Row],[my_ent_2]])), 1, 0)</f>
        <v>0</v>
      </c>
    </row>
    <row r="605" spans="1:12" hidden="1" x14ac:dyDescent="0.3">
      <c r="A605" t="s">
        <v>1910</v>
      </c>
      <c r="B605" t="s">
        <v>73</v>
      </c>
      <c r="C605" t="s">
        <v>200</v>
      </c>
      <c r="D605" t="s">
        <v>200</v>
      </c>
      <c r="E605" t="s">
        <v>1911</v>
      </c>
      <c r="F605">
        <v>0</v>
      </c>
      <c r="G605">
        <v>603</v>
      </c>
      <c r="H605">
        <f>IF(Table1[[#This Row],[my_ent_1]]=Table1[[#This Row],[their_ent_1]], 1, 0)</f>
        <v>0</v>
      </c>
      <c r="I605">
        <f>IF(Table1[[#This Row],[my_ent_2]]=Table1[[#This Row],[their_ent_2]], 1, 0)</f>
        <v>0</v>
      </c>
      <c r="J605">
        <f>IF(Table1[[#This Row],[same_1]]=1 &amp; Table1[[#This Row],[same_2]]=1, 1, 0)</f>
        <v>0</v>
      </c>
      <c r="K605">
        <f>IF(ISNUMBER(SEARCH(Table1[[#This Row],[their_ent_1]],Table1[[#This Row],[my_ent_1]])), 1, 0)</f>
        <v>0</v>
      </c>
      <c r="L605">
        <f>IF(ISNUMBER(SEARCH(Table1[[#This Row],[their_ent_2]],Table1[[#This Row],[my_ent_2]])), 1, 0)</f>
        <v>0</v>
      </c>
    </row>
    <row r="606" spans="1:12" x14ac:dyDescent="0.3">
      <c r="A606" t="s">
        <v>1912</v>
      </c>
      <c r="B606" t="s">
        <v>1913</v>
      </c>
      <c r="C606" t="s">
        <v>1914</v>
      </c>
      <c r="D606" t="s">
        <v>1915</v>
      </c>
      <c r="E606" t="s">
        <v>1915</v>
      </c>
      <c r="F606">
        <v>0</v>
      </c>
      <c r="G606">
        <v>604</v>
      </c>
      <c r="H606">
        <f>IF(Table1[[#This Row],[my_ent_1]]=Table1[[#This Row],[their_ent_1]], 1, 0)</f>
        <v>0</v>
      </c>
      <c r="I606">
        <f>IF(Table1[[#This Row],[my_ent_2]]=Table1[[#This Row],[their_ent_2]], 1, 0)</f>
        <v>1</v>
      </c>
      <c r="J606">
        <f>IF(Table1[[#This Row],[same_1]]=1 &amp; Table1[[#This Row],[same_2]]=1, 1, 0)</f>
        <v>0</v>
      </c>
      <c r="K606">
        <f>IF(ISNUMBER(SEARCH(Table1[[#This Row],[their_ent_1]],Table1[[#This Row],[my_ent_1]])), 1, 0)</f>
        <v>1</v>
      </c>
      <c r="L606">
        <f>IF(ISNUMBER(SEARCH(Table1[[#This Row],[their_ent_2]],Table1[[#This Row],[my_ent_2]])), 1, 0)</f>
        <v>1</v>
      </c>
    </row>
    <row r="607" spans="1:12" x14ac:dyDescent="0.3">
      <c r="A607" t="s">
        <v>1916</v>
      </c>
      <c r="B607" t="s">
        <v>1917</v>
      </c>
      <c r="C607" t="s">
        <v>1918</v>
      </c>
      <c r="D607" t="s">
        <v>1919</v>
      </c>
      <c r="E607" t="s">
        <v>1920</v>
      </c>
      <c r="F607">
        <v>0</v>
      </c>
      <c r="G607">
        <v>605</v>
      </c>
      <c r="H607">
        <f>IF(Table1[[#This Row],[my_ent_1]]=Table1[[#This Row],[their_ent_1]], 1, 0)</f>
        <v>0</v>
      </c>
      <c r="I607">
        <f>IF(Table1[[#This Row],[my_ent_2]]=Table1[[#This Row],[their_ent_2]], 1, 0)</f>
        <v>0</v>
      </c>
      <c r="J607">
        <f>IF(Table1[[#This Row],[same_1]]=1 &amp; Table1[[#This Row],[same_2]]=1, 1, 0)</f>
        <v>0</v>
      </c>
      <c r="K607">
        <f>IF(ISNUMBER(SEARCH(Table1[[#This Row],[their_ent_1]],Table1[[#This Row],[my_ent_1]])), 1, 0)</f>
        <v>1</v>
      </c>
      <c r="L607">
        <f>IF(ISNUMBER(SEARCH(Table1[[#This Row],[their_ent_2]],Table1[[#This Row],[my_ent_2]])), 1, 0)</f>
        <v>1</v>
      </c>
    </row>
    <row r="608" spans="1:12" hidden="1" x14ac:dyDescent="0.3">
      <c r="A608" t="s">
        <v>1921</v>
      </c>
      <c r="B608" t="s">
        <v>1922</v>
      </c>
      <c r="C608" t="s">
        <v>1922</v>
      </c>
      <c r="D608" t="s">
        <v>351</v>
      </c>
      <c r="E608" t="s">
        <v>1923</v>
      </c>
      <c r="F608">
        <v>0</v>
      </c>
      <c r="G608">
        <v>606</v>
      </c>
      <c r="H608">
        <f>IF(Table1[[#This Row],[my_ent_1]]=Table1[[#This Row],[their_ent_1]], 1, 0)</f>
        <v>1</v>
      </c>
      <c r="I608">
        <f>IF(Table1[[#This Row],[my_ent_2]]=Table1[[#This Row],[their_ent_2]], 1, 0)</f>
        <v>0</v>
      </c>
      <c r="J608">
        <f>IF(Table1[[#This Row],[same_1]]=1 &amp; Table1[[#This Row],[same_2]]=1, 1, 0)</f>
        <v>0</v>
      </c>
      <c r="K608">
        <f>IF(ISNUMBER(SEARCH(Table1[[#This Row],[their_ent_1]],Table1[[#This Row],[my_ent_1]])), 1, 0)</f>
        <v>1</v>
      </c>
      <c r="L608">
        <f>IF(ISNUMBER(SEARCH(Table1[[#This Row],[their_ent_2]],Table1[[#This Row],[my_ent_2]])), 1, 0)</f>
        <v>0</v>
      </c>
    </row>
    <row r="609" spans="1:12" hidden="1" x14ac:dyDescent="0.3">
      <c r="A609" t="s">
        <v>1924</v>
      </c>
      <c r="B609" t="s">
        <v>1925</v>
      </c>
      <c r="C609" t="s">
        <v>507</v>
      </c>
      <c r="D609" t="s">
        <v>404</v>
      </c>
      <c r="E609" t="s">
        <v>121</v>
      </c>
      <c r="F609">
        <v>0</v>
      </c>
      <c r="G609">
        <v>607</v>
      </c>
      <c r="H609">
        <f>IF(Table1[[#This Row],[my_ent_1]]=Table1[[#This Row],[their_ent_1]], 1, 0)</f>
        <v>0</v>
      </c>
      <c r="I609">
        <f>IF(Table1[[#This Row],[my_ent_2]]=Table1[[#This Row],[their_ent_2]], 1, 0)</f>
        <v>0</v>
      </c>
      <c r="J609">
        <f>IF(Table1[[#This Row],[same_1]]=1 &amp; Table1[[#This Row],[same_2]]=1, 1, 0)</f>
        <v>0</v>
      </c>
      <c r="K609">
        <f>IF(ISNUMBER(SEARCH(Table1[[#This Row],[their_ent_1]],Table1[[#This Row],[my_ent_1]])), 1, 0)</f>
        <v>0</v>
      </c>
      <c r="L609">
        <f>IF(ISNUMBER(SEARCH(Table1[[#This Row],[their_ent_2]],Table1[[#This Row],[my_ent_2]])), 1, 0)</f>
        <v>0</v>
      </c>
    </row>
    <row r="610" spans="1:12" hidden="1" x14ac:dyDescent="0.3">
      <c r="A610" t="s">
        <v>1926</v>
      </c>
      <c r="B610" t="s">
        <v>1927</v>
      </c>
      <c r="C610" t="s">
        <v>1928</v>
      </c>
      <c r="D610" t="s">
        <v>54</v>
      </c>
      <c r="E610" t="s">
        <v>1927</v>
      </c>
      <c r="F610">
        <v>0</v>
      </c>
      <c r="G610">
        <v>608</v>
      </c>
      <c r="H610">
        <f>IF(Table1[[#This Row],[my_ent_1]]=Table1[[#This Row],[their_ent_1]], 1, 0)</f>
        <v>0</v>
      </c>
      <c r="I610">
        <f>IF(Table1[[#This Row],[my_ent_2]]=Table1[[#This Row],[their_ent_2]], 1, 0)</f>
        <v>0</v>
      </c>
      <c r="J610">
        <f>IF(Table1[[#This Row],[same_1]]=1 &amp; Table1[[#This Row],[same_2]]=1, 1, 0)</f>
        <v>0</v>
      </c>
      <c r="K610">
        <f>IF(ISNUMBER(SEARCH(Table1[[#This Row],[their_ent_1]],Table1[[#This Row],[my_ent_1]])), 1, 0)</f>
        <v>0</v>
      </c>
      <c r="L610">
        <f>IF(ISNUMBER(SEARCH(Table1[[#This Row],[their_ent_2]],Table1[[#This Row],[my_ent_2]])), 1, 0)</f>
        <v>0</v>
      </c>
    </row>
    <row r="611" spans="1:12" hidden="1" x14ac:dyDescent="0.3">
      <c r="A611" t="s">
        <v>1929</v>
      </c>
      <c r="B611" t="s">
        <v>1930</v>
      </c>
      <c r="C611" t="s">
        <v>1931</v>
      </c>
      <c r="D611" t="s">
        <v>1932</v>
      </c>
      <c r="E611" t="s">
        <v>619</v>
      </c>
      <c r="F611">
        <v>0</v>
      </c>
      <c r="G611">
        <v>609</v>
      </c>
      <c r="H611">
        <f>IF(Table1[[#This Row],[my_ent_1]]=Table1[[#This Row],[their_ent_1]], 1, 0)</f>
        <v>0</v>
      </c>
      <c r="I611">
        <f>IF(Table1[[#This Row],[my_ent_2]]=Table1[[#This Row],[their_ent_2]], 1, 0)</f>
        <v>0</v>
      </c>
      <c r="J611">
        <f>IF(Table1[[#This Row],[same_1]]=1 &amp; Table1[[#This Row],[same_2]]=1, 1, 0)</f>
        <v>0</v>
      </c>
      <c r="K611">
        <f>IF(ISNUMBER(SEARCH(Table1[[#This Row],[their_ent_1]],Table1[[#This Row],[my_ent_1]])), 1, 0)</f>
        <v>0</v>
      </c>
      <c r="L611">
        <f>IF(ISNUMBER(SEARCH(Table1[[#This Row],[their_ent_2]],Table1[[#This Row],[my_ent_2]])), 1, 0)</f>
        <v>0</v>
      </c>
    </row>
    <row r="612" spans="1:12" hidden="1" x14ac:dyDescent="0.3">
      <c r="A612" t="s">
        <v>1933</v>
      </c>
      <c r="B612" t="s">
        <v>51</v>
      </c>
      <c r="C612" t="s">
        <v>1934</v>
      </c>
      <c r="D612" t="s">
        <v>1935</v>
      </c>
      <c r="E612" t="s">
        <v>1935</v>
      </c>
      <c r="F612">
        <v>0</v>
      </c>
      <c r="G612">
        <v>610</v>
      </c>
      <c r="H612">
        <f>IF(Table1[[#This Row],[my_ent_1]]=Table1[[#This Row],[their_ent_1]], 1, 0)</f>
        <v>0</v>
      </c>
      <c r="I612">
        <f>IF(Table1[[#This Row],[my_ent_2]]=Table1[[#This Row],[their_ent_2]], 1, 0)</f>
        <v>1</v>
      </c>
      <c r="J612">
        <f>IF(Table1[[#This Row],[same_1]]=1 &amp; Table1[[#This Row],[same_2]]=1, 1, 0)</f>
        <v>0</v>
      </c>
      <c r="K612">
        <f>IF(ISNUMBER(SEARCH(Table1[[#This Row],[their_ent_1]],Table1[[#This Row],[my_ent_1]])), 1, 0)</f>
        <v>0</v>
      </c>
      <c r="L612">
        <f>IF(ISNUMBER(SEARCH(Table1[[#This Row],[their_ent_2]],Table1[[#This Row],[my_ent_2]])), 1, 0)</f>
        <v>1</v>
      </c>
    </row>
    <row r="613" spans="1:12" hidden="1" x14ac:dyDescent="0.3">
      <c r="A613" t="s">
        <v>1936</v>
      </c>
      <c r="B613" t="s">
        <v>387</v>
      </c>
      <c r="C613" t="s">
        <v>387</v>
      </c>
      <c r="D613" t="s">
        <v>1937</v>
      </c>
      <c r="E613" t="s">
        <v>1938</v>
      </c>
      <c r="F613">
        <v>0</v>
      </c>
      <c r="G613">
        <v>611</v>
      </c>
      <c r="H613">
        <f>IF(Table1[[#This Row],[my_ent_1]]=Table1[[#This Row],[their_ent_1]], 1, 0)</f>
        <v>1</v>
      </c>
      <c r="I613">
        <f>IF(Table1[[#This Row],[my_ent_2]]=Table1[[#This Row],[their_ent_2]], 1, 0)</f>
        <v>0</v>
      </c>
      <c r="J613">
        <f>IF(Table1[[#This Row],[same_1]]=1 &amp; Table1[[#This Row],[same_2]]=1, 1, 0)</f>
        <v>0</v>
      </c>
      <c r="K613">
        <f>IF(ISNUMBER(SEARCH(Table1[[#This Row],[their_ent_1]],Table1[[#This Row],[my_ent_1]])), 1, 0)</f>
        <v>1</v>
      </c>
      <c r="L613">
        <f>IF(ISNUMBER(SEARCH(Table1[[#This Row],[their_ent_2]],Table1[[#This Row],[my_ent_2]])), 1, 0)</f>
        <v>0</v>
      </c>
    </row>
    <row r="614" spans="1:12" hidden="1" x14ac:dyDescent="0.3">
      <c r="A614" t="s">
        <v>1939</v>
      </c>
      <c r="B614" t="s">
        <v>1940</v>
      </c>
      <c r="C614" t="s">
        <v>1714</v>
      </c>
      <c r="D614" t="s">
        <v>1941</v>
      </c>
      <c r="E614" t="s">
        <v>1942</v>
      </c>
      <c r="F614">
        <v>0</v>
      </c>
      <c r="G614">
        <v>612</v>
      </c>
      <c r="H614">
        <f>IF(Table1[[#This Row],[my_ent_1]]=Table1[[#This Row],[their_ent_1]], 1, 0)</f>
        <v>0</v>
      </c>
      <c r="I614">
        <f>IF(Table1[[#This Row],[my_ent_2]]=Table1[[#This Row],[their_ent_2]], 1, 0)</f>
        <v>0</v>
      </c>
      <c r="J614">
        <f>IF(Table1[[#This Row],[same_1]]=1 &amp; Table1[[#This Row],[same_2]]=1, 1, 0)</f>
        <v>0</v>
      </c>
      <c r="K614">
        <f>IF(ISNUMBER(SEARCH(Table1[[#This Row],[their_ent_1]],Table1[[#This Row],[my_ent_1]])), 1, 0)</f>
        <v>0</v>
      </c>
      <c r="L614">
        <f>IF(ISNUMBER(SEARCH(Table1[[#This Row],[their_ent_2]],Table1[[#This Row],[my_ent_2]])), 1, 0)</f>
        <v>0</v>
      </c>
    </row>
    <row r="615" spans="1:12" hidden="1" x14ac:dyDescent="0.3">
      <c r="A615" t="s">
        <v>1943</v>
      </c>
      <c r="B615" t="s">
        <v>7</v>
      </c>
      <c r="C615" t="s">
        <v>1944</v>
      </c>
      <c r="D615" t="s">
        <v>1945</v>
      </c>
      <c r="E615" t="s">
        <v>1946</v>
      </c>
      <c r="F615">
        <v>0</v>
      </c>
      <c r="G615">
        <v>613</v>
      </c>
      <c r="H615">
        <f>IF(Table1[[#This Row],[my_ent_1]]=Table1[[#This Row],[their_ent_1]], 1, 0)</f>
        <v>0</v>
      </c>
      <c r="I615">
        <f>IF(Table1[[#This Row],[my_ent_2]]=Table1[[#This Row],[their_ent_2]], 1, 0)</f>
        <v>0</v>
      </c>
      <c r="J615">
        <f>IF(Table1[[#This Row],[same_1]]=1 &amp; Table1[[#This Row],[same_2]]=1, 1, 0)</f>
        <v>0</v>
      </c>
      <c r="K615">
        <f>IF(ISNUMBER(SEARCH(Table1[[#This Row],[their_ent_1]],Table1[[#This Row],[my_ent_1]])), 1, 0)</f>
        <v>0</v>
      </c>
      <c r="L615">
        <f>IF(ISNUMBER(SEARCH(Table1[[#This Row],[their_ent_2]],Table1[[#This Row],[my_ent_2]])), 1, 0)</f>
        <v>0</v>
      </c>
    </row>
    <row r="616" spans="1:12" hidden="1" x14ac:dyDescent="0.3">
      <c r="A616" t="s">
        <v>1947</v>
      </c>
      <c r="B616" t="s">
        <v>34</v>
      </c>
      <c r="C616" t="s">
        <v>1948</v>
      </c>
      <c r="D616" t="s">
        <v>1948</v>
      </c>
      <c r="E616" t="s">
        <v>1949</v>
      </c>
      <c r="F616">
        <v>0</v>
      </c>
      <c r="G616">
        <v>614</v>
      </c>
      <c r="H616">
        <f>IF(Table1[[#This Row],[my_ent_1]]=Table1[[#This Row],[their_ent_1]], 1, 0)</f>
        <v>0</v>
      </c>
      <c r="I616">
        <f>IF(Table1[[#This Row],[my_ent_2]]=Table1[[#This Row],[their_ent_2]], 1, 0)</f>
        <v>0</v>
      </c>
      <c r="J616">
        <f>IF(Table1[[#This Row],[same_1]]=1 &amp; Table1[[#This Row],[same_2]]=1, 1, 0)</f>
        <v>0</v>
      </c>
      <c r="K616">
        <f>IF(ISNUMBER(SEARCH(Table1[[#This Row],[their_ent_1]],Table1[[#This Row],[my_ent_1]])), 1, 0)</f>
        <v>0</v>
      </c>
      <c r="L616">
        <f>IF(ISNUMBER(SEARCH(Table1[[#This Row],[their_ent_2]],Table1[[#This Row],[my_ent_2]])), 1, 0)</f>
        <v>0</v>
      </c>
    </row>
    <row r="617" spans="1:12" x14ac:dyDescent="0.3">
      <c r="A617" t="s">
        <v>1950</v>
      </c>
      <c r="B617" t="s">
        <v>29</v>
      </c>
      <c r="C617" t="s">
        <v>29</v>
      </c>
      <c r="D617" t="s">
        <v>654</v>
      </c>
      <c r="E617" t="s">
        <v>7</v>
      </c>
      <c r="F617">
        <v>0</v>
      </c>
      <c r="G617">
        <v>615</v>
      </c>
      <c r="H617">
        <f>IF(Table1[[#This Row],[my_ent_1]]=Table1[[#This Row],[their_ent_1]], 1, 0)</f>
        <v>1</v>
      </c>
      <c r="I617">
        <f>IF(Table1[[#This Row],[my_ent_2]]=Table1[[#This Row],[their_ent_2]], 1, 0)</f>
        <v>0</v>
      </c>
      <c r="J617">
        <f>IF(Table1[[#This Row],[same_1]]=1 &amp; Table1[[#This Row],[same_2]]=1, 1, 0)</f>
        <v>0</v>
      </c>
      <c r="K617">
        <f>IF(ISNUMBER(SEARCH(Table1[[#This Row],[their_ent_1]],Table1[[#This Row],[my_ent_1]])), 1, 0)</f>
        <v>1</v>
      </c>
      <c r="L617">
        <f>IF(ISNUMBER(SEARCH(Table1[[#This Row],[their_ent_2]],Table1[[#This Row],[my_ent_2]])), 1, 0)</f>
        <v>1</v>
      </c>
    </row>
    <row r="618" spans="1:12" hidden="1" x14ac:dyDescent="0.3">
      <c r="A618" t="s">
        <v>1951</v>
      </c>
      <c r="B618" t="s">
        <v>1016</v>
      </c>
      <c r="C618" t="s">
        <v>404</v>
      </c>
      <c r="D618" t="s">
        <v>1045</v>
      </c>
      <c r="E618" t="s">
        <v>754</v>
      </c>
      <c r="F618">
        <v>0</v>
      </c>
      <c r="G618">
        <v>616</v>
      </c>
      <c r="H618">
        <f>IF(Table1[[#This Row],[my_ent_1]]=Table1[[#This Row],[their_ent_1]], 1, 0)</f>
        <v>0</v>
      </c>
      <c r="I618">
        <f>IF(Table1[[#This Row],[my_ent_2]]=Table1[[#This Row],[their_ent_2]], 1, 0)</f>
        <v>0</v>
      </c>
      <c r="J618">
        <f>IF(Table1[[#This Row],[same_1]]=1 &amp; Table1[[#This Row],[same_2]]=1, 1, 0)</f>
        <v>0</v>
      </c>
      <c r="K618">
        <f>IF(ISNUMBER(SEARCH(Table1[[#This Row],[their_ent_1]],Table1[[#This Row],[my_ent_1]])), 1, 0)</f>
        <v>0</v>
      </c>
      <c r="L618">
        <f>IF(ISNUMBER(SEARCH(Table1[[#This Row],[their_ent_2]],Table1[[#This Row],[my_ent_2]])), 1, 0)</f>
        <v>1</v>
      </c>
    </row>
    <row r="619" spans="1:12" hidden="1" x14ac:dyDescent="0.3">
      <c r="A619" t="s">
        <v>1952</v>
      </c>
      <c r="B619" t="s">
        <v>1953</v>
      </c>
      <c r="C619" t="s">
        <v>1953</v>
      </c>
      <c r="D619" t="s">
        <v>1954</v>
      </c>
      <c r="E619" t="s">
        <v>580</v>
      </c>
      <c r="F619">
        <v>0</v>
      </c>
      <c r="G619">
        <v>617</v>
      </c>
      <c r="H619">
        <f>IF(Table1[[#This Row],[my_ent_1]]=Table1[[#This Row],[their_ent_1]], 1, 0)</f>
        <v>1</v>
      </c>
      <c r="I619">
        <f>IF(Table1[[#This Row],[my_ent_2]]=Table1[[#This Row],[their_ent_2]], 1, 0)</f>
        <v>0</v>
      </c>
      <c r="J619">
        <f>IF(Table1[[#This Row],[same_1]]=1 &amp; Table1[[#This Row],[same_2]]=1, 1, 0)</f>
        <v>0</v>
      </c>
      <c r="K619">
        <f>IF(ISNUMBER(SEARCH(Table1[[#This Row],[their_ent_1]],Table1[[#This Row],[my_ent_1]])), 1, 0)</f>
        <v>1</v>
      </c>
      <c r="L619">
        <f>IF(ISNUMBER(SEARCH(Table1[[#This Row],[their_ent_2]],Table1[[#This Row],[my_ent_2]])), 1, 0)</f>
        <v>0</v>
      </c>
    </row>
    <row r="620" spans="1:12" hidden="1" x14ac:dyDescent="0.3">
      <c r="A620" t="s">
        <v>1955</v>
      </c>
      <c r="B620" t="s">
        <v>859</v>
      </c>
      <c r="C620" t="s">
        <v>1956</v>
      </c>
      <c r="D620" t="s">
        <v>200</v>
      </c>
      <c r="E620" t="s">
        <v>1957</v>
      </c>
      <c r="F620">
        <v>0</v>
      </c>
      <c r="G620">
        <v>618</v>
      </c>
      <c r="H620">
        <f>IF(Table1[[#This Row],[my_ent_1]]=Table1[[#This Row],[their_ent_1]], 1, 0)</f>
        <v>0</v>
      </c>
      <c r="I620">
        <f>IF(Table1[[#This Row],[my_ent_2]]=Table1[[#This Row],[their_ent_2]], 1, 0)</f>
        <v>0</v>
      </c>
      <c r="J620">
        <f>IF(Table1[[#This Row],[same_1]]=1 &amp; Table1[[#This Row],[same_2]]=1, 1, 0)</f>
        <v>0</v>
      </c>
      <c r="K620">
        <f>IF(ISNUMBER(SEARCH(Table1[[#This Row],[their_ent_1]],Table1[[#This Row],[my_ent_1]])), 1, 0)</f>
        <v>0</v>
      </c>
      <c r="L620">
        <f>IF(ISNUMBER(SEARCH(Table1[[#This Row],[their_ent_2]],Table1[[#This Row],[my_ent_2]])), 1, 0)</f>
        <v>0</v>
      </c>
    </row>
    <row r="621" spans="1:12" hidden="1" x14ac:dyDescent="0.3">
      <c r="A621" t="s">
        <v>1958</v>
      </c>
      <c r="B621" t="s">
        <v>1959</v>
      </c>
      <c r="C621" t="s">
        <v>1959</v>
      </c>
      <c r="D621" t="s">
        <v>953</v>
      </c>
      <c r="E621" t="s">
        <v>578</v>
      </c>
      <c r="F621">
        <v>0</v>
      </c>
      <c r="G621">
        <v>619</v>
      </c>
      <c r="H621">
        <f>IF(Table1[[#This Row],[my_ent_1]]=Table1[[#This Row],[their_ent_1]], 1, 0)</f>
        <v>1</v>
      </c>
      <c r="I621">
        <f>IF(Table1[[#This Row],[my_ent_2]]=Table1[[#This Row],[their_ent_2]], 1, 0)</f>
        <v>0</v>
      </c>
      <c r="J621">
        <f>IF(Table1[[#This Row],[same_1]]=1 &amp; Table1[[#This Row],[same_2]]=1, 1, 0)</f>
        <v>0</v>
      </c>
      <c r="K621">
        <f>IF(ISNUMBER(SEARCH(Table1[[#This Row],[their_ent_1]],Table1[[#This Row],[my_ent_1]])), 1, 0)</f>
        <v>1</v>
      </c>
      <c r="L621">
        <f>IF(ISNUMBER(SEARCH(Table1[[#This Row],[their_ent_2]],Table1[[#This Row],[my_ent_2]])), 1, 0)</f>
        <v>0</v>
      </c>
    </row>
    <row r="622" spans="1:12" hidden="1" x14ac:dyDescent="0.3">
      <c r="A622" t="s">
        <v>1960</v>
      </c>
      <c r="B622" t="s">
        <v>1961</v>
      </c>
      <c r="C622" t="s">
        <v>1962</v>
      </c>
      <c r="D622" t="s">
        <v>1963</v>
      </c>
      <c r="E622" t="s">
        <v>1963</v>
      </c>
      <c r="F622">
        <v>0</v>
      </c>
      <c r="G622">
        <v>620</v>
      </c>
      <c r="H622">
        <f>IF(Table1[[#This Row],[my_ent_1]]=Table1[[#This Row],[their_ent_1]], 1, 0)</f>
        <v>0</v>
      </c>
      <c r="I622">
        <f>IF(Table1[[#This Row],[my_ent_2]]=Table1[[#This Row],[their_ent_2]], 1, 0)</f>
        <v>1</v>
      </c>
      <c r="J622">
        <f>IF(Table1[[#This Row],[same_1]]=1 &amp; Table1[[#This Row],[same_2]]=1, 1, 0)</f>
        <v>0</v>
      </c>
      <c r="K622">
        <f>IF(ISNUMBER(SEARCH(Table1[[#This Row],[their_ent_1]],Table1[[#This Row],[my_ent_1]])), 1, 0)</f>
        <v>0</v>
      </c>
      <c r="L622">
        <f>IF(ISNUMBER(SEARCH(Table1[[#This Row],[their_ent_2]],Table1[[#This Row],[my_ent_2]])), 1, 0)</f>
        <v>1</v>
      </c>
    </row>
    <row r="623" spans="1:12" x14ac:dyDescent="0.3">
      <c r="A623" t="s">
        <v>1964</v>
      </c>
      <c r="B623" t="s">
        <v>580</v>
      </c>
      <c r="C623" t="s">
        <v>580</v>
      </c>
      <c r="D623" t="s">
        <v>992</v>
      </c>
      <c r="E623" t="s">
        <v>993</v>
      </c>
      <c r="F623">
        <v>0</v>
      </c>
      <c r="G623">
        <v>621</v>
      </c>
      <c r="H623">
        <f>IF(Table1[[#This Row],[my_ent_1]]=Table1[[#This Row],[their_ent_1]], 1, 0)</f>
        <v>1</v>
      </c>
      <c r="I623">
        <f>IF(Table1[[#This Row],[my_ent_2]]=Table1[[#This Row],[their_ent_2]], 1, 0)</f>
        <v>0</v>
      </c>
      <c r="J623">
        <f>IF(Table1[[#This Row],[same_1]]=1 &amp; Table1[[#This Row],[same_2]]=1, 1, 0)</f>
        <v>0</v>
      </c>
      <c r="K623">
        <f>IF(ISNUMBER(SEARCH(Table1[[#This Row],[their_ent_1]],Table1[[#This Row],[my_ent_1]])), 1, 0)</f>
        <v>1</v>
      </c>
      <c r="L623">
        <f>IF(ISNUMBER(SEARCH(Table1[[#This Row],[their_ent_2]],Table1[[#This Row],[my_ent_2]])), 1, 0)</f>
        <v>1</v>
      </c>
    </row>
    <row r="624" spans="1:12" hidden="1" x14ac:dyDescent="0.3">
      <c r="A624" t="s">
        <v>1965</v>
      </c>
      <c r="B624" t="s">
        <v>495</v>
      </c>
      <c r="C624" t="s">
        <v>148</v>
      </c>
      <c r="D624" t="s">
        <v>1966</v>
      </c>
      <c r="E624" t="s">
        <v>1967</v>
      </c>
      <c r="F624">
        <v>0</v>
      </c>
      <c r="G624">
        <v>622</v>
      </c>
      <c r="H624">
        <f>IF(Table1[[#This Row],[my_ent_1]]=Table1[[#This Row],[their_ent_1]], 1, 0)</f>
        <v>0</v>
      </c>
      <c r="I624">
        <f>IF(Table1[[#This Row],[my_ent_2]]=Table1[[#This Row],[their_ent_2]], 1, 0)</f>
        <v>0</v>
      </c>
      <c r="J624">
        <f>IF(Table1[[#This Row],[same_1]]=1 &amp; Table1[[#This Row],[same_2]]=1, 1, 0)</f>
        <v>0</v>
      </c>
      <c r="K624">
        <f>IF(ISNUMBER(SEARCH(Table1[[#This Row],[their_ent_1]],Table1[[#This Row],[my_ent_1]])), 1, 0)</f>
        <v>0</v>
      </c>
      <c r="L624">
        <f>IF(ISNUMBER(SEARCH(Table1[[#This Row],[their_ent_2]],Table1[[#This Row],[my_ent_2]])), 1, 0)</f>
        <v>0</v>
      </c>
    </row>
    <row r="625" spans="1:12" hidden="1" x14ac:dyDescent="0.3">
      <c r="A625" t="s">
        <v>1968</v>
      </c>
      <c r="B625" t="s">
        <v>1969</v>
      </c>
      <c r="C625" t="s">
        <v>1969</v>
      </c>
      <c r="D625" t="s">
        <v>1970</v>
      </c>
      <c r="E625" t="s">
        <v>77</v>
      </c>
      <c r="F625">
        <v>0</v>
      </c>
      <c r="G625">
        <v>623</v>
      </c>
      <c r="H625">
        <f>IF(Table1[[#This Row],[my_ent_1]]=Table1[[#This Row],[their_ent_1]], 1, 0)</f>
        <v>1</v>
      </c>
      <c r="I625">
        <f>IF(Table1[[#This Row],[my_ent_2]]=Table1[[#This Row],[their_ent_2]], 1, 0)</f>
        <v>0</v>
      </c>
      <c r="J625">
        <f>IF(Table1[[#This Row],[same_1]]=1 &amp; Table1[[#This Row],[same_2]]=1, 1, 0)</f>
        <v>0</v>
      </c>
      <c r="K625">
        <f>IF(ISNUMBER(SEARCH(Table1[[#This Row],[their_ent_1]],Table1[[#This Row],[my_ent_1]])), 1, 0)</f>
        <v>1</v>
      </c>
      <c r="L625">
        <f>IF(ISNUMBER(SEARCH(Table1[[#This Row],[their_ent_2]],Table1[[#This Row],[my_ent_2]])), 1, 0)</f>
        <v>0</v>
      </c>
    </row>
    <row r="626" spans="1:12" hidden="1" x14ac:dyDescent="0.3">
      <c r="A626" t="s">
        <v>1971</v>
      </c>
      <c r="B626" t="s">
        <v>1972</v>
      </c>
      <c r="C626" t="s">
        <v>217</v>
      </c>
      <c r="D626" t="s">
        <v>1973</v>
      </c>
      <c r="E626" t="s">
        <v>470</v>
      </c>
      <c r="F626">
        <v>0</v>
      </c>
      <c r="G626">
        <v>624</v>
      </c>
      <c r="H626">
        <f>IF(Table1[[#This Row],[my_ent_1]]=Table1[[#This Row],[their_ent_1]], 1, 0)</f>
        <v>0</v>
      </c>
      <c r="I626">
        <f>IF(Table1[[#This Row],[my_ent_2]]=Table1[[#This Row],[their_ent_2]], 1, 0)</f>
        <v>0</v>
      </c>
      <c r="J626">
        <f>IF(Table1[[#This Row],[same_1]]=1 &amp; Table1[[#This Row],[same_2]]=1, 1, 0)</f>
        <v>0</v>
      </c>
      <c r="K626">
        <f>IF(ISNUMBER(SEARCH(Table1[[#This Row],[their_ent_1]],Table1[[#This Row],[my_ent_1]])), 1, 0)</f>
        <v>0</v>
      </c>
      <c r="L626">
        <f>IF(ISNUMBER(SEARCH(Table1[[#This Row],[their_ent_2]],Table1[[#This Row],[my_ent_2]])), 1, 0)</f>
        <v>0</v>
      </c>
    </row>
    <row r="627" spans="1:12" hidden="1" x14ac:dyDescent="0.3">
      <c r="A627" t="s">
        <v>1974</v>
      </c>
      <c r="B627" t="s">
        <v>1975</v>
      </c>
      <c r="C627" t="s">
        <v>1975</v>
      </c>
      <c r="D627" t="s">
        <v>1976</v>
      </c>
      <c r="E627" t="s">
        <v>1977</v>
      </c>
      <c r="F627">
        <v>0</v>
      </c>
      <c r="G627">
        <v>625</v>
      </c>
      <c r="H627">
        <f>IF(Table1[[#This Row],[my_ent_1]]=Table1[[#This Row],[their_ent_1]], 1, 0)</f>
        <v>1</v>
      </c>
      <c r="I627">
        <f>IF(Table1[[#This Row],[my_ent_2]]=Table1[[#This Row],[their_ent_2]], 1, 0)</f>
        <v>0</v>
      </c>
      <c r="J627">
        <f>IF(Table1[[#This Row],[same_1]]=1 &amp; Table1[[#This Row],[same_2]]=1, 1, 0)</f>
        <v>0</v>
      </c>
      <c r="K627">
        <f>IF(ISNUMBER(SEARCH(Table1[[#This Row],[their_ent_1]],Table1[[#This Row],[my_ent_1]])), 1, 0)</f>
        <v>1</v>
      </c>
      <c r="L627">
        <f>IF(ISNUMBER(SEARCH(Table1[[#This Row],[their_ent_2]],Table1[[#This Row],[my_ent_2]])), 1, 0)</f>
        <v>0</v>
      </c>
    </row>
    <row r="628" spans="1:12" hidden="1" x14ac:dyDescent="0.3">
      <c r="A628" t="s">
        <v>1978</v>
      </c>
      <c r="B628" t="s">
        <v>28</v>
      </c>
      <c r="C628" t="s">
        <v>611</v>
      </c>
      <c r="D628" t="s">
        <v>1979</v>
      </c>
      <c r="E628" t="s">
        <v>225</v>
      </c>
      <c r="F628">
        <v>0</v>
      </c>
      <c r="G628">
        <v>626</v>
      </c>
      <c r="H628">
        <f>IF(Table1[[#This Row],[my_ent_1]]=Table1[[#This Row],[their_ent_1]], 1, 0)</f>
        <v>0</v>
      </c>
      <c r="I628">
        <f>IF(Table1[[#This Row],[my_ent_2]]=Table1[[#This Row],[their_ent_2]], 1, 0)</f>
        <v>0</v>
      </c>
      <c r="J628">
        <f>IF(Table1[[#This Row],[same_1]]=1 &amp; Table1[[#This Row],[same_2]]=1, 1, 0)</f>
        <v>0</v>
      </c>
      <c r="K628">
        <f>IF(ISNUMBER(SEARCH(Table1[[#This Row],[their_ent_1]],Table1[[#This Row],[my_ent_1]])), 1, 0)</f>
        <v>0</v>
      </c>
      <c r="L628">
        <f>IF(ISNUMBER(SEARCH(Table1[[#This Row],[their_ent_2]],Table1[[#This Row],[my_ent_2]])), 1, 0)</f>
        <v>0</v>
      </c>
    </row>
    <row r="629" spans="1:12" hidden="1" x14ac:dyDescent="0.3">
      <c r="A629" t="s">
        <v>1980</v>
      </c>
      <c r="B629" t="s">
        <v>1981</v>
      </c>
      <c r="C629" t="s">
        <v>1982</v>
      </c>
      <c r="D629" t="s">
        <v>821</v>
      </c>
      <c r="E629" t="s">
        <v>1983</v>
      </c>
      <c r="F629">
        <v>0</v>
      </c>
      <c r="G629">
        <v>627</v>
      </c>
      <c r="H629">
        <f>IF(Table1[[#This Row],[my_ent_1]]=Table1[[#This Row],[their_ent_1]], 1, 0)</f>
        <v>0</v>
      </c>
      <c r="I629">
        <f>IF(Table1[[#This Row],[my_ent_2]]=Table1[[#This Row],[their_ent_2]], 1, 0)</f>
        <v>0</v>
      </c>
      <c r="J629">
        <f>IF(Table1[[#This Row],[same_1]]=1 &amp; Table1[[#This Row],[same_2]]=1, 1, 0)</f>
        <v>0</v>
      </c>
      <c r="K629">
        <f>IF(ISNUMBER(SEARCH(Table1[[#This Row],[their_ent_1]],Table1[[#This Row],[my_ent_1]])), 1, 0)</f>
        <v>0</v>
      </c>
      <c r="L629">
        <f>IF(ISNUMBER(SEARCH(Table1[[#This Row],[their_ent_2]],Table1[[#This Row],[my_ent_2]])), 1, 0)</f>
        <v>0</v>
      </c>
    </row>
    <row r="630" spans="1:12" hidden="1" x14ac:dyDescent="0.3">
      <c r="A630" t="s">
        <v>1984</v>
      </c>
      <c r="B630" t="s">
        <v>525</v>
      </c>
      <c r="C630" t="s">
        <v>525</v>
      </c>
      <c r="D630" t="s">
        <v>187</v>
      </c>
      <c r="E630" t="s">
        <v>7</v>
      </c>
      <c r="F630">
        <v>0</v>
      </c>
      <c r="G630">
        <v>628</v>
      </c>
      <c r="H630">
        <f>IF(Table1[[#This Row],[my_ent_1]]=Table1[[#This Row],[their_ent_1]], 1, 0)</f>
        <v>1</v>
      </c>
      <c r="I630">
        <f>IF(Table1[[#This Row],[my_ent_2]]=Table1[[#This Row],[their_ent_2]], 1, 0)</f>
        <v>0</v>
      </c>
      <c r="J630">
        <f>IF(Table1[[#This Row],[same_1]]=1 &amp; Table1[[#This Row],[same_2]]=1, 1, 0)</f>
        <v>0</v>
      </c>
      <c r="K630">
        <f>IF(ISNUMBER(SEARCH(Table1[[#This Row],[their_ent_1]],Table1[[#This Row],[my_ent_1]])), 1, 0)</f>
        <v>1</v>
      </c>
      <c r="L630">
        <f>IF(ISNUMBER(SEARCH(Table1[[#This Row],[their_ent_2]],Table1[[#This Row],[my_ent_2]])), 1, 0)</f>
        <v>0</v>
      </c>
    </row>
    <row r="631" spans="1:12" hidden="1" x14ac:dyDescent="0.3">
      <c r="A631" t="s">
        <v>1985</v>
      </c>
      <c r="B631" t="s">
        <v>267</v>
      </c>
      <c r="C631" t="s">
        <v>7</v>
      </c>
      <c r="D631" t="s">
        <v>404</v>
      </c>
      <c r="E631" t="s">
        <v>404</v>
      </c>
      <c r="F631">
        <v>0</v>
      </c>
      <c r="G631">
        <v>629</v>
      </c>
      <c r="H631">
        <f>IF(Table1[[#This Row],[my_ent_1]]=Table1[[#This Row],[their_ent_1]], 1, 0)</f>
        <v>0</v>
      </c>
      <c r="I631">
        <f>IF(Table1[[#This Row],[my_ent_2]]=Table1[[#This Row],[their_ent_2]], 1, 0)</f>
        <v>1</v>
      </c>
      <c r="J631">
        <f>IF(Table1[[#This Row],[same_1]]=1 &amp; Table1[[#This Row],[same_2]]=1, 1, 0)</f>
        <v>0</v>
      </c>
      <c r="K631">
        <f>IF(ISNUMBER(SEARCH(Table1[[#This Row],[their_ent_1]],Table1[[#This Row],[my_ent_1]])), 1, 0)</f>
        <v>0</v>
      </c>
      <c r="L631">
        <f>IF(ISNUMBER(SEARCH(Table1[[#This Row],[their_ent_2]],Table1[[#This Row],[my_ent_2]])), 1, 0)</f>
        <v>1</v>
      </c>
    </row>
    <row r="632" spans="1:12" hidden="1" x14ac:dyDescent="0.3">
      <c r="A632" t="s">
        <v>1986</v>
      </c>
      <c r="B632" t="s">
        <v>813</v>
      </c>
      <c r="C632" t="s">
        <v>256</v>
      </c>
      <c r="D632" t="s">
        <v>1987</v>
      </c>
      <c r="E632" t="s">
        <v>1988</v>
      </c>
      <c r="F632">
        <v>0</v>
      </c>
      <c r="G632">
        <v>630</v>
      </c>
      <c r="H632">
        <f>IF(Table1[[#This Row],[my_ent_1]]=Table1[[#This Row],[their_ent_1]], 1, 0)</f>
        <v>0</v>
      </c>
      <c r="I632">
        <f>IF(Table1[[#This Row],[my_ent_2]]=Table1[[#This Row],[their_ent_2]], 1, 0)</f>
        <v>0</v>
      </c>
      <c r="J632">
        <f>IF(Table1[[#This Row],[same_1]]=1 &amp; Table1[[#This Row],[same_2]]=1, 1, 0)</f>
        <v>0</v>
      </c>
      <c r="K632">
        <f>IF(ISNUMBER(SEARCH(Table1[[#This Row],[their_ent_1]],Table1[[#This Row],[my_ent_1]])), 1, 0)</f>
        <v>0</v>
      </c>
      <c r="L632">
        <f>IF(ISNUMBER(SEARCH(Table1[[#This Row],[their_ent_2]],Table1[[#This Row],[my_ent_2]])), 1, 0)</f>
        <v>0</v>
      </c>
    </row>
    <row r="633" spans="1:12" hidden="1" x14ac:dyDescent="0.3">
      <c r="A633" t="s">
        <v>1989</v>
      </c>
      <c r="B633" t="s">
        <v>1990</v>
      </c>
      <c r="C633" t="s">
        <v>1991</v>
      </c>
      <c r="D633" t="s">
        <v>1992</v>
      </c>
      <c r="E633" t="s">
        <v>1992</v>
      </c>
      <c r="F633">
        <v>0</v>
      </c>
      <c r="G633">
        <v>631</v>
      </c>
      <c r="H633">
        <f>IF(Table1[[#This Row],[my_ent_1]]=Table1[[#This Row],[their_ent_1]], 1, 0)</f>
        <v>0</v>
      </c>
      <c r="I633">
        <f>IF(Table1[[#This Row],[my_ent_2]]=Table1[[#This Row],[their_ent_2]], 1, 0)</f>
        <v>1</v>
      </c>
      <c r="J633">
        <f>IF(Table1[[#This Row],[same_1]]=1 &amp; Table1[[#This Row],[same_2]]=1, 1, 0)</f>
        <v>0</v>
      </c>
      <c r="K633">
        <f>IF(ISNUMBER(SEARCH(Table1[[#This Row],[their_ent_1]],Table1[[#This Row],[my_ent_1]])), 1, 0)</f>
        <v>0</v>
      </c>
      <c r="L633">
        <f>IF(ISNUMBER(SEARCH(Table1[[#This Row],[their_ent_2]],Table1[[#This Row],[my_ent_2]])), 1, 0)</f>
        <v>1</v>
      </c>
    </row>
    <row r="634" spans="1:12" hidden="1" x14ac:dyDescent="0.3">
      <c r="A634" t="s">
        <v>1993</v>
      </c>
      <c r="B634" t="s">
        <v>1994</v>
      </c>
      <c r="C634" t="s">
        <v>1995</v>
      </c>
      <c r="D634" t="s">
        <v>51</v>
      </c>
      <c r="E634" t="s">
        <v>1996</v>
      </c>
      <c r="F634">
        <v>0</v>
      </c>
      <c r="G634">
        <v>632</v>
      </c>
      <c r="H634">
        <f>IF(Table1[[#This Row],[my_ent_1]]=Table1[[#This Row],[their_ent_1]], 1, 0)</f>
        <v>0</v>
      </c>
      <c r="I634">
        <f>IF(Table1[[#This Row],[my_ent_2]]=Table1[[#This Row],[their_ent_2]], 1, 0)</f>
        <v>0</v>
      </c>
      <c r="J634">
        <f>IF(Table1[[#This Row],[same_1]]=1 &amp; Table1[[#This Row],[same_2]]=1, 1, 0)</f>
        <v>0</v>
      </c>
      <c r="K634">
        <f>IF(ISNUMBER(SEARCH(Table1[[#This Row],[their_ent_1]],Table1[[#This Row],[my_ent_1]])), 1, 0)</f>
        <v>0</v>
      </c>
      <c r="L634">
        <f>IF(ISNUMBER(SEARCH(Table1[[#This Row],[their_ent_2]],Table1[[#This Row],[my_ent_2]])), 1, 0)</f>
        <v>0</v>
      </c>
    </row>
    <row r="635" spans="1:12" hidden="1" x14ac:dyDescent="0.3">
      <c r="A635" t="s">
        <v>1997</v>
      </c>
      <c r="B635" t="s">
        <v>1998</v>
      </c>
      <c r="C635" t="s">
        <v>357</v>
      </c>
      <c r="D635" t="s">
        <v>58</v>
      </c>
      <c r="E635" t="s">
        <v>1999</v>
      </c>
      <c r="F635">
        <v>0</v>
      </c>
      <c r="G635">
        <v>633</v>
      </c>
      <c r="H635">
        <f>IF(Table1[[#This Row],[my_ent_1]]=Table1[[#This Row],[their_ent_1]], 1, 0)</f>
        <v>0</v>
      </c>
      <c r="I635">
        <f>IF(Table1[[#This Row],[my_ent_2]]=Table1[[#This Row],[their_ent_2]], 1, 0)</f>
        <v>0</v>
      </c>
      <c r="J635">
        <f>IF(Table1[[#This Row],[same_1]]=1 &amp; Table1[[#This Row],[same_2]]=1, 1, 0)</f>
        <v>0</v>
      </c>
      <c r="K635">
        <f>IF(ISNUMBER(SEARCH(Table1[[#This Row],[their_ent_1]],Table1[[#This Row],[my_ent_1]])), 1, 0)</f>
        <v>0</v>
      </c>
      <c r="L635">
        <f>IF(ISNUMBER(SEARCH(Table1[[#This Row],[their_ent_2]],Table1[[#This Row],[my_ent_2]])), 1, 0)</f>
        <v>0</v>
      </c>
    </row>
    <row r="636" spans="1:12" x14ac:dyDescent="0.3">
      <c r="A636" t="s">
        <v>2000</v>
      </c>
      <c r="B636" t="s">
        <v>2001</v>
      </c>
      <c r="C636" t="s">
        <v>2002</v>
      </c>
      <c r="D636" t="s">
        <v>2003</v>
      </c>
      <c r="E636" t="s">
        <v>2003</v>
      </c>
      <c r="F636">
        <v>0</v>
      </c>
      <c r="G636">
        <v>634</v>
      </c>
      <c r="H636">
        <f>IF(Table1[[#This Row],[my_ent_1]]=Table1[[#This Row],[their_ent_1]], 1, 0)</f>
        <v>0</v>
      </c>
      <c r="I636">
        <f>IF(Table1[[#This Row],[my_ent_2]]=Table1[[#This Row],[their_ent_2]], 1, 0)</f>
        <v>1</v>
      </c>
      <c r="J636">
        <f>IF(Table1[[#This Row],[same_1]]=1 &amp; Table1[[#This Row],[same_2]]=1, 1, 0)</f>
        <v>0</v>
      </c>
      <c r="K636">
        <f>IF(ISNUMBER(SEARCH(Table1[[#This Row],[their_ent_1]],Table1[[#This Row],[my_ent_1]])), 1, 0)</f>
        <v>1</v>
      </c>
      <c r="L636">
        <f>IF(ISNUMBER(SEARCH(Table1[[#This Row],[their_ent_2]],Table1[[#This Row],[my_ent_2]])), 1, 0)</f>
        <v>1</v>
      </c>
    </row>
    <row r="637" spans="1:12" hidden="1" x14ac:dyDescent="0.3">
      <c r="A637" t="s">
        <v>2004</v>
      </c>
      <c r="B637" t="s">
        <v>2005</v>
      </c>
      <c r="C637" t="s">
        <v>2006</v>
      </c>
      <c r="D637" t="s">
        <v>2006</v>
      </c>
      <c r="E637" t="s">
        <v>1477</v>
      </c>
      <c r="F637">
        <v>0</v>
      </c>
      <c r="G637">
        <v>635</v>
      </c>
      <c r="H637">
        <f>IF(Table1[[#This Row],[my_ent_1]]=Table1[[#This Row],[their_ent_1]], 1, 0)</f>
        <v>0</v>
      </c>
      <c r="I637">
        <f>IF(Table1[[#This Row],[my_ent_2]]=Table1[[#This Row],[their_ent_2]], 1, 0)</f>
        <v>0</v>
      </c>
      <c r="J637">
        <f>IF(Table1[[#This Row],[same_1]]=1 &amp; Table1[[#This Row],[same_2]]=1, 1, 0)</f>
        <v>0</v>
      </c>
      <c r="K637">
        <f>IF(ISNUMBER(SEARCH(Table1[[#This Row],[their_ent_1]],Table1[[#This Row],[my_ent_1]])), 1, 0)</f>
        <v>0</v>
      </c>
      <c r="L637">
        <f>IF(ISNUMBER(SEARCH(Table1[[#This Row],[their_ent_2]],Table1[[#This Row],[my_ent_2]])), 1, 0)</f>
        <v>0</v>
      </c>
    </row>
    <row r="638" spans="1:12" x14ac:dyDescent="0.3">
      <c r="A638" t="s">
        <v>2007</v>
      </c>
      <c r="B638" t="s">
        <v>2008</v>
      </c>
      <c r="C638" t="s">
        <v>2009</v>
      </c>
      <c r="D638" t="s">
        <v>1385</v>
      </c>
      <c r="E638" t="s">
        <v>1385</v>
      </c>
      <c r="F638">
        <v>0</v>
      </c>
      <c r="G638">
        <v>636</v>
      </c>
      <c r="H638">
        <f>IF(Table1[[#This Row],[my_ent_1]]=Table1[[#This Row],[their_ent_1]], 1, 0)</f>
        <v>0</v>
      </c>
      <c r="I638">
        <f>IF(Table1[[#This Row],[my_ent_2]]=Table1[[#This Row],[their_ent_2]], 1, 0)</f>
        <v>1</v>
      </c>
      <c r="J638">
        <f>IF(Table1[[#This Row],[same_1]]=1 &amp; Table1[[#This Row],[same_2]]=1, 1, 0)</f>
        <v>0</v>
      </c>
      <c r="K638">
        <f>IF(ISNUMBER(SEARCH(Table1[[#This Row],[their_ent_1]],Table1[[#This Row],[my_ent_1]])), 1, 0)</f>
        <v>1</v>
      </c>
      <c r="L638">
        <f>IF(ISNUMBER(SEARCH(Table1[[#This Row],[their_ent_2]],Table1[[#This Row],[my_ent_2]])), 1, 0)</f>
        <v>1</v>
      </c>
    </row>
    <row r="639" spans="1:12" hidden="1" x14ac:dyDescent="0.3">
      <c r="A639" t="s">
        <v>2010</v>
      </c>
      <c r="B639" t="s">
        <v>2011</v>
      </c>
      <c r="C639" t="s">
        <v>2012</v>
      </c>
      <c r="D639" t="s">
        <v>2013</v>
      </c>
      <c r="E639" t="s">
        <v>2013</v>
      </c>
      <c r="F639">
        <v>0</v>
      </c>
      <c r="G639">
        <v>637</v>
      </c>
      <c r="H639">
        <f>IF(Table1[[#This Row],[my_ent_1]]=Table1[[#This Row],[their_ent_1]], 1, 0)</f>
        <v>0</v>
      </c>
      <c r="I639">
        <f>IF(Table1[[#This Row],[my_ent_2]]=Table1[[#This Row],[their_ent_2]], 1, 0)</f>
        <v>1</v>
      </c>
      <c r="J639">
        <f>IF(Table1[[#This Row],[same_1]]=1 &amp; Table1[[#This Row],[same_2]]=1, 1, 0)</f>
        <v>0</v>
      </c>
      <c r="K639">
        <f>IF(ISNUMBER(SEARCH(Table1[[#This Row],[their_ent_1]],Table1[[#This Row],[my_ent_1]])), 1, 0)</f>
        <v>0</v>
      </c>
      <c r="L639">
        <f>IF(ISNUMBER(SEARCH(Table1[[#This Row],[their_ent_2]],Table1[[#This Row],[my_ent_2]])), 1, 0)</f>
        <v>1</v>
      </c>
    </row>
    <row r="640" spans="1:12" hidden="1" x14ac:dyDescent="0.3">
      <c r="A640" t="s">
        <v>2014</v>
      </c>
      <c r="B640" t="s">
        <v>2015</v>
      </c>
      <c r="C640" t="s">
        <v>2015</v>
      </c>
      <c r="D640" t="s">
        <v>2016</v>
      </c>
      <c r="E640" t="s">
        <v>2017</v>
      </c>
      <c r="F640">
        <v>0</v>
      </c>
      <c r="G640">
        <v>638</v>
      </c>
      <c r="H640">
        <f>IF(Table1[[#This Row],[my_ent_1]]=Table1[[#This Row],[their_ent_1]], 1, 0)</f>
        <v>1</v>
      </c>
      <c r="I640">
        <f>IF(Table1[[#This Row],[my_ent_2]]=Table1[[#This Row],[their_ent_2]], 1, 0)</f>
        <v>0</v>
      </c>
      <c r="J640">
        <f>IF(Table1[[#This Row],[same_1]]=1 &amp; Table1[[#This Row],[same_2]]=1, 1, 0)</f>
        <v>0</v>
      </c>
      <c r="K640">
        <f>IF(ISNUMBER(SEARCH(Table1[[#This Row],[their_ent_1]],Table1[[#This Row],[my_ent_1]])), 1, 0)</f>
        <v>1</v>
      </c>
      <c r="L640">
        <f>IF(ISNUMBER(SEARCH(Table1[[#This Row],[their_ent_2]],Table1[[#This Row],[my_ent_2]])), 1, 0)</f>
        <v>0</v>
      </c>
    </row>
    <row r="641" spans="1:12" hidden="1" x14ac:dyDescent="0.3">
      <c r="A641" t="s">
        <v>2018</v>
      </c>
      <c r="B641" t="s">
        <v>525</v>
      </c>
      <c r="C641" t="s">
        <v>688</v>
      </c>
      <c r="D641" t="s">
        <v>7</v>
      </c>
      <c r="E641" t="s">
        <v>7</v>
      </c>
      <c r="F641">
        <v>0</v>
      </c>
      <c r="G641">
        <v>639</v>
      </c>
      <c r="H641">
        <f>IF(Table1[[#This Row],[my_ent_1]]=Table1[[#This Row],[their_ent_1]], 1, 0)</f>
        <v>0</v>
      </c>
      <c r="I641">
        <f>IF(Table1[[#This Row],[my_ent_2]]=Table1[[#This Row],[their_ent_2]], 1, 0)</f>
        <v>1</v>
      </c>
      <c r="J641">
        <f>IF(Table1[[#This Row],[same_1]]=1 &amp; Table1[[#This Row],[same_2]]=1, 1, 0)</f>
        <v>0</v>
      </c>
      <c r="K641">
        <f>IF(ISNUMBER(SEARCH(Table1[[#This Row],[their_ent_1]],Table1[[#This Row],[my_ent_1]])), 1, 0)</f>
        <v>0</v>
      </c>
      <c r="L641">
        <f>IF(ISNUMBER(SEARCH(Table1[[#This Row],[their_ent_2]],Table1[[#This Row],[my_ent_2]])), 1, 0)</f>
        <v>1</v>
      </c>
    </row>
    <row r="642" spans="1:12" hidden="1" x14ac:dyDescent="0.3">
      <c r="A642" t="s">
        <v>1125</v>
      </c>
      <c r="B642" t="s">
        <v>15</v>
      </c>
      <c r="C642" t="s">
        <v>15</v>
      </c>
      <c r="D642" t="s">
        <v>324</v>
      </c>
      <c r="E642" t="s">
        <v>73</v>
      </c>
      <c r="F642">
        <v>0</v>
      </c>
      <c r="G642">
        <v>640</v>
      </c>
      <c r="H642">
        <f>IF(Table1[[#This Row],[my_ent_1]]=Table1[[#This Row],[their_ent_1]], 1, 0)</f>
        <v>1</v>
      </c>
      <c r="I642">
        <f>IF(Table1[[#This Row],[my_ent_2]]=Table1[[#This Row],[their_ent_2]], 1, 0)</f>
        <v>0</v>
      </c>
      <c r="J642">
        <f>IF(Table1[[#This Row],[same_1]]=1 &amp; Table1[[#This Row],[same_2]]=1, 1, 0)</f>
        <v>0</v>
      </c>
      <c r="K642">
        <f>IF(ISNUMBER(SEARCH(Table1[[#This Row],[their_ent_1]],Table1[[#This Row],[my_ent_1]])), 1, 0)</f>
        <v>1</v>
      </c>
      <c r="L642">
        <f>IF(ISNUMBER(SEARCH(Table1[[#This Row],[their_ent_2]],Table1[[#This Row],[my_ent_2]])), 1, 0)</f>
        <v>0</v>
      </c>
    </row>
    <row r="643" spans="1:12" x14ac:dyDescent="0.3">
      <c r="A643" t="s">
        <v>2019</v>
      </c>
      <c r="B643" t="s">
        <v>2020</v>
      </c>
      <c r="C643" t="s">
        <v>2020</v>
      </c>
      <c r="D643" t="s">
        <v>1687</v>
      </c>
      <c r="E643" t="s">
        <v>2021</v>
      </c>
      <c r="F643">
        <v>0</v>
      </c>
      <c r="G643">
        <v>641</v>
      </c>
      <c r="H643">
        <f>IF(Table1[[#This Row],[my_ent_1]]=Table1[[#This Row],[their_ent_1]], 1, 0)</f>
        <v>1</v>
      </c>
      <c r="I643">
        <f>IF(Table1[[#This Row],[my_ent_2]]=Table1[[#This Row],[their_ent_2]], 1, 0)</f>
        <v>0</v>
      </c>
      <c r="J643">
        <f>IF(Table1[[#This Row],[same_1]]=1 &amp; Table1[[#This Row],[same_2]]=1, 1, 0)</f>
        <v>0</v>
      </c>
      <c r="K643">
        <f>IF(ISNUMBER(SEARCH(Table1[[#This Row],[their_ent_1]],Table1[[#This Row],[my_ent_1]])), 1, 0)</f>
        <v>1</v>
      </c>
      <c r="L643">
        <f>IF(ISNUMBER(SEARCH(Table1[[#This Row],[their_ent_2]],Table1[[#This Row],[my_ent_2]])), 1, 0)</f>
        <v>1</v>
      </c>
    </row>
    <row r="644" spans="1:12" hidden="1" x14ac:dyDescent="0.3">
      <c r="A644" t="s">
        <v>2022</v>
      </c>
      <c r="B644" t="s">
        <v>2023</v>
      </c>
      <c r="C644" t="s">
        <v>2023</v>
      </c>
      <c r="D644" t="s">
        <v>2024</v>
      </c>
      <c r="E644" t="s">
        <v>34</v>
      </c>
      <c r="F644">
        <v>0</v>
      </c>
      <c r="G644">
        <v>642</v>
      </c>
      <c r="H644">
        <f>IF(Table1[[#This Row],[my_ent_1]]=Table1[[#This Row],[their_ent_1]], 1, 0)</f>
        <v>1</v>
      </c>
      <c r="I644">
        <f>IF(Table1[[#This Row],[my_ent_2]]=Table1[[#This Row],[their_ent_2]], 1, 0)</f>
        <v>0</v>
      </c>
      <c r="J644">
        <f>IF(Table1[[#This Row],[same_1]]=1 &amp; Table1[[#This Row],[same_2]]=1, 1, 0)</f>
        <v>0</v>
      </c>
      <c r="K644">
        <f>IF(ISNUMBER(SEARCH(Table1[[#This Row],[their_ent_1]],Table1[[#This Row],[my_ent_1]])), 1, 0)</f>
        <v>1</v>
      </c>
      <c r="L644">
        <f>IF(ISNUMBER(SEARCH(Table1[[#This Row],[their_ent_2]],Table1[[#This Row],[my_ent_2]])), 1, 0)</f>
        <v>0</v>
      </c>
    </row>
    <row r="645" spans="1:12" x14ac:dyDescent="0.3">
      <c r="A645" t="s">
        <v>2025</v>
      </c>
      <c r="B645" t="s">
        <v>2026</v>
      </c>
      <c r="C645" t="s">
        <v>2027</v>
      </c>
      <c r="D645" t="s">
        <v>2028</v>
      </c>
      <c r="E645" t="s">
        <v>2028</v>
      </c>
      <c r="F645">
        <v>0</v>
      </c>
      <c r="G645">
        <v>643</v>
      </c>
      <c r="H645">
        <f>IF(Table1[[#This Row],[my_ent_1]]=Table1[[#This Row],[their_ent_1]], 1, 0)</f>
        <v>0</v>
      </c>
      <c r="I645">
        <f>IF(Table1[[#This Row],[my_ent_2]]=Table1[[#This Row],[their_ent_2]], 1, 0)</f>
        <v>1</v>
      </c>
      <c r="J645">
        <f>IF(Table1[[#This Row],[same_1]]=1 &amp; Table1[[#This Row],[same_2]]=1, 1, 0)</f>
        <v>0</v>
      </c>
      <c r="K645">
        <f>IF(ISNUMBER(SEARCH(Table1[[#This Row],[their_ent_1]],Table1[[#This Row],[my_ent_1]])), 1, 0)</f>
        <v>1</v>
      </c>
      <c r="L645">
        <f>IF(ISNUMBER(SEARCH(Table1[[#This Row],[their_ent_2]],Table1[[#This Row],[my_ent_2]])), 1, 0)</f>
        <v>1</v>
      </c>
    </row>
    <row r="646" spans="1:12" hidden="1" x14ac:dyDescent="0.3">
      <c r="A646" t="s">
        <v>2029</v>
      </c>
      <c r="B646" t="s">
        <v>2030</v>
      </c>
      <c r="C646" t="s">
        <v>2031</v>
      </c>
      <c r="D646" t="s">
        <v>199</v>
      </c>
      <c r="E646" t="s">
        <v>199</v>
      </c>
      <c r="F646">
        <v>0</v>
      </c>
      <c r="G646">
        <v>644</v>
      </c>
      <c r="H646">
        <f>IF(Table1[[#This Row],[my_ent_1]]=Table1[[#This Row],[their_ent_1]], 1, 0)</f>
        <v>0</v>
      </c>
      <c r="I646">
        <f>IF(Table1[[#This Row],[my_ent_2]]=Table1[[#This Row],[their_ent_2]], 1, 0)</f>
        <v>1</v>
      </c>
      <c r="J646">
        <f>IF(Table1[[#This Row],[same_1]]=1 &amp; Table1[[#This Row],[same_2]]=1, 1, 0)</f>
        <v>0</v>
      </c>
      <c r="K646">
        <f>IF(ISNUMBER(SEARCH(Table1[[#This Row],[their_ent_1]],Table1[[#This Row],[my_ent_1]])), 1, 0)</f>
        <v>0</v>
      </c>
      <c r="L646">
        <f>IF(ISNUMBER(SEARCH(Table1[[#This Row],[their_ent_2]],Table1[[#This Row],[my_ent_2]])), 1, 0)</f>
        <v>1</v>
      </c>
    </row>
    <row r="647" spans="1:12" hidden="1" x14ac:dyDescent="0.3">
      <c r="A647" t="s">
        <v>2032</v>
      </c>
      <c r="B647" t="s">
        <v>2033</v>
      </c>
      <c r="C647" t="s">
        <v>2033</v>
      </c>
      <c r="D647" t="s">
        <v>2034</v>
      </c>
      <c r="E647" t="s">
        <v>2035</v>
      </c>
      <c r="F647">
        <v>0</v>
      </c>
      <c r="G647">
        <v>645</v>
      </c>
      <c r="H647">
        <f>IF(Table1[[#This Row],[my_ent_1]]=Table1[[#This Row],[their_ent_1]], 1, 0)</f>
        <v>1</v>
      </c>
      <c r="I647">
        <f>IF(Table1[[#This Row],[my_ent_2]]=Table1[[#This Row],[their_ent_2]], 1, 0)</f>
        <v>0</v>
      </c>
      <c r="J647">
        <f>IF(Table1[[#This Row],[same_1]]=1 &amp; Table1[[#This Row],[same_2]]=1, 1, 0)</f>
        <v>0</v>
      </c>
      <c r="K647">
        <f>IF(ISNUMBER(SEARCH(Table1[[#This Row],[their_ent_1]],Table1[[#This Row],[my_ent_1]])), 1, 0)</f>
        <v>1</v>
      </c>
      <c r="L647">
        <f>IF(ISNUMBER(SEARCH(Table1[[#This Row],[their_ent_2]],Table1[[#This Row],[my_ent_2]])), 1, 0)</f>
        <v>0</v>
      </c>
    </row>
    <row r="648" spans="1:12" hidden="1" x14ac:dyDescent="0.3">
      <c r="A648" t="s">
        <v>2036</v>
      </c>
      <c r="B648" t="s">
        <v>2037</v>
      </c>
      <c r="C648" t="s">
        <v>2037</v>
      </c>
      <c r="D648" t="s">
        <v>58</v>
      </c>
      <c r="E648" t="s">
        <v>378</v>
      </c>
      <c r="F648">
        <v>0</v>
      </c>
      <c r="G648">
        <v>646</v>
      </c>
      <c r="H648">
        <f>IF(Table1[[#This Row],[my_ent_1]]=Table1[[#This Row],[their_ent_1]], 1, 0)</f>
        <v>1</v>
      </c>
      <c r="I648">
        <f>IF(Table1[[#This Row],[my_ent_2]]=Table1[[#This Row],[their_ent_2]], 1, 0)</f>
        <v>0</v>
      </c>
      <c r="J648">
        <f>IF(Table1[[#This Row],[same_1]]=1 &amp; Table1[[#This Row],[same_2]]=1, 1, 0)</f>
        <v>0</v>
      </c>
      <c r="K648">
        <f>IF(ISNUMBER(SEARCH(Table1[[#This Row],[their_ent_1]],Table1[[#This Row],[my_ent_1]])), 1, 0)</f>
        <v>1</v>
      </c>
      <c r="L648">
        <f>IF(ISNUMBER(SEARCH(Table1[[#This Row],[their_ent_2]],Table1[[#This Row],[my_ent_2]])), 1, 0)</f>
        <v>0</v>
      </c>
    </row>
    <row r="649" spans="1:12" hidden="1" x14ac:dyDescent="0.3">
      <c r="A649" t="s">
        <v>2038</v>
      </c>
      <c r="B649" t="s">
        <v>2039</v>
      </c>
      <c r="C649" t="s">
        <v>17</v>
      </c>
      <c r="D649" t="s">
        <v>34</v>
      </c>
      <c r="E649" t="s">
        <v>2040</v>
      </c>
      <c r="F649">
        <v>0</v>
      </c>
      <c r="G649">
        <v>647</v>
      </c>
      <c r="H649">
        <f>IF(Table1[[#This Row],[my_ent_1]]=Table1[[#This Row],[their_ent_1]], 1, 0)</f>
        <v>0</v>
      </c>
      <c r="I649">
        <f>IF(Table1[[#This Row],[my_ent_2]]=Table1[[#This Row],[their_ent_2]], 1, 0)</f>
        <v>0</v>
      </c>
      <c r="J649">
        <f>IF(Table1[[#This Row],[same_1]]=1 &amp; Table1[[#This Row],[same_2]]=1, 1, 0)</f>
        <v>0</v>
      </c>
      <c r="K649">
        <f>IF(ISNUMBER(SEARCH(Table1[[#This Row],[their_ent_1]],Table1[[#This Row],[my_ent_1]])), 1, 0)</f>
        <v>0</v>
      </c>
      <c r="L649">
        <f>IF(ISNUMBER(SEARCH(Table1[[#This Row],[their_ent_2]],Table1[[#This Row],[my_ent_2]])), 1, 0)</f>
        <v>0</v>
      </c>
    </row>
    <row r="650" spans="1:12" x14ac:dyDescent="0.3">
      <c r="A650" t="s">
        <v>2041</v>
      </c>
      <c r="B650" t="s">
        <v>58</v>
      </c>
      <c r="C650" t="s">
        <v>58</v>
      </c>
      <c r="D650" t="s">
        <v>401</v>
      </c>
      <c r="E650" t="s">
        <v>30</v>
      </c>
      <c r="F650">
        <v>0</v>
      </c>
      <c r="G650">
        <v>648</v>
      </c>
      <c r="H650">
        <f>IF(Table1[[#This Row],[my_ent_1]]=Table1[[#This Row],[their_ent_1]], 1, 0)</f>
        <v>1</v>
      </c>
      <c r="I650">
        <f>IF(Table1[[#This Row],[my_ent_2]]=Table1[[#This Row],[their_ent_2]], 1, 0)</f>
        <v>0</v>
      </c>
      <c r="J650">
        <f>IF(Table1[[#This Row],[same_1]]=1 &amp; Table1[[#This Row],[same_2]]=1, 1, 0)</f>
        <v>0</v>
      </c>
      <c r="K650">
        <f>IF(ISNUMBER(SEARCH(Table1[[#This Row],[their_ent_1]],Table1[[#This Row],[my_ent_1]])), 1, 0)</f>
        <v>1</v>
      </c>
      <c r="L650">
        <f>IF(ISNUMBER(SEARCH(Table1[[#This Row],[their_ent_2]],Table1[[#This Row],[my_ent_2]])), 1, 0)</f>
        <v>1</v>
      </c>
    </row>
    <row r="651" spans="1:12" hidden="1" x14ac:dyDescent="0.3">
      <c r="A651" t="s">
        <v>2042</v>
      </c>
      <c r="B651" t="s">
        <v>525</v>
      </c>
      <c r="C651" t="s">
        <v>525</v>
      </c>
      <c r="D651" t="s">
        <v>2043</v>
      </c>
      <c r="E651" t="s">
        <v>2044</v>
      </c>
      <c r="F651">
        <v>0</v>
      </c>
      <c r="G651">
        <v>649</v>
      </c>
      <c r="H651">
        <f>IF(Table1[[#This Row],[my_ent_1]]=Table1[[#This Row],[their_ent_1]], 1, 0)</f>
        <v>1</v>
      </c>
      <c r="I651">
        <f>IF(Table1[[#This Row],[my_ent_2]]=Table1[[#This Row],[their_ent_2]], 1, 0)</f>
        <v>0</v>
      </c>
      <c r="J651">
        <f>IF(Table1[[#This Row],[same_1]]=1 &amp; Table1[[#This Row],[same_2]]=1, 1, 0)</f>
        <v>0</v>
      </c>
      <c r="K651">
        <f>IF(ISNUMBER(SEARCH(Table1[[#This Row],[their_ent_1]],Table1[[#This Row],[my_ent_1]])), 1, 0)</f>
        <v>1</v>
      </c>
      <c r="L651">
        <f>IF(ISNUMBER(SEARCH(Table1[[#This Row],[their_ent_2]],Table1[[#This Row],[my_ent_2]])), 1, 0)</f>
        <v>0</v>
      </c>
    </row>
    <row r="652" spans="1:12" hidden="1" x14ac:dyDescent="0.3">
      <c r="A652" t="s">
        <v>2045</v>
      </c>
      <c r="B652" t="s">
        <v>2046</v>
      </c>
      <c r="C652" t="s">
        <v>2047</v>
      </c>
      <c r="D652" t="s">
        <v>2048</v>
      </c>
      <c r="E652" t="s">
        <v>2049</v>
      </c>
      <c r="F652">
        <v>0</v>
      </c>
      <c r="G652">
        <v>650</v>
      </c>
      <c r="H652">
        <f>IF(Table1[[#This Row],[my_ent_1]]=Table1[[#This Row],[their_ent_1]], 1, 0)</f>
        <v>0</v>
      </c>
      <c r="I652">
        <f>IF(Table1[[#This Row],[my_ent_2]]=Table1[[#This Row],[their_ent_2]], 1, 0)</f>
        <v>0</v>
      </c>
      <c r="J652">
        <f>IF(Table1[[#This Row],[same_1]]=1 &amp; Table1[[#This Row],[same_2]]=1, 1, 0)</f>
        <v>0</v>
      </c>
      <c r="K652">
        <f>IF(ISNUMBER(SEARCH(Table1[[#This Row],[their_ent_1]],Table1[[#This Row],[my_ent_1]])), 1, 0)</f>
        <v>0</v>
      </c>
      <c r="L652">
        <f>IF(ISNUMBER(SEARCH(Table1[[#This Row],[their_ent_2]],Table1[[#This Row],[my_ent_2]])), 1, 0)</f>
        <v>0</v>
      </c>
    </row>
    <row r="653" spans="1:12" x14ac:dyDescent="0.3">
      <c r="A653" t="s">
        <v>2050</v>
      </c>
      <c r="B653" t="s">
        <v>2051</v>
      </c>
      <c r="C653" t="s">
        <v>2052</v>
      </c>
      <c r="D653" t="s">
        <v>2053</v>
      </c>
      <c r="E653" t="s">
        <v>2053</v>
      </c>
      <c r="F653">
        <v>0</v>
      </c>
      <c r="G653">
        <v>651</v>
      </c>
      <c r="H653">
        <f>IF(Table1[[#This Row],[my_ent_1]]=Table1[[#This Row],[their_ent_1]], 1, 0)</f>
        <v>0</v>
      </c>
      <c r="I653">
        <f>IF(Table1[[#This Row],[my_ent_2]]=Table1[[#This Row],[their_ent_2]], 1, 0)</f>
        <v>1</v>
      </c>
      <c r="J653">
        <f>IF(Table1[[#This Row],[same_1]]=1 &amp; Table1[[#This Row],[same_2]]=1, 1, 0)</f>
        <v>0</v>
      </c>
      <c r="K653">
        <f>IF(ISNUMBER(SEARCH(Table1[[#This Row],[their_ent_1]],Table1[[#This Row],[my_ent_1]])), 1, 0)</f>
        <v>1</v>
      </c>
      <c r="L653">
        <f>IF(ISNUMBER(SEARCH(Table1[[#This Row],[their_ent_2]],Table1[[#This Row],[my_ent_2]])), 1, 0)</f>
        <v>1</v>
      </c>
    </row>
    <row r="654" spans="1:12" hidden="1" x14ac:dyDescent="0.3">
      <c r="A654" t="s">
        <v>2054</v>
      </c>
      <c r="B654" t="s">
        <v>2055</v>
      </c>
      <c r="C654" t="s">
        <v>2056</v>
      </c>
      <c r="D654" t="s">
        <v>1481</v>
      </c>
      <c r="E654" t="s">
        <v>2057</v>
      </c>
      <c r="F654">
        <v>0</v>
      </c>
      <c r="G654">
        <v>652</v>
      </c>
      <c r="H654">
        <f>IF(Table1[[#This Row],[my_ent_1]]=Table1[[#This Row],[their_ent_1]], 1, 0)</f>
        <v>0</v>
      </c>
      <c r="I654">
        <f>IF(Table1[[#This Row],[my_ent_2]]=Table1[[#This Row],[their_ent_2]], 1, 0)</f>
        <v>0</v>
      </c>
      <c r="J654">
        <f>IF(Table1[[#This Row],[same_1]]=1 &amp; Table1[[#This Row],[same_2]]=1, 1, 0)</f>
        <v>0</v>
      </c>
      <c r="K654">
        <f>IF(ISNUMBER(SEARCH(Table1[[#This Row],[their_ent_1]],Table1[[#This Row],[my_ent_1]])), 1, 0)</f>
        <v>0</v>
      </c>
      <c r="L654">
        <f>IF(ISNUMBER(SEARCH(Table1[[#This Row],[their_ent_2]],Table1[[#This Row],[my_ent_2]])), 1, 0)</f>
        <v>0</v>
      </c>
    </row>
    <row r="655" spans="1:12" hidden="1" x14ac:dyDescent="0.3">
      <c r="A655" t="s">
        <v>2058</v>
      </c>
      <c r="B655" t="s">
        <v>2059</v>
      </c>
      <c r="C655" t="s">
        <v>382</v>
      </c>
      <c r="D655" t="s">
        <v>2060</v>
      </c>
      <c r="E655" t="s">
        <v>2061</v>
      </c>
      <c r="F655">
        <v>0</v>
      </c>
      <c r="G655">
        <v>653</v>
      </c>
      <c r="H655">
        <f>IF(Table1[[#This Row],[my_ent_1]]=Table1[[#This Row],[their_ent_1]], 1, 0)</f>
        <v>0</v>
      </c>
      <c r="I655">
        <f>IF(Table1[[#This Row],[my_ent_2]]=Table1[[#This Row],[their_ent_2]], 1, 0)</f>
        <v>0</v>
      </c>
      <c r="J655">
        <f>IF(Table1[[#This Row],[same_1]]=1 &amp; Table1[[#This Row],[same_2]]=1, 1, 0)</f>
        <v>0</v>
      </c>
      <c r="K655">
        <f>IF(ISNUMBER(SEARCH(Table1[[#This Row],[their_ent_1]],Table1[[#This Row],[my_ent_1]])), 1, 0)</f>
        <v>0</v>
      </c>
      <c r="L655">
        <f>IF(ISNUMBER(SEARCH(Table1[[#This Row],[their_ent_2]],Table1[[#This Row],[my_ent_2]])), 1, 0)</f>
        <v>1</v>
      </c>
    </row>
    <row r="656" spans="1:12" hidden="1" x14ac:dyDescent="0.3">
      <c r="A656" t="s">
        <v>617</v>
      </c>
      <c r="B656" t="s">
        <v>618</v>
      </c>
      <c r="C656" t="s">
        <v>618</v>
      </c>
      <c r="D656" t="s">
        <v>94</v>
      </c>
      <c r="E656" t="s">
        <v>619</v>
      </c>
      <c r="F656">
        <v>0</v>
      </c>
      <c r="G656">
        <v>654</v>
      </c>
      <c r="H656">
        <f>IF(Table1[[#This Row],[my_ent_1]]=Table1[[#This Row],[their_ent_1]], 1, 0)</f>
        <v>1</v>
      </c>
      <c r="I656">
        <f>IF(Table1[[#This Row],[my_ent_2]]=Table1[[#This Row],[their_ent_2]], 1, 0)</f>
        <v>0</v>
      </c>
      <c r="J656">
        <f>IF(Table1[[#This Row],[same_1]]=1 &amp; Table1[[#This Row],[same_2]]=1, 1, 0)</f>
        <v>0</v>
      </c>
      <c r="K656">
        <f>IF(ISNUMBER(SEARCH(Table1[[#This Row],[their_ent_1]],Table1[[#This Row],[my_ent_1]])), 1, 0)</f>
        <v>1</v>
      </c>
      <c r="L656">
        <f>IF(ISNUMBER(SEARCH(Table1[[#This Row],[their_ent_2]],Table1[[#This Row],[my_ent_2]])), 1, 0)</f>
        <v>0</v>
      </c>
    </row>
    <row r="657" spans="1:12" hidden="1" x14ac:dyDescent="0.3">
      <c r="A657" t="s">
        <v>2062</v>
      </c>
      <c r="B657" t="s">
        <v>2063</v>
      </c>
      <c r="C657" t="s">
        <v>2064</v>
      </c>
      <c r="D657" t="s">
        <v>7</v>
      </c>
      <c r="E657" t="s">
        <v>7</v>
      </c>
      <c r="F657">
        <v>0</v>
      </c>
      <c r="G657">
        <v>655</v>
      </c>
      <c r="H657">
        <f>IF(Table1[[#This Row],[my_ent_1]]=Table1[[#This Row],[their_ent_1]], 1, 0)</f>
        <v>0</v>
      </c>
      <c r="I657">
        <f>IF(Table1[[#This Row],[my_ent_2]]=Table1[[#This Row],[their_ent_2]], 1, 0)</f>
        <v>1</v>
      </c>
      <c r="J657">
        <f>IF(Table1[[#This Row],[same_1]]=1 &amp; Table1[[#This Row],[same_2]]=1, 1, 0)</f>
        <v>0</v>
      </c>
      <c r="K657">
        <f>IF(ISNUMBER(SEARCH(Table1[[#This Row],[their_ent_1]],Table1[[#This Row],[my_ent_1]])), 1, 0)</f>
        <v>0</v>
      </c>
      <c r="L657">
        <f>IF(ISNUMBER(SEARCH(Table1[[#This Row],[their_ent_2]],Table1[[#This Row],[my_ent_2]])), 1, 0)</f>
        <v>1</v>
      </c>
    </row>
    <row r="658" spans="1:12" hidden="1" x14ac:dyDescent="0.3">
      <c r="A658" t="s">
        <v>2065</v>
      </c>
      <c r="B658" t="s">
        <v>2066</v>
      </c>
      <c r="C658" t="s">
        <v>513</v>
      </c>
      <c r="D658" t="s">
        <v>513</v>
      </c>
      <c r="E658" t="s">
        <v>619</v>
      </c>
      <c r="F658">
        <v>0</v>
      </c>
      <c r="G658">
        <v>656</v>
      </c>
      <c r="H658">
        <f>IF(Table1[[#This Row],[my_ent_1]]=Table1[[#This Row],[their_ent_1]], 1, 0)</f>
        <v>0</v>
      </c>
      <c r="I658">
        <f>IF(Table1[[#This Row],[my_ent_2]]=Table1[[#This Row],[their_ent_2]], 1, 0)</f>
        <v>0</v>
      </c>
      <c r="J658">
        <f>IF(Table1[[#This Row],[same_1]]=1 &amp; Table1[[#This Row],[same_2]]=1, 1, 0)</f>
        <v>0</v>
      </c>
      <c r="K658">
        <f>IF(ISNUMBER(SEARCH(Table1[[#This Row],[their_ent_1]],Table1[[#This Row],[my_ent_1]])), 1, 0)</f>
        <v>0</v>
      </c>
      <c r="L658">
        <f>IF(ISNUMBER(SEARCH(Table1[[#This Row],[their_ent_2]],Table1[[#This Row],[my_ent_2]])), 1, 0)</f>
        <v>0</v>
      </c>
    </row>
    <row r="659" spans="1:12" x14ac:dyDescent="0.3">
      <c r="A659" t="s">
        <v>2067</v>
      </c>
      <c r="B659" t="s">
        <v>2068</v>
      </c>
      <c r="C659" t="s">
        <v>30</v>
      </c>
      <c r="D659" t="s">
        <v>34</v>
      </c>
      <c r="E659" t="s">
        <v>34</v>
      </c>
      <c r="F659">
        <v>0</v>
      </c>
      <c r="G659">
        <v>657</v>
      </c>
      <c r="H659">
        <f>IF(Table1[[#This Row],[my_ent_1]]=Table1[[#This Row],[their_ent_1]], 1, 0)</f>
        <v>0</v>
      </c>
      <c r="I659">
        <f>IF(Table1[[#This Row],[my_ent_2]]=Table1[[#This Row],[their_ent_2]], 1, 0)</f>
        <v>1</v>
      </c>
      <c r="J659">
        <f>IF(Table1[[#This Row],[same_1]]=1 &amp; Table1[[#This Row],[same_2]]=1, 1, 0)</f>
        <v>0</v>
      </c>
      <c r="K659">
        <f>IF(ISNUMBER(SEARCH(Table1[[#This Row],[their_ent_1]],Table1[[#This Row],[my_ent_1]])), 1, 0)</f>
        <v>1</v>
      </c>
      <c r="L659">
        <f>IF(ISNUMBER(SEARCH(Table1[[#This Row],[their_ent_2]],Table1[[#This Row],[my_ent_2]])), 1, 0)</f>
        <v>1</v>
      </c>
    </row>
    <row r="660" spans="1:12" hidden="1" x14ac:dyDescent="0.3">
      <c r="A660" t="s">
        <v>2069</v>
      </c>
      <c r="B660" t="s">
        <v>2070</v>
      </c>
      <c r="C660" t="s">
        <v>2070</v>
      </c>
      <c r="D660" t="s">
        <v>351</v>
      </c>
      <c r="E660" t="s">
        <v>236</v>
      </c>
      <c r="F660">
        <v>0</v>
      </c>
      <c r="G660">
        <v>658</v>
      </c>
      <c r="H660">
        <f>IF(Table1[[#This Row],[my_ent_1]]=Table1[[#This Row],[their_ent_1]], 1, 0)</f>
        <v>1</v>
      </c>
      <c r="I660">
        <f>IF(Table1[[#This Row],[my_ent_2]]=Table1[[#This Row],[their_ent_2]], 1, 0)</f>
        <v>0</v>
      </c>
      <c r="J660">
        <f>IF(Table1[[#This Row],[same_1]]=1 &amp; Table1[[#This Row],[same_2]]=1, 1, 0)</f>
        <v>0</v>
      </c>
      <c r="K660">
        <f>IF(ISNUMBER(SEARCH(Table1[[#This Row],[their_ent_1]],Table1[[#This Row],[my_ent_1]])), 1, 0)</f>
        <v>1</v>
      </c>
      <c r="L660">
        <f>IF(ISNUMBER(SEARCH(Table1[[#This Row],[their_ent_2]],Table1[[#This Row],[my_ent_2]])), 1, 0)</f>
        <v>0</v>
      </c>
    </row>
    <row r="661" spans="1:12" hidden="1" x14ac:dyDescent="0.3">
      <c r="A661" t="s">
        <v>2071</v>
      </c>
      <c r="B661" t="s">
        <v>34</v>
      </c>
      <c r="C661" t="s">
        <v>2072</v>
      </c>
      <c r="D661" t="s">
        <v>2073</v>
      </c>
      <c r="E661" t="s">
        <v>2074</v>
      </c>
      <c r="F661">
        <v>0</v>
      </c>
      <c r="G661">
        <v>659</v>
      </c>
      <c r="H661">
        <f>IF(Table1[[#This Row],[my_ent_1]]=Table1[[#This Row],[their_ent_1]], 1, 0)</f>
        <v>0</v>
      </c>
      <c r="I661">
        <f>IF(Table1[[#This Row],[my_ent_2]]=Table1[[#This Row],[their_ent_2]], 1, 0)</f>
        <v>0</v>
      </c>
      <c r="J661">
        <f>IF(Table1[[#This Row],[same_1]]=1 &amp; Table1[[#This Row],[same_2]]=1, 1, 0)</f>
        <v>0</v>
      </c>
      <c r="K661">
        <f>IF(ISNUMBER(SEARCH(Table1[[#This Row],[their_ent_1]],Table1[[#This Row],[my_ent_1]])), 1, 0)</f>
        <v>0</v>
      </c>
      <c r="L661">
        <f>IF(ISNUMBER(SEARCH(Table1[[#This Row],[their_ent_2]],Table1[[#This Row],[my_ent_2]])), 1, 0)</f>
        <v>0</v>
      </c>
    </row>
    <row r="662" spans="1:12" hidden="1" x14ac:dyDescent="0.3">
      <c r="A662" t="s">
        <v>2075</v>
      </c>
      <c r="B662" t="s">
        <v>2076</v>
      </c>
      <c r="C662" t="s">
        <v>411</v>
      </c>
      <c r="D662" t="s">
        <v>51</v>
      </c>
      <c r="E662" t="s">
        <v>2077</v>
      </c>
      <c r="F662">
        <v>0</v>
      </c>
      <c r="G662">
        <v>660</v>
      </c>
      <c r="H662">
        <f>IF(Table1[[#This Row],[my_ent_1]]=Table1[[#This Row],[their_ent_1]], 1, 0)</f>
        <v>0</v>
      </c>
      <c r="I662">
        <f>IF(Table1[[#This Row],[my_ent_2]]=Table1[[#This Row],[their_ent_2]], 1, 0)</f>
        <v>0</v>
      </c>
      <c r="J662">
        <f>IF(Table1[[#This Row],[same_1]]=1 &amp; Table1[[#This Row],[same_2]]=1, 1, 0)</f>
        <v>0</v>
      </c>
      <c r="K662">
        <f>IF(ISNUMBER(SEARCH(Table1[[#This Row],[their_ent_1]],Table1[[#This Row],[my_ent_1]])), 1, 0)</f>
        <v>1</v>
      </c>
      <c r="L662">
        <f>IF(ISNUMBER(SEARCH(Table1[[#This Row],[their_ent_2]],Table1[[#This Row],[my_ent_2]])), 1, 0)</f>
        <v>0</v>
      </c>
    </row>
    <row r="663" spans="1:12" x14ac:dyDescent="0.3">
      <c r="A663" t="s">
        <v>2078</v>
      </c>
      <c r="B663" t="s">
        <v>2079</v>
      </c>
      <c r="C663" t="s">
        <v>2079</v>
      </c>
      <c r="D663" t="s">
        <v>2080</v>
      </c>
      <c r="E663" t="s">
        <v>2081</v>
      </c>
      <c r="F663">
        <v>0</v>
      </c>
      <c r="G663">
        <v>661</v>
      </c>
      <c r="H663">
        <f>IF(Table1[[#This Row],[my_ent_1]]=Table1[[#This Row],[their_ent_1]], 1, 0)</f>
        <v>1</v>
      </c>
      <c r="I663">
        <f>IF(Table1[[#This Row],[my_ent_2]]=Table1[[#This Row],[their_ent_2]], 1, 0)</f>
        <v>0</v>
      </c>
      <c r="J663">
        <f>IF(Table1[[#This Row],[same_1]]=1 &amp; Table1[[#This Row],[same_2]]=1, 1, 0)</f>
        <v>0</v>
      </c>
      <c r="K663">
        <f>IF(ISNUMBER(SEARCH(Table1[[#This Row],[their_ent_1]],Table1[[#This Row],[my_ent_1]])), 1, 0)</f>
        <v>1</v>
      </c>
      <c r="L663">
        <f>IF(ISNUMBER(SEARCH(Table1[[#This Row],[their_ent_2]],Table1[[#This Row],[my_ent_2]])), 1, 0)</f>
        <v>1</v>
      </c>
    </row>
    <row r="664" spans="1:12" hidden="1" x14ac:dyDescent="0.3">
      <c r="A664" t="s">
        <v>2082</v>
      </c>
      <c r="B664" t="s">
        <v>2083</v>
      </c>
      <c r="C664" t="s">
        <v>80</v>
      </c>
      <c r="D664" t="s">
        <v>1403</v>
      </c>
      <c r="E664" t="s">
        <v>1403</v>
      </c>
      <c r="F664">
        <v>0</v>
      </c>
      <c r="G664">
        <v>662</v>
      </c>
      <c r="H664">
        <f>IF(Table1[[#This Row],[my_ent_1]]=Table1[[#This Row],[their_ent_1]], 1, 0)</f>
        <v>0</v>
      </c>
      <c r="I664">
        <f>IF(Table1[[#This Row],[my_ent_2]]=Table1[[#This Row],[their_ent_2]], 1, 0)</f>
        <v>1</v>
      </c>
      <c r="J664">
        <f>IF(Table1[[#This Row],[same_1]]=1 &amp; Table1[[#This Row],[same_2]]=1, 1, 0)</f>
        <v>0</v>
      </c>
      <c r="K664">
        <f>IF(ISNUMBER(SEARCH(Table1[[#This Row],[their_ent_1]],Table1[[#This Row],[my_ent_1]])), 1, 0)</f>
        <v>0</v>
      </c>
      <c r="L664">
        <f>IF(ISNUMBER(SEARCH(Table1[[#This Row],[their_ent_2]],Table1[[#This Row],[my_ent_2]])), 1, 0)</f>
        <v>1</v>
      </c>
    </row>
    <row r="665" spans="1:12" hidden="1" x14ac:dyDescent="0.3">
      <c r="A665" t="s">
        <v>2084</v>
      </c>
      <c r="B665" t="s">
        <v>2085</v>
      </c>
      <c r="C665" t="s">
        <v>2086</v>
      </c>
      <c r="D665" t="s">
        <v>2086</v>
      </c>
      <c r="E665" t="s">
        <v>2087</v>
      </c>
      <c r="F665">
        <v>0</v>
      </c>
      <c r="G665">
        <v>663</v>
      </c>
      <c r="H665">
        <f>IF(Table1[[#This Row],[my_ent_1]]=Table1[[#This Row],[their_ent_1]], 1, 0)</f>
        <v>0</v>
      </c>
      <c r="I665">
        <f>IF(Table1[[#This Row],[my_ent_2]]=Table1[[#This Row],[their_ent_2]], 1, 0)</f>
        <v>0</v>
      </c>
      <c r="J665">
        <f>IF(Table1[[#This Row],[same_1]]=1 &amp; Table1[[#This Row],[same_2]]=1, 1, 0)</f>
        <v>0</v>
      </c>
      <c r="K665">
        <f>IF(ISNUMBER(SEARCH(Table1[[#This Row],[their_ent_1]],Table1[[#This Row],[my_ent_1]])), 1, 0)</f>
        <v>0</v>
      </c>
      <c r="L665">
        <f>IF(ISNUMBER(SEARCH(Table1[[#This Row],[their_ent_2]],Table1[[#This Row],[my_ent_2]])), 1, 0)</f>
        <v>0</v>
      </c>
    </row>
    <row r="666" spans="1:12" hidden="1" x14ac:dyDescent="0.3">
      <c r="A666" t="s">
        <v>2088</v>
      </c>
      <c r="B666" t="s">
        <v>290</v>
      </c>
      <c r="C666" t="s">
        <v>290</v>
      </c>
      <c r="D666" t="s">
        <v>904</v>
      </c>
      <c r="E666" t="s">
        <v>2089</v>
      </c>
      <c r="F666">
        <v>0</v>
      </c>
      <c r="G666">
        <v>664</v>
      </c>
      <c r="H666">
        <f>IF(Table1[[#This Row],[my_ent_1]]=Table1[[#This Row],[their_ent_1]], 1, 0)</f>
        <v>1</v>
      </c>
      <c r="I666">
        <f>IF(Table1[[#This Row],[my_ent_2]]=Table1[[#This Row],[their_ent_2]], 1, 0)</f>
        <v>0</v>
      </c>
      <c r="J666">
        <f>IF(Table1[[#This Row],[same_1]]=1 &amp; Table1[[#This Row],[same_2]]=1, 1, 0)</f>
        <v>0</v>
      </c>
      <c r="K666">
        <f>IF(ISNUMBER(SEARCH(Table1[[#This Row],[their_ent_1]],Table1[[#This Row],[my_ent_1]])), 1, 0)</f>
        <v>1</v>
      </c>
      <c r="L666">
        <f>IF(ISNUMBER(SEARCH(Table1[[#This Row],[their_ent_2]],Table1[[#This Row],[my_ent_2]])), 1, 0)</f>
        <v>0</v>
      </c>
    </row>
    <row r="667" spans="1:12" x14ac:dyDescent="0.3">
      <c r="A667" t="s">
        <v>2090</v>
      </c>
      <c r="B667" t="s">
        <v>147</v>
      </c>
      <c r="C667" t="s">
        <v>611</v>
      </c>
      <c r="D667" t="s">
        <v>138</v>
      </c>
      <c r="E667" t="s">
        <v>138</v>
      </c>
      <c r="F667">
        <v>0</v>
      </c>
      <c r="G667">
        <v>665</v>
      </c>
      <c r="H667">
        <f>IF(Table1[[#This Row],[my_ent_1]]=Table1[[#This Row],[their_ent_1]], 1, 0)</f>
        <v>0</v>
      </c>
      <c r="I667">
        <f>IF(Table1[[#This Row],[my_ent_2]]=Table1[[#This Row],[their_ent_2]], 1, 0)</f>
        <v>1</v>
      </c>
      <c r="J667">
        <f>IF(Table1[[#This Row],[same_1]]=1 &amp; Table1[[#This Row],[same_2]]=1, 1, 0)</f>
        <v>0</v>
      </c>
      <c r="K667">
        <f>IF(ISNUMBER(SEARCH(Table1[[#This Row],[their_ent_1]],Table1[[#This Row],[my_ent_1]])), 1, 0)</f>
        <v>1</v>
      </c>
      <c r="L667">
        <f>IF(ISNUMBER(SEARCH(Table1[[#This Row],[their_ent_2]],Table1[[#This Row],[my_ent_2]])), 1, 0)</f>
        <v>1</v>
      </c>
    </row>
    <row r="668" spans="1:12" hidden="1" x14ac:dyDescent="0.3">
      <c r="A668" t="s">
        <v>2091</v>
      </c>
      <c r="B668" t="s">
        <v>121</v>
      </c>
      <c r="C668" t="s">
        <v>1660</v>
      </c>
      <c r="D668" t="s">
        <v>1660</v>
      </c>
      <c r="E668" t="s">
        <v>1798</v>
      </c>
      <c r="F668">
        <v>0</v>
      </c>
      <c r="G668">
        <v>666</v>
      </c>
      <c r="H668">
        <f>IF(Table1[[#This Row],[my_ent_1]]=Table1[[#This Row],[their_ent_1]], 1, 0)</f>
        <v>0</v>
      </c>
      <c r="I668">
        <f>IF(Table1[[#This Row],[my_ent_2]]=Table1[[#This Row],[their_ent_2]], 1, 0)</f>
        <v>0</v>
      </c>
      <c r="J668">
        <f>IF(Table1[[#This Row],[same_1]]=1 &amp; Table1[[#This Row],[same_2]]=1, 1, 0)</f>
        <v>0</v>
      </c>
      <c r="K668">
        <f>IF(ISNUMBER(SEARCH(Table1[[#This Row],[their_ent_1]],Table1[[#This Row],[my_ent_1]])), 1, 0)</f>
        <v>0</v>
      </c>
      <c r="L668">
        <f>IF(ISNUMBER(SEARCH(Table1[[#This Row],[their_ent_2]],Table1[[#This Row],[my_ent_2]])), 1, 0)</f>
        <v>0</v>
      </c>
    </row>
    <row r="669" spans="1:12" hidden="1" x14ac:dyDescent="0.3">
      <c r="A669" t="s">
        <v>2092</v>
      </c>
      <c r="B669" t="s">
        <v>432</v>
      </c>
      <c r="C669" t="s">
        <v>432</v>
      </c>
      <c r="D669" t="s">
        <v>184</v>
      </c>
      <c r="E669" t="s">
        <v>72</v>
      </c>
      <c r="F669">
        <v>0</v>
      </c>
      <c r="G669">
        <v>667</v>
      </c>
      <c r="H669">
        <f>IF(Table1[[#This Row],[my_ent_1]]=Table1[[#This Row],[their_ent_1]], 1, 0)</f>
        <v>1</v>
      </c>
      <c r="I669">
        <f>IF(Table1[[#This Row],[my_ent_2]]=Table1[[#This Row],[their_ent_2]], 1, 0)</f>
        <v>0</v>
      </c>
      <c r="J669">
        <f>IF(Table1[[#This Row],[same_1]]=1 &amp; Table1[[#This Row],[same_2]]=1, 1, 0)</f>
        <v>0</v>
      </c>
      <c r="K669">
        <f>IF(ISNUMBER(SEARCH(Table1[[#This Row],[their_ent_1]],Table1[[#This Row],[my_ent_1]])), 1, 0)</f>
        <v>1</v>
      </c>
      <c r="L669">
        <f>IF(ISNUMBER(SEARCH(Table1[[#This Row],[their_ent_2]],Table1[[#This Row],[my_ent_2]])), 1, 0)</f>
        <v>0</v>
      </c>
    </row>
    <row r="670" spans="1:12" hidden="1" x14ac:dyDescent="0.3">
      <c r="A670" t="s">
        <v>2093</v>
      </c>
      <c r="B670" t="s">
        <v>2094</v>
      </c>
      <c r="C670" t="s">
        <v>2095</v>
      </c>
      <c r="D670" t="s">
        <v>904</v>
      </c>
      <c r="E670" t="s">
        <v>904</v>
      </c>
      <c r="F670">
        <v>0</v>
      </c>
      <c r="G670">
        <v>668</v>
      </c>
      <c r="H670">
        <f>IF(Table1[[#This Row],[my_ent_1]]=Table1[[#This Row],[their_ent_1]], 1, 0)</f>
        <v>0</v>
      </c>
      <c r="I670">
        <f>IF(Table1[[#This Row],[my_ent_2]]=Table1[[#This Row],[their_ent_2]], 1, 0)</f>
        <v>1</v>
      </c>
      <c r="J670">
        <f>IF(Table1[[#This Row],[same_1]]=1 &amp; Table1[[#This Row],[same_2]]=1, 1, 0)</f>
        <v>0</v>
      </c>
      <c r="K670">
        <f>IF(ISNUMBER(SEARCH(Table1[[#This Row],[their_ent_1]],Table1[[#This Row],[my_ent_1]])), 1, 0)</f>
        <v>0</v>
      </c>
      <c r="L670">
        <f>IF(ISNUMBER(SEARCH(Table1[[#This Row],[their_ent_2]],Table1[[#This Row],[my_ent_2]])), 1, 0)</f>
        <v>1</v>
      </c>
    </row>
    <row r="671" spans="1:12" hidden="1" x14ac:dyDescent="0.3">
      <c r="A671" t="s">
        <v>2096</v>
      </c>
      <c r="B671" t="s">
        <v>2097</v>
      </c>
      <c r="C671" t="s">
        <v>2098</v>
      </c>
      <c r="D671" t="s">
        <v>2098</v>
      </c>
      <c r="E671" t="s">
        <v>2099</v>
      </c>
      <c r="F671">
        <v>0</v>
      </c>
      <c r="G671">
        <v>669</v>
      </c>
      <c r="H671">
        <f>IF(Table1[[#This Row],[my_ent_1]]=Table1[[#This Row],[their_ent_1]], 1, 0)</f>
        <v>0</v>
      </c>
      <c r="I671">
        <f>IF(Table1[[#This Row],[my_ent_2]]=Table1[[#This Row],[their_ent_2]], 1, 0)</f>
        <v>0</v>
      </c>
      <c r="J671">
        <f>IF(Table1[[#This Row],[same_1]]=1 &amp; Table1[[#This Row],[same_2]]=1, 1, 0)</f>
        <v>0</v>
      </c>
      <c r="K671">
        <f>IF(ISNUMBER(SEARCH(Table1[[#This Row],[their_ent_1]],Table1[[#This Row],[my_ent_1]])), 1, 0)</f>
        <v>0</v>
      </c>
      <c r="L671">
        <f>IF(ISNUMBER(SEARCH(Table1[[#This Row],[their_ent_2]],Table1[[#This Row],[my_ent_2]])), 1, 0)</f>
        <v>0</v>
      </c>
    </row>
    <row r="672" spans="1:12" x14ac:dyDescent="0.3">
      <c r="A672" t="s">
        <v>2100</v>
      </c>
      <c r="B672" t="s">
        <v>122</v>
      </c>
      <c r="C672" t="s">
        <v>122</v>
      </c>
      <c r="D672" t="s">
        <v>2101</v>
      </c>
      <c r="E672" t="s">
        <v>2102</v>
      </c>
      <c r="F672">
        <v>0</v>
      </c>
      <c r="G672">
        <v>670</v>
      </c>
      <c r="H672">
        <f>IF(Table1[[#This Row],[my_ent_1]]=Table1[[#This Row],[their_ent_1]], 1, 0)</f>
        <v>1</v>
      </c>
      <c r="I672">
        <f>IF(Table1[[#This Row],[my_ent_2]]=Table1[[#This Row],[their_ent_2]], 1, 0)</f>
        <v>0</v>
      </c>
      <c r="J672">
        <f>IF(Table1[[#This Row],[same_1]]=1 &amp; Table1[[#This Row],[same_2]]=1, 1, 0)</f>
        <v>0</v>
      </c>
      <c r="K672">
        <f>IF(ISNUMBER(SEARCH(Table1[[#This Row],[their_ent_1]],Table1[[#This Row],[my_ent_1]])), 1, 0)</f>
        <v>1</v>
      </c>
      <c r="L672">
        <f>IF(ISNUMBER(SEARCH(Table1[[#This Row],[their_ent_2]],Table1[[#This Row],[my_ent_2]])), 1, 0)</f>
        <v>1</v>
      </c>
    </row>
    <row r="673" spans="1:12" hidden="1" x14ac:dyDescent="0.3">
      <c r="A673" t="s">
        <v>2103</v>
      </c>
      <c r="B673" t="s">
        <v>2104</v>
      </c>
      <c r="C673" t="s">
        <v>2104</v>
      </c>
      <c r="D673" t="s">
        <v>2105</v>
      </c>
      <c r="E673" t="s">
        <v>2106</v>
      </c>
      <c r="F673">
        <v>0</v>
      </c>
      <c r="G673">
        <v>671</v>
      </c>
      <c r="H673">
        <f>IF(Table1[[#This Row],[my_ent_1]]=Table1[[#This Row],[their_ent_1]], 1, 0)</f>
        <v>1</v>
      </c>
      <c r="I673">
        <f>IF(Table1[[#This Row],[my_ent_2]]=Table1[[#This Row],[their_ent_2]], 1, 0)</f>
        <v>0</v>
      </c>
      <c r="J673">
        <f>IF(Table1[[#This Row],[same_1]]=1 &amp; Table1[[#This Row],[same_2]]=1, 1, 0)</f>
        <v>0</v>
      </c>
      <c r="K673">
        <f>IF(ISNUMBER(SEARCH(Table1[[#This Row],[their_ent_1]],Table1[[#This Row],[my_ent_1]])), 1, 0)</f>
        <v>1</v>
      </c>
      <c r="L673">
        <f>IF(ISNUMBER(SEARCH(Table1[[#This Row],[their_ent_2]],Table1[[#This Row],[my_ent_2]])), 1, 0)</f>
        <v>0</v>
      </c>
    </row>
    <row r="674" spans="1:12" hidden="1" x14ac:dyDescent="0.3">
      <c r="A674" t="s">
        <v>2107</v>
      </c>
      <c r="B674" t="s">
        <v>34</v>
      </c>
      <c r="C674" t="s">
        <v>681</v>
      </c>
      <c r="D674" t="s">
        <v>1981</v>
      </c>
      <c r="E674" t="s">
        <v>1981</v>
      </c>
      <c r="F674">
        <v>0</v>
      </c>
      <c r="G674">
        <v>672</v>
      </c>
      <c r="H674">
        <f>IF(Table1[[#This Row],[my_ent_1]]=Table1[[#This Row],[their_ent_1]], 1, 0)</f>
        <v>0</v>
      </c>
      <c r="I674">
        <f>IF(Table1[[#This Row],[my_ent_2]]=Table1[[#This Row],[their_ent_2]], 1, 0)</f>
        <v>1</v>
      </c>
      <c r="J674">
        <f>IF(Table1[[#This Row],[same_1]]=1 &amp; Table1[[#This Row],[same_2]]=1, 1, 0)</f>
        <v>0</v>
      </c>
      <c r="K674">
        <f>IF(ISNUMBER(SEARCH(Table1[[#This Row],[their_ent_1]],Table1[[#This Row],[my_ent_1]])), 1, 0)</f>
        <v>0</v>
      </c>
      <c r="L674">
        <f>IF(ISNUMBER(SEARCH(Table1[[#This Row],[their_ent_2]],Table1[[#This Row],[my_ent_2]])), 1, 0)</f>
        <v>1</v>
      </c>
    </row>
    <row r="675" spans="1:12" hidden="1" x14ac:dyDescent="0.3">
      <c r="A675" t="s">
        <v>2108</v>
      </c>
      <c r="B675" t="s">
        <v>624</v>
      </c>
      <c r="C675" t="s">
        <v>2109</v>
      </c>
      <c r="D675" t="s">
        <v>2110</v>
      </c>
      <c r="E675" t="s">
        <v>2111</v>
      </c>
      <c r="F675">
        <v>0</v>
      </c>
      <c r="G675">
        <v>673</v>
      </c>
      <c r="H675">
        <f>IF(Table1[[#This Row],[my_ent_1]]=Table1[[#This Row],[their_ent_1]], 1, 0)</f>
        <v>0</v>
      </c>
      <c r="I675">
        <f>IF(Table1[[#This Row],[my_ent_2]]=Table1[[#This Row],[their_ent_2]], 1, 0)</f>
        <v>0</v>
      </c>
      <c r="J675">
        <f>IF(Table1[[#This Row],[same_1]]=1 &amp; Table1[[#This Row],[same_2]]=1, 1, 0)</f>
        <v>0</v>
      </c>
      <c r="K675">
        <f>IF(ISNUMBER(SEARCH(Table1[[#This Row],[their_ent_1]],Table1[[#This Row],[my_ent_1]])), 1, 0)</f>
        <v>0</v>
      </c>
      <c r="L675">
        <f>IF(ISNUMBER(SEARCH(Table1[[#This Row],[their_ent_2]],Table1[[#This Row],[my_ent_2]])), 1, 0)</f>
        <v>0</v>
      </c>
    </row>
    <row r="676" spans="1:12" x14ac:dyDescent="0.3">
      <c r="A676" t="s">
        <v>2112</v>
      </c>
      <c r="B676" t="s">
        <v>2113</v>
      </c>
      <c r="C676" t="s">
        <v>2114</v>
      </c>
      <c r="D676" t="s">
        <v>172</v>
      </c>
      <c r="E676" t="s">
        <v>172</v>
      </c>
      <c r="F676">
        <v>0</v>
      </c>
      <c r="G676">
        <v>674</v>
      </c>
      <c r="H676">
        <f>IF(Table1[[#This Row],[my_ent_1]]=Table1[[#This Row],[their_ent_1]], 1, 0)</f>
        <v>0</v>
      </c>
      <c r="I676">
        <f>IF(Table1[[#This Row],[my_ent_2]]=Table1[[#This Row],[their_ent_2]], 1, 0)</f>
        <v>1</v>
      </c>
      <c r="J676">
        <f>IF(Table1[[#This Row],[same_1]]=1 &amp; Table1[[#This Row],[same_2]]=1, 1, 0)</f>
        <v>0</v>
      </c>
      <c r="K676">
        <f>IF(ISNUMBER(SEARCH(Table1[[#This Row],[their_ent_1]],Table1[[#This Row],[my_ent_1]])), 1, 0)</f>
        <v>1</v>
      </c>
      <c r="L676">
        <f>IF(ISNUMBER(SEARCH(Table1[[#This Row],[their_ent_2]],Table1[[#This Row],[my_ent_2]])), 1, 0)</f>
        <v>1</v>
      </c>
    </row>
    <row r="677" spans="1:12" x14ac:dyDescent="0.3">
      <c r="A677" t="s">
        <v>2115</v>
      </c>
      <c r="B677" t="s">
        <v>28</v>
      </c>
      <c r="C677" t="s">
        <v>58</v>
      </c>
      <c r="D677" t="s">
        <v>29</v>
      </c>
      <c r="E677" t="s">
        <v>29</v>
      </c>
      <c r="F677">
        <v>0</v>
      </c>
      <c r="G677">
        <v>675</v>
      </c>
      <c r="H677">
        <f>IF(Table1[[#This Row],[my_ent_1]]=Table1[[#This Row],[their_ent_1]], 1, 0)</f>
        <v>0</v>
      </c>
      <c r="I677">
        <f>IF(Table1[[#This Row],[my_ent_2]]=Table1[[#This Row],[their_ent_2]], 1, 0)</f>
        <v>1</v>
      </c>
      <c r="J677">
        <f>IF(Table1[[#This Row],[same_1]]=1 &amp; Table1[[#This Row],[same_2]]=1, 1, 0)</f>
        <v>0</v>
      </c>
      <c r="K677">
        <f>IF(ISNUMBER(SEARCH(Table1[[#This Row],[their_ent_1]],Table1[[#This Row],[my_ent_1]])), 1, 0)</f>
        <v>1</v>
      </c>
      <c r="L677">
        <f>IF(ISNUMBER(SEARCH(Table1[[#This Row],[their_ent_2]],Table1[[#This Row],[my_ent_2]])), 1, 0)</f>
        <v>1</v>
      </c>
    </row>
    <row r="678" spans="1:12" hidden="1" x14ac:dyDescent="0.3">
      <c r="A678" t="s">
        <v>2116</v>
      </c>
      <c r="B678" t="s">
        <v>401</v>
      </c>
      <c r="C678" t="s">
        <v>2117</v>
      </c>
      <c r="D678" t="s">
        <v>2118</v>
      </c>
      <c r="E678" t="s">
        <v>844</v>
      </c>
      <c r="F678">
        <v>0</v>
      </c>
      <c r="G678">
        <v>676</v>
      </c>
      <c r="H678">
        <f>IF(Table1[[#This Row],[my_ent_1]]=Table1[[#This Row],[their_ent_1]], 1, 0)</f>
        <v>0</v>
      </c>
      <c r="I678">
        <f>IF(Table1[[#This Row],[my_ent_2]]=Table1[[#This Row],[their_ent_2]], 1, 0)</f>
        <v>0</v>
      </c>
      <c r="J678">
        <f>IF(Table1[[#This Row],[same_1]]=1 &amp; Table1[[#This Row],[same_2]]=1, 1, 0)</f>
        <v>0</v>
      </c>
      <c r="K678">
        <f>IF(ISNUMBER(SEARCH(Table1[[#This Row],[their_ent_1]],Table1[[#This Row],[my_ent_1]])), 1, 0)</f>
        <v>0</v>
      </c>
      <c r="L678">
        <f>IF(ISNUMBER(SEARCH(Table1[[#This Row],[their_ent_2]],Table1[[#This Row],[my_ent_2]])), 1, 0)</f>
        <v>0</v>
      </c>
    </row>
    <row r="679" spans="1:12" hidden="1" x14ac:dyDescent="0.3">
      <c r="A679" t="s">
        <v>2119</v>
      </c>
      <c r="B679" t="s">
        <v>2120</v>
      </c>
      <c r="C679" t="s">
        <v>2121</v>
      </c>
      <c r="D679" t="s">
        <v>2122</v>
      </c>
      <c r="E679" t="s">
        <v>2122</v>
      </c>
      <c r="F679">
        <v>0</v>
      </c>
      <c r="G679">
        <v>677</v>
      </c>
      <c r="H679">
        <f>IF(Table1[[#This Row],[my_ent_1]]=Table1[[#This Row],[their_ent_1]], 1, 0)</f>
        <v>0</v>
      </c>
      <c r="I679">
        <f>IF(Table1[[#This Row],[my_ent_2]]=Table1[[#This Row],[their_ent_2]], 1, 0)</f>
        <v>1</v>
      </c>
      <c r="J679">
        <f>IF(Table1[[#This Row],[same_1]]=1 &amp; Table1[[#This Row],[same_2]]=1, 1, 0)</f>
        <v>0</v>
      </c>
      <c r="K679">
        <f>IF(ISNUMBER(SEARCH(Table1[[#This Row],[their_ent_1]],Table1[[#This Row],[my_ent_1]])), 1, 0)</f>
        <v>0</v>
      </c>
      <c r="L679">
        <f>IF(ISNUMBER(SEARCH(Table1[[#This Row],[their_ent_2]],Table1[[#This Row],[my_ent_2]])), 1, 0)</f>
        <v>1</v>
      </c>
    </row>
    <row r="680" spans="1:12" hidden="1" x14ac:dyDescent="0.3">
      <c r="A680" t="s">
        <v>2123</v>
      </c>
      <c r="B680" t="s">
        <v>2124</v>
      </c>
      <c r="C680" t="s">
        <v>2125</v>
      </c>
      <c r="D680" t="s">
        <v>373</v>
      </c>
      <c r="E680" t="s">
        <v>2126</v>
      </c>
      <c r="F680">
        <v>0</v>
      </c>
      <c r="G680">
        <v>678</v>
      </c>
      <c r="H680">
        <f>IF(Table1[[#This Row],[my_ent_1]]=Table1[[#This Row],[their_ent_1]], 1, 0)</f>
        <v>0</v>
      </c>
      <c r="I680">
        <f>IF(Table1[[#This Row],[my_ent_2]]=Table1[[#This Row],[their_ent_2]], 1, 0)</f>
        <v>0</v>
      </c>
      <c r="J680">
        <f>IF(Table1[[#This Row],[same_1]]=1 &amp; Table1[[#This Row],[same_2]]=1, 1, 0)</f>
        <v>0</v>
      </c>
      <c r="K680">
        <f>IF(ISNUMBER(SEARCH(Table1[[#This Row],[their_ent_1]],Table1[[#This Row],[my_ent_1]])), 1, 0)</f>
        <v>0</v>
      </c>
      <c r="L680">
        <f>IF(ISNUMBER(SEARCH(Table1[[#This Row],[their_ent_2]],Table1[[#This Row],[my_ent_2]])), 1, 0)</f>
        <v>0</v>
      </c>
    </row>
    <row r="681" spans="1:12" hidden="1" x14ac:dyDescent="0.3">
      <c r="A681" t="s">
        <v>2127</v>
      </c>
      <c r="B681" t="s">
        <v>2128</v>
      </c>
      <c r="C681" t="s">
        <v>1327</v>
      </c>
      <c r="D681" t="s">
        <v>2129</v>
      </c>
      <c r="E681" t="s">
        <v>683</v>
      </c>
      <c r="F681">
        <v>0</v>
      </c>
      <c r="G681">
        <v>679</v>
      </c>
      <c r="H681">
        <f>IF(Table1[[#This Row],[my_ent_1]]=Table1[[#This Row],[their_ent_1]], 1, 0)</f>
        <v>0</v>
      </c>
      <c r="I681">
        <f>IF(Table1[[#This Row],[my_ent_2]]=Table1[[#This Row],[their_ent_2]], 1, 0)</f>
        <v>0</v>
      </c>
      <c r="J681">
        <f>IF(Table1[[#This Row],[same_1]]=1 &amp; Table1[[#This Row],[same_2]]=1, 1, 0)</f>
        <v>0</v>
      </c>
      <c r="K681">
        <f>IF(ISNUMBER(SEARCH(Table1[[#This Row],[their_ent_1]],Table1[[#This Row],[my_ent_1]])), 1, 0)</f>
        <v>1</v>
      </c>
      <c r="L681">
        <f>IF(ISNUMBER(SEARCH(Table1[[#This Row],[their_ent_2]],Table1[[#This Row],[my_ent_2]])), 1, 0)</f>
        <v>0</v>
      </c>
    </row>
    <row r="682" spans="1:12" hidden="1" x14ac:dyDescent="0.3">
      <c r="A682" t="s">
        <v>2130</v>
      </c>
      <c r="B682" t="s">
        <v>7</v>
      </c>
      <c r="C682" t="s">
        <v>7</v>
      </c>
      <c r="D682" t="s">
        <v>2131</v>
      </c>
      <c r="E682" t="s">
        <v>121</v>
      </c>
      <c r="F682">
        <v>0</v>
      </c>
      <c r="G682">
        <v>680</v>
      </c>
      <c r="H682">
        <f>IF(Table1[[#This Row],[my_ent_1]]=Table1[[#This Row],[their_ent_1]], 1, 0)</f>
        <v>1</v>
      </c>
      <c r="I682">
        <f>IF(Table1[[#This Row],[my_ent_2]]=Table1[[#This Row],[their_ent_2]], 1, 0)</f>
        <v>0</v>
      </c>
      <c r="J682">
        <f>IF(Table1[[#This Row],[same_1]]=1 &amp; Table1[[#This Row],[same_2]]=1, 1, 0)</f>
        <v>0</v>
      </c>
      <c r="K682">
        <f>IF(ISNUMBER(SEARCH(Table1[[#This Row],[their_ent_1]],Table1[[#This Row],[my_ent_1]])), 1, 0)</f>
        <v>1</v>
      </c>
      <c r="L682">
        <f>IF(ISNUMBER(SEARCH(Table1[[#This Row],[their_ent_2]],Table1[[#This Row],[my_ent_2]])), 1, 0)</f>
        <v>0</v>
      </c>
    </row>
    <row r="683" spans="1:12" hidden="1" x14ac:dyDescent="0.3">
      <c r="A683" t="s">
        <v>2132</v>
      </c>
      <c r="B683" t="s">
        <v>401</v>
      </c>
      <c r="C683" t="s">
        <v>196</v>
      </c>
      <c r="D683" t="s">
        <v>137</v>
      </c>
      <c r="E683" t="s">
        <v>98</v>
      </c>
      <c r="F683">
        <v>0</v>
      </c>
      <c r="G683">
        <v>681</v>
      </c>
      <c r="H683">
        <f>IF(Table1[[#This Row],[my_ent_1]]=Table1[[#This Row],[their_ent_1]], 1, 0)</f>
        <v>0</v>
      </c>
      <c r="I683">
        <f>IF(Table1[[#This Row],[my_ent_2]]=Table1[[#This Row],[their_ent_2]], 1, 0)</f>
        <v>0</v>
      </c>
      <c r="J683">
        <f>IF(Table1[[#This Row],[same_1]]=1 &amp; Table1[[#This Row],[same_2]]=1, 1, 0)</f>
        <v>0</v>
      </c>
      <c r="K683">
        <f>IF(ISNUMBER(SEARCH(Table1[[#This Row],[their_ent_1]],Table1[[#This Row],[my_ent_1]])), 1, 0)</f>
        <v>0</v>
      </c>
      <c r="L683">
        <f>IF(ISNUMBER(SEARCH(Table1[[#This Row],[their_ent_2]],Table1[[#This Row],[my_ent_2]])), 1, 0)</f>
        <v>0</v>
      </c>
    </row>
    <row r="684" spans="1:12" hidden="1" x14ac:dyDescent="0.3">
      <c r="A684" t="s">
        <v>2133</v>
      </c>
      <c r="B684" t="s">
        <v>2134</v>
      </c>
      <c r="C684" t="s">
        <v>2135</v>
      </c>
      <c r="D684" t="s">
        <v>2136</v>
      </c>
      <c r="E684" t="s">
        <v>882</v>
      </c>
      <c r="F684">
        <v>0</v>
      </c>
      <c r="G684">
        <v>682</v>
      </c>
      <c r="H684">
        <f>IF(Table1[[#This Row],[my_ent_1]]=Table1[[#This Row],[their_ent_1]], 1, 0)</f>
        <v>0</v>
      </c>
      <c r="I684">
        <f>IF(Table1[[#This Row],[my_ent_2]]=Table1[[#This Row],[their_ent_2]], 1, 0)</f>
        <v>0</v>
      </c>
      <c r="J684">
        <f>IF(Table1[[#This Row],[same_1]]=1 &amp; Table1[[#This Row],[same_2]]=1, 1, 0)</f>
        <v>0</v>
      </c>
      <c r="K684">
        <f>IF(ISNUMBER(SEARCH(Table1[[#This Row],[their_ent_1]],Table1[[#This Row],[my_ent_1]])), 1, 0)</f>
        <v>1</v>
      </c>
      <c r="L684">
        <f>IF(ISNUMBER(SEARCH(Table1[[#This Row],[their_ent_2]],Table1[[#This Row],[my_ent_2]])), 1, 0)</f>
        <v>0</v>
      </c>
    </row>
    <row r="685" spans="1:12" hidden="1" x14ac:dyDescent="0.3">
      <c r="A685" t="s">
        <v>2137</v>
      </c>
      <c r="B685" t="s">
        <v>51</v>
      </c>
      <c r="C685" t="s">
        <v>2138</v>
      </c>
      <c r="D685" t="s">
        <v>1431</v>
      </c>
      <c r="E685" t="s">
        <v>1431</v>
      </c>
      <c r="F685">
        <v>0</v>
      </c>
      <c r="G685">
        <v>683</v>
      </c>
      <c r="H685">
        <f>IF(Table1[[#This Row],[my_ent_1]]=Table1[[#This Row],[their_ent_1]], 1, 0)</f>
        <v>0</v>
      </c>
      <c r="I685">
        <f>IF(Table1[[#This Row],[my_ent_2]]=Table1[[#This Row],[their_ent_2]], 1, 0)</f>
        <v>1</v>
      </c>
      <c r="J685">
        <f>IF(Table1[[#This Row],[same_1]]=1 &amp; Table1[[#This Row],[same_2]]=1, 1, 0)</f>
        <v>0</v>
      </c>
      <c r="K685">
        <f>IF(ISNUMBER(SEARCH(Table1[[#This Row],[their_ent_1]],Table1[[#This Row],[my_ent_1]])), 1, 0)</f>
        <v>0</v>
      </c>
      <c r="L685">
        <f>IF(ISNUMBER(SEARCH(Table1[[#This Row],[their_ent_2]],Table1[[#This Row],[my_ent_2]])), 1, 0)</f>
        <v>1</v>
      </c>
    </row>
    <row r="686" spans="1:12" hidden="1" x14ac:dyDescent="0.3">
      <c r="A686" t="s">
        <v>2139</v>
      </c>
      <c r="B686" t="s">
        <v>2140</v>
      </c>
      <c r="C686" t="s">
        <v>1422</v>
      </c>
      <c r="D686" t="s">
        <v>2141</v>
      </c>
      <c r="E686" t="s">
        <v>2142</v>
      </c>
      <c r="F686">
        <v>0</v>
      </c>
      <c r="G686">
        <v>684</v>
      </c>
      <c r="H686">
        <f>IF(Table1[[#This Row],[my_ent_1]]=Table1[[#This Row],[their_ent_1]], 1, 0)</f>
        <v>0</v>
      </c>
      <c r="I686">
        <f>IF(Table1[[#This Row],[my_ent_2]]=Table1[[#This Row],[their_ent_2]], 1, 0)</f>
        <v>0</v>
      </c>
      <c r="J686">
        <f>IF(Table1[[#This Row],[same_1]]=1 &amp; Table1[[#This Row],[same_2]]=1, 1, 0)</f>
        <v>0</v>
      </c>
      <c r="K686">
        <f>IF(ISNUMBER(SEARCH(Table1[[#This Row],[their_ent_1]],Table1[[#This Row],[my_ent_1]])), 1, 0)</f>
        <v>0</v>
      </c>
      <c r="L686">
        <f>IF(ISNUMBER(SEARCH(Table1[[#This Row],[their_ent_2]],Table1[[#This Row],[my_ent_2]])), 1, 0)</f>
        <v>0</v>
      </c>
    </row>
    <row r="687" spans="1:12" x14ac:dyDescent="0.3">
      <c r="A687" t="s">
        <v>2143</v>
      </c>
      <c r="B687" t="s">
        <v>30</v>
      </c>
      <c r="C687" t="s">
        <v>30</v>
      </c>
      <c r="D687" t="s">
        <v>2144</v>
      </c>
      <c r="E687" t="s">
        <v>58</v>
      </c>
      <c r="F687">
        <v>0</v>
      </c>
      <c r="G687">
        <v>685</v>
      </c>
      <c r="H687">
        <f>IF(Table1[[#This Row],[my_ent_1]]=Table1[[#This Row],[their_ent_1]], 1, 0)</f>
        <v>1</v>
      </c>
      <c r="I687">
        <f>IF(Table1[[#This Row],[my_ent_2]]=Table1[[#This Row],[their_ent_2]], 1, 0)</f>
        <v>0</v>
      </c>
      <c r="J687">
        <f>IF(Table1[[#This Row],[same_1]]=1 &amp; Table1[[#This Row],[same_2]]=1, 1, 0)</f>
        <v>0</v>
      </c>
      <c r="K687">
        <f>IF(ISNUMBER(SEARCH(Table1[[#This Row],[their_ent_1]],Table1[[#This Row],[my_ent_1]])), 1, 0)</f>
        <v>1</v>
      </c>
      <c r="L687">
        <f>IF(ISNUMBER(SEARCH(Table1[[#This Row],[their_ent_2]],Table1[[#This Row],[my_ent_2]])), 1, 0)</f>
        <v>1</v>
      </c>
    </row>
    <row r="688" spans="1:12" hidden="1" x14ac:dyDescent="0.3">
      <c r="A688" t="s">
        <v>2145</v>
      </c>
      <c r="B688" t="s">
        <v>2146</v>
      </c>
      <c r="C688" t="s">
        <v>2146</v>
      </c>
      <c r="D688" t="s">
        <v>2147</v>
      </c>
      <c r="E688" t="s">
        <v>2148</v>
      </c>
      <c r="F688">
        <v>0</v>
      </c>
      <c r="G688">
        <v>686</v>
      </c>
      <c r="H688">
        <f>IF(Table1[[#This Row],[my_ent_1]]=Table1[[#This Row],[their_ent_1]], 1, 0)</f>
        <v>1</v>
      </c>
      <c r="I688">
        <f>IF(Table1[[#This Row],[my_ent_2]]=Table1[[#This Row],[their_ent_2]], 1, 0)</f>
        <v>0</v>
      </c>
      <c r="J688">
        <f>IF(Table1[[#This Row],[same_1]]=1 &amp; Table1[[#This Row],[same_2]]=1, 1, 0)</f>
        <v>0</v>
      </c>
      <c r="K688">
        <f>IF(ISNUMBER(SEARCH(Table1[[#This Row],[their_ent_1]],Table1[[#This Row],[my_ent_1]])), 1, 0)</f>
        <v>1</v>
      </c>
      <c r="L688">
        <f>IF(ISNUMBER(SEARCH(Table1[[#This Row],[their_ent_2]],Table1[[#This Row],[my_ent_2]])), 1, 0)</f>
        <v>0</v>
      </c>
    </row>
    <row r="689" spans="1:12" hidden="1" x14ac:dyDescent="0.3">
      <c r="A689" t="s">
        <v>2149</v>
      </c>
      <c r="B689" t="s">
        <v>2150</v>
      </c>
      <c r="C689" t="s">
        <v>2150</v>
      </c>
      <c r="D689" t="s">
        <v>1115</v>
      </c>
      <c r="E689" t="s">
        <v>2151</v>
      </c>
      <c r="F689">
        <v>0</v>
      </c>
      <c r="G689">
        <v>687</v>
      </c>
      <c r="H689">
        <f>IF(Table1[[#This Row],[my_ent_1]]=Table1[[#This Row],[their_ent_1]], 1, 0)</f>
        <v>1</v>
      </c>
      <c r="I689">
        <f>IF(Table1[[#This Row],[my_ent_2]]=Table1[[#This Row],[their_ent_2]], 1, 0)</f>
        <v>0</v>
      </c>
      <c r="J689">
        <f>IF(Table1[[#This Row],[same_1]]=1 &amp; Table1[[#This Row],[same_2]]=1, 1, 0)</f>
        <v>0</v>
      </c>
      <c r="K689">
        <f>IF(ISNUMBER(SEARCH(Table1[[#This Row],[their_ent_1]],Table1[[#This Row],[my_ent_1]])), 1, 0)</f>
        <v>1</v>
      </c>
      <c r="L689">
        <f>IF(ISNUMBER(SEARCH(Table1[[#This Row],[their_ent_2]],Table1[[#This Row],[my_ent_2]])), 1, 0)</f>
        <v>0</v>
      </c>
    </row>
    <row r="690" spans="1:12" hidden="1" x14ac:dyDescent="0.3">
      <c r="A690" t="s">
        <v>2152</v>
      </c>
      <c r="B690" t="s">
        <v>2153</v>
      </c>
      <c r="C690" t="s">
        <v>8</v>
      </c>
      <c r="D690" t="s">
        <v>7</v>
      </c>
      <c r="E690" t="s">
        <v>2153</v>
      </c>
      <c r="F690">
        <v>0</v>
      </c>
      <c r="G690">
        <v>688</v>
      </c>
      <c r="H690">
        <f>IF(Table1[[#This Row],[my_ent_1]]=Table1[[#This Row],[their_ent_1]], 1, 0)</f>
        <v>0</v>
      </c>
      <c r="I690">
        <f>IF(Table1[[#This Row],[my_ent_2]]=Table1[[#This Row],[their_ent_2]], 1, 0)</f>
        <v>0</v>
      </c>
      <c r="J690">
        <f>IF(Table1[[#This Row],[same_1]]=1 &amp; Table1[[#This Row],[same_2]]=1, 1, 0)</f>
        <v>0</v>
      </c>
      <c r="K690">
        <f>IF(ISNUMBER(SEARCH(Table1[[#This Row],[their_ent_1]],Table1[[#This Row],[my_ent_1]])), 1, 0)</f>
        <v>0</v>
      </c>
      <c r="L690">
        <f>IF(ISNUMBER(SEARCH(Table1[[#This Row],[their_ent_2]],Table1[[#This Row],[my_ent_2]])), 1, 0)</f>
        <v>0</v>
      </c>
    </row>
    <row r="691" spans="1:12" x14ac:dyDescent="0.3">
      <c r="A691" t="s">
        <v>2154</v>
      </c>
      <c r="B691" t="s">
        <v>467</v>
      </c>
      <c r="C691" t="s">
        <v>94</v>
      </c>
      <c r="D691" t="s">
        <v>235</v>
      </c>
      <c r="E691" t="s">
        <v>236</v>
      </c>
      <c r="F691">
        <v>0</v>
      </c>
      <c r="G691">
        <v>689</v>
      </c>
      <c r="H691">
        <f>IF(Table1[[#This Row],[my_ent_1]]=Table1[[#This Row],[their_ent_1]], 1, 0)</f>
        <v>0</v>
      </c>
      <c r="I691">
        <f>IF(Table1[[#This Row],[my_ent_2]]=Table1[[#This Row],[their_ent_2]], 1, 0)</f>
        <v>0</v>
      </c>
      <c r="J691">
        <f>IF(Table1[[#This Row],[same_1]]=1 &amp; Table1[[#This Row],[same_2]]=1, 1, 0)</f>
        <v>0</v>
      </c>
      <c r="K691">
        <f>IF(ISNUMBER(SEARCH(Table1[[#This Row],[their_ent_1]],Table1[[#This Row],[my_ent_1]])), 1, 0)</f>
        <v>1</v>
      </c>
      <c r="L691">
        <f>IF(ISNUMBER(SEARCH(Table1[[#This Row],[their_ent_2]],Table1[[#This Row],[my_ent_2]])), 1, 0)</f>
        <v>1</v>
      </c>
    </row>
    <row r="692" spans="1:12" hidden="1" x14ac:dyDescent="0.3">
      <c r="A692" t="s">
        <v>2155</v>
      </c>
      <c r="B692" t="s">
        <v>2156</v>
      </c>
      <c r="C692" t="s">
        <v>2157</v>
      </c>
      <c r="D692" t="s">
        <v>2158</v>
      </c>
      <c r="E692" t="s">
        <v>2158</v>
      </c>
      <c r="F692">
        <v>0</v>
      </c>
      <c r="G692">
        <v>690</v>
      </c>
      <c r="H692">
        <f>IF(Table1[[#This Row],[my_ent_1]]=Table1[[#This Row],[their_ent_1]], 1, 0)</f>
        <v>0</v>
      </c>
      <c r="I692">
        <f>IF(Table1[[#This Row],[my_ent_2]]=Table1[[#This Row],[their_ent_2]], 1, 0)</f>
        <v>1</v>
      </c>
      <c r="J692">
        <f>IF(Table1[[#This Row],[same_1]]=1 &amp; Table1[[#This Row],[same_2]]=1, 1, 0)</f>
        <v>0</v>
      </c>
      <c r="K692">
        <f>IF(ISNUMBER(SEARCH(Table1[[#This Row],[their_ent_1]],Table1[[#This Row],[my_ent_1]])), 1, 0)</f>
        <v>0</v>
      </c>
      <c r="L692">
        <f>IF(ISNUMBER(SEARCH(Table1[[#This Row],[their_ent_2]],Table1[[#This Row],[my_ent_2]])), 1, 0)</f>
        <v>1</v>
      </c>
    </row>
    <row r="693" spans="1:12" hidden="1" x14ac:dyDescent="0.3">
      <c r="A693" t="s">
        <v>2159</v>
      </c>
      <c r="B693" t="s">
        <v>1251</v>
      </c>
      <c r="C693" t="s">
        <v>1251</v>
      </c>
      <c r="D693" t="s">
        <v>1016</v>
      </c>
      <c r="E693" t="s">
        <v>2160</v>
      </c>
      <c r="F693">
        <v>0</v>
      </c>
      <c r="G693">
        <v>691</v>
      </c>
      <c r="H693">
        <f>IF(Table1[[#This Row],[my_ent_1]]=Table1[[#This Row],[their_ent_1]], 1, 0)</f>
        <v>1</v>
      </c>
      <c r="I693">
        <f>IF(Table1[[#This Row],[my_ent_2]]=Table1[[#This Row],[their_ent_2]], 1, 0)</f>
        <v>0</v>
      </c>
      <c r="J693">
        <f>IF(Table1[[#This Row],[same_1]]=1 &amp; Table1[[#This Row],[same_2]]=1, 1, 0)</f>
        <v>0</v>
      </c>
      <c r="K693">
        <f>IF(ISNUMBER(SEARCH(Table1[[#This Row],[their_ent_1]],Table1[[#This Row],[my_ent_1]])), 1, 0)</f>
        <v>1</v>
      </c>
      <c r="L693">
        <f>IF(ISNUMBER(SEARCH(Table1[[#This Row],[their_ent_2]],Table1[[#This Row],[my_ent_2]])), 1, 0)</f>
        <v>0</v>
      </c>
    </row>
    <row r="694" spans="1:12" hidden="1" x14ac:dyDescent="0.3">
      <c r="A694" t="s">
        <v>2161</v>
      </c>
      <c r="B694" t="s">
        <v>2162</v>
      </c>
      <c r="C694" t="s">
        <v>2163</v>
      </c>
      <c r="D694" t="s">
        <v>996</v>
      </c>
      <c r="E694" t="s">
        <v>1252</v>
      </c>
      <c r="F694">
        <v>0</v>
      </c>
      <c r="G694">
        <v>692</v>
      </c>
      <c r="H694">
        <f>IF(Table1[[#This Row],[my_ent_1]]=Table1[[#This Row],[their_ent_1]], 1, 0)</f>
        <v>0</v>
      </c>
      <c r="I694">
        <f>IF(Table1[[#This Row],[my_ent_2]]=Table1[[#This Row],[their_ent_2]], 1, 0)</f>
        <v>0</v>
      </c>
      <c r="J694">
        <f>IF(Table1[[#This Row],[same_1]]=1 &amp; Table1[[#This Row],[same_2]]=1, 1, 0)</f>
        <v>0</v>
      </c>
      <c r="K694">
        <f>IF(ISNUMBER(SEARCH(Table1[[#This Row],[their_ent_1]],Table1[[#This Row],[my_ent_1]])), 1, 0)</f>
        <v>1</v>
      </c>
      <c r="L694">
        <f>IF(ISNUMBER(SEARCH(Table1[[#This Row],[their_ent_2]],Table1[[#This Row],[my_ent_2]])), 1, 0)</f>
        <v>0</v>
      </c>
    </row>
    <row r="695" spans="1:12" hidden="1" x14ac:dyDescent="0.3">
      <c r="A695" t="s">
        <v>2164</v>
      </c>
      <c r="B695" t="s">
        <v>7</v>
      </c>
      <c r="C695" t="s">
        <v>7</v>
      </c>
      <c r="D695" t="s">
        <v>2165</v>
      </c>
      <c r="E695" t="s">
        <v>36</v>
      </c>
      <c r="F695">
        <v>0</v>
      </c>
      <c r="G695">
        <v>693</v>
      </c>
      <c r="H695">
        <f>IF(Table1[[#This Row],[my_ent_1]]=Table1[[#This Row],[their_ent_1]], 1, 0)</f>
        <v>1</v>
      </c>
      <c r="I695">
        <f>IF(Table1[[#This Row],[my_ent_2]]=Table1[[#This Row],[their_ent_2]], 1, 0)</f>
        <v>0</v>
      </c>
      <c r="J695">
        <f>IF(Table1[[#This Row],[same_1]]=1 &amp; Table1[[#This Row],[same_2]]=1, 1, 0)</f>
        <v>0</v>
      </c>
      <c r="K695">
        <f>IF(ISNUMBER(SEARCH(Table1[[#This Row],[their_ent_1]],Table1[[#This Row],[my_ent_1]])), 1, 0)</f>
        <v>1</v>
      </c>
      <c r="L695">
        <f>IF(ISNUMBER(SEARCH(Table1[[#This Row],[their_ent_2]],Table1[[#This Row],[my_ent_2]])), 1, 0)</f>
        <v>0</v>
      </c>
    </row>
    <row r="696" spans="1:12" x14ac:dyDescent="0.3">
      <c r="A696" t="s">
        <v>2166</v>
      </c>
      <c r="B696" t="s">
        <v>2167</v>
      </c>
      <c r="C696" t="s">
        <v>2168</v>
      </c>
      <c r="D696" t="s">
        <v>2169</v>
      </c>
      <c r="E696" t="s">
        <v>2170</v>
      </c>
      <c r="F696">
        <v>0</v>
      </c>
      <c r="G696">
        <v>694</v>
      </c>
      <c r="H696">
        <f>IF(Table1[[#This Row],[my_ent_1]]=Table1[[#This Row],[their_ent_1]], 1, 0)</f>
        <v>0</v>
      </c>
      <c r="I696">
        <f>IF(Table1[[#This Row],[my_ent_2]]=Table1[[#This Row],[their_ent_2]], 1, 0)</f>
        <v>0</v>
      </c>
      <c r="J696">
        <f>IF(Table1[[#This Row],[same_1]]=1 &amp; Table1[[#This Row],[same_2]]=1, 1, 0)</f>
        <v>0</v>
      </c>
      <c r="K696">
        <f>IF(ISNUMBER(SEARCH(Table1[[#This Row],[their_ent_1]],Table1[[#This Row],[my_ent_1]])), 1, 0)</f>
        <v>1</v>
      </c>
      <c r="L696">
        <f>IF(ISNUMBER(SEARCH(Table1[[#This Row],[their_ent_2]],Table1[[#This Row],[my_ent_2]])), 1, 0)</f>
        <v>1</v>
      </c>
    </row>
    <row r="697" spans="1:12" hidden="1" x14ac:dyDescent="0.3">
      <c r="A697" t="s">
        <v>2171</v>
      </c>
      <c r="B697" t="s">
        <v>2172</v>
      </c>
      <c r="C697" t="s">
        <v>2173</v>
      </c>
      <c r="D697" t="s">
        <v>2174</v>
      </c>
      <c r="E697" t="s">
        <v>2175</v>
      </c>
      <c r="F697">
        <v>0</v>
      </c>
      <c r="G697">
        <v>695</v>
      </c>
      <c r="H697">
        <f>IF(Table1[[#This Row],[my_ent_1]]=Table1[[#This Row],[their_ent_1]], 1, 0)</f>
        <v>0</v>
      </c>
      <c r="I697">
        <f>IF(Table1[[#This Row],[my_ent_2]]=Table1[[#This Row],[their_ent_2]], 1, 0)</f>
        <v>0</v>
      </c>
      <c r="J697">
        <f>IF(Table1[[#This Row],[same_1]]=1 &amp; Table1[[#This Row],[same_2]]=1, 1, 0)</f>
        <v>0</v>
      </c>
      <c r="K697">
        <f>IF(ISNUMBER(SEARCH(Table1[[#This Row],[their_ent_1]],Table1[[#This Row],[my_ent_1]])), 1, 0)</f>
        <v>0</v>
      </c>
      <c r="L697">
        <f>IF(ISNUMBER(SEARCH(Table1[[#This Row],[their_ent_2]],Table1[[#This Row],[my_ent_2]])), 1, 0)</f>
        <v>0</v>
      </c>
    </row>
    <row r="698" spans="1:12" hidden="1" x14ac:dyDescent="0.3">
      <c r="A698" t="s">
        <v>2176</v>
      </c>
      <c r="B698" t="s">
        <v>2028</v>
      </c>
      <c r="C698" t="s">
        <v>2028</v>
      </c>
      <c r="D698" t="s">
        <v>54</v>
      </c>
      <c r="E698" t="s">
        <v>2177</v>
      </c>
      <c r="F698">
        <v>0</v>
      </c>
      <c r="G698">
        <v>696</v>
      </c>
      <c r="H698">
        <f>IF(Table1[[#This Row],[my_ent_1]]=Table1[[#This Row],[their_ent_1]], 1, 0)</f>
        <v>1</v>
      </c>
      <c r="I698">
        <f>IF(Table1[[#This Row],[my_ent_2]]=Table1[[#This Row],[their_ent_2]], 1, 0)</f>
        <v>0</v>
      </c>
      <c r="J698">
        <f>IF(Table1[[#This Row],[same_1]]=1 &amp; Table1[[#This Row],[same_2]]=1, 1, 0)</f>
        <v>0</v>
      </c>
      <c r="K698">
        <f>IF(ISNUMBER(SEARCH(Table1[[#This Row],[their_ent_1]],Table1[[#This Row],[my_ent_1]])), 1, 0)</f>
        <v>1</v>
      </c>
      <c r="L698">
        <f>IF(ISNUMBER(SEARCH(Table1[[#This Row],[their_ent_2]],Table1[[#This Row],[my_ent_2]])), 1, 0)</f>
        <v>0</v>
      </c>
    </row>
    <row r="699" spans="1:12" hidden="1" x14ac:dyDescent="0.3">
      <c r="A699" t="s">
        <v>2178</v>
      </c>
      <c r="B699" t="s">
        <v>2179</v>
      </c>
      <c r="C699" t="s">
        <v>2180</v>
      </c>
      <c r="D699" t="s">
        <v>2181</v>
      </c>
      <c r="E699" t="s">
        <v>695</v>
      </c>
      <c r="F699">
        <v>0</v>
      </c>
      <c r="G699">
        <v>697</v>
      </c>
      <c r="H699">
        <f>IF(Table1[[#This Row],[my_ent_1]]=Table1[[#This Row],[their_ent_1]], 1, 0)</f>
        <v>0</v>
      </c>
      <c r="I699">
        <f>IF(Table1[[#This Row],[my_ent_2]]=Table1[[#This Row],[their_ent_2]], 1, 0)</f>
        <v>0</v>
      </c>
      <c r="J699">
        <f>IF(Table1[[#This Row],[same_1]]=1 &amp; Table1[[#This Row],[same_2]]=1, 1, 0)</f>
        <v>0</v>
      </c>
      <c r="K699">
        <f>IF(ISNUMBER(SEARCH(Table1[[#This Row],[their_ent_1]],Table1[[#This Row],[my_ent_1]])), 1, 0)</f>
        <v>0</v>
      </c>
      <c r="L699">
        <f>IF(ISNUMBER(SEARCH(Table1[[#This Row],[their_ent_2]],Table1[[#This Row],[my_ent_2]])), 1, 0)</f>
        <v>0</v>
      </c>
    </row>
    <row r="700" spans="1:12" hidden="1" x14ac:dyDescent="0.3">
      <c r="A700" t="s">
        <v>2182</v>
      </c>
      <c r="B700" t="s">
        <v>2183</v>
      </c>
      <c r="C700" t="s">
        <v>2184</v>
      </c>
      <c r="D700" t="s">
        <v>2185</v>
      </c>
      <c r="E700" t="s">
        <v>2186</v>
      </c>
      <c r="F700">
        <v>0</v>
      </c>
      <c r="G700">
        <v>698</v>
      </c>
      <c r="H700">
        <f>IF(Table1[[#This Row],[my_ent_1]]=Table1[[#This Row],[their_ent_1]], 1, 0)</f>
        <v>0</v>
      </c>
      <c r="I700">
        <f>IF(Table1[[#This Row],[my_ent_2]]=Table1[[#This Row],[their_ent_2]], 1, 0)</f>
        <v>0</v>
      </c>
      <c r="J700">
        <f>IF(Table1[[#This Row],[same_1]]=1 &amp; Table1[[#This Row],[same_2]]=1, 1, 0)</f>
        <v>0</v>
      </c>
      <c r="K700">
        <f>IF(ISNUMBER(SEARCH(Table1[[#This Row],[their_ent_1]],Table1[[#This Row],[my_ent_1]])), 1, 0)</f>
        <v>0</v>
      </c>
      <c r="L700">
        <f>IF(ISNUMBER(SEARCH(Table1[[#This Row],[their_ent_2]],Table1[[#This Row],[my_ent_2]])), 1, 0)</f>
        <v>0</v>
      </c>
    </row>
    <row r="701" spans="1:12" hidden="1" x14ac:dyDescent="0.3">
      <c r="A701" t="s">
        <v>2187</v>
      </c>
      <c r="B701" t="s">
        <v>2188</v>
      </c>
      <c r="C701" t="s">
        <v>2188</v>
      </c>
      <c r="D701" t="s">
        <v>51</v>
      </c>
      <c r="E701" t="s">
        <v>2189</v>
      </c>
      <c r="F701">
        <v>0</v>
      </c>
      <c r="G701">
        <v>699</v>
      </c>
      <c r="H701">
        <f>IF(Table1[[#This Row],[my_ent_1]]=Table1[[#This Row],[their_ent_1]], 1, 0)</f>
        <v>1</v>
      </c>
      <c r="I701">
        <f>IF(Table1[[#This Row],[my_ent_2]]=Table1[[#This Row],[their_ent_2]], 1, 0)</f>
        <v>0</v>
      </c>
      <c r="J701">
        <f>IF(Table1[[#This Row],[same_1]]=1 &amp; Table1[[#This Row],[same_2]]=1, 1, 0)</f>
        <v>0</v>
      </c>
      <c r="K701">
        <f>IF(ISNUMBER(SEARCH(Table1[[#This Row],[their_ent_1]],Table1[[#This Row],[my_ent_1]])), 1, 0)</f>
        <v>1</v>
      </c>
      <c r="L701">
        <f>IF(ISNUMBER(SEARCH(Table1[[#This Row],[their_ent_2]],Table1[[#This Row],[my_ent_2]])), 1, 0)</f>
        <v>0</v>
      </c>
    </row>
    <row r="702" spans="1:12" hidden="1" x14ac:dyDescent="0.3">
      <c r="A702" t="s">
        <v>2190</v>
      </c>
      <c r="B702" t="s">
        <v>489</v>
      </c>
      <c r="C702" t="s">
        <v>296</v>
      </c>
      <c r="D702" t="s">
        <v>2191</v>
      </c>
      <c r="E702" t="s">
        <v>2191</v>
      </c>
      <c r="F702">
        <v>0</v>
      </c>
      <c r="G702">
        <v>700</v>
      </c>
      <c r="H702">
        <f>IF(Table1[[#This Row],[my_ent_1]]=Table1[[#This Row],[their_ent_1]], 1, 0)</f>
        <v>0</v>
      </c>
      <c r="I702">
        <f>IF(Table1[[#This Row],[my_ent_2]]=Table1[[#This Row],[their_ent_2]], 1, 0)</f>
        <v>1</v>
      </c>
      <c r="J702">
        <f>IF(Table1[[#This Row],[same_1]]=1 &amp; Table1[[#This Row],[same_2]]=1, 1, 0)</f>
        <v>0</v>
      </c>
      <c r="K702">
        <f>IF(ISNUMBER(SEARCH(Table1[[#This Row],[their_ent_1]],Table1[[#This Row],[my_ent_1]])), 1, 0)</f>
        <v>0</v>
      </c>
      <c r="L702">
        <f>IF(ISNUMBER(SEARCH(Table1[[#This Row],[their_ent_2]],Table1[[#This Row],[my_ent_2]])), 1, 0)</f>
        <v>1</v>
      </c>
    </row>
    <row r="703" spans="1:12" hidden="1" x14ac:dyDescent="0.3">
      <c r="A703" t="s">
        <v>2192</v>
      </c>
      <c r="B703" t="s">
        <v>2193</v>
      </c>
      <c r="C703" t="s">
        <v>2194</v>
      </c>
      <c r="D703" t="s">
        <v>1115</v>
      </c>
      <c r="E703" t="s">
        <v>2195</v>
      </c>
      <c r="F703">
        <v>0</v>
      </c>
      <c r="G703">
        <v>701</v>
      </c>
      <c r="H703">
        <f>IF(Table1[[#This Row],[my_ent_1]]=Table1[[#This Row],[their_ent_1]], 1, 0)</f>
        <v>0</v>
      </c>
      <c r="I703">
        <f>IF(Table1[[#This Row],[my_ent_2]]=Table1[[#This Row],[their_ent_2]], 1, 0)</f>
        <v>0</v>
      </c>
      <c r="J703">
        <f>IF(Table1[[#This Row],[same_1]]=1 &amp; Table1[[#This Row],[same_2]]=1, 1, 0)</f>
        <v>0</v>
      </c>
      <c r="K703">
        <f>IF(ISNUMBER(SEARCH(Table1[[#This Row],[their_ent_1]],Table1[[#This Row],[my_ent_1]])), 1, 0)</f>
        <v>1</v>
      </c>
      <c r="L703">
        <f>IF(ISNUMBER(SEARCH(Table1[[#This Row],[their_ent_2]],Table1[[#This Row],[my_ent_2]])), 1, 0)</f>
        <v>0</v>
      </c>
    </row>
    <row r="704" spans="1:12" hidden="1" x14ac:dyDescent="0.3">
      <c r="A704" t="s">
        <v>2196</v>
      </c>
      <c r="B704" t="s">
        <v>28</v>
      </c>
      <c r="C704" t="s">
        <v>2197</v>
      </c>
      <c r="D704" t="s">
        <v>54</v>
      </c>
      <c r="E704" t="s">
        <v>58</v>
      </c>
      <c r="F704">
        <v>0</v>
      </c>
      <c r="G704">
        <v>702</v>
      </c>
      <c r="H704">
        <f>IF(Table1[[#This Row],[my_ent_1]]=Table1[[#This Row],[their_ent_1]], 1, 0)</f>
        <v>0</v>
      </c>
      <c r="I704">
        <f>IF(Table1[[#This Row],[my_ent_2]]=Table1[[#This Row],[their_ent_2]], 1, 0)</f>
        <v>0</v>
      </c>
      <c r="J704">
        <f>IF(Table1[[#This Row],[same_1]]=1 &amp; Table1[[#This Row],[same_2]]=1, 1, 0)</f>
        <v>0</v>
      </c>
      <c r="K704">
        <f>IF(ISNUMBER(SEARCH(Table1[[#This Row],[their_ent_1]],Table1[[#This Row],[my_ent_1]])), 1, 0)</f>
        <v>0</v>
      </c>
      <c r="L704">
        <f>IF(ISNUMBER(SEARCH(Table1[[#This Row],[their_ent_2]],Table1[[#This Row],[my_ent_2]])), 1, 0)</f>
        <v>0</v>
      </c>
    </row>
    <row r="705" spans="1:12" hidden="1" x14ac:dyDescent="0.3">
      <c r="A705" t="s">
        <v>2198</v>
      </c>
      <c r="B705" t="s">
        <v>2199</v>
      </c>
      <c r="C705" t="s">
        <v>2199</v>
      </c>
      <c r="D705" t="s">
        <v>2200</v>
      </c>
      <c r="E705" t="s">
        <v>2201</v>
      </c>
      <c r="F705">
        <v>0</v>
      </c>
      <c r="G705">
        <v>703</v>
      </c>
      <c r="H705">
        <f>IF(Table1[[#This Row],[my_ent_1]]=Table1[[#This Row],[their_ent_1]], 1, 0)</f>
        <v>1</v>
      </c>
      <c r="I705">
        <f>IF(Table1[[#This Row],[my_ent_2]]=Table1[[#This Row],[their_ent_2]], 1, 0)</f>
        <v>0</v>
      </c>
      <c r="J705">
        <f>IF(Table1[[#This Row],[same_1]]=1 &amp; Table1[[#This Row],[same_2]]=1, 1, 0)</f>
        <v>0</v>
      </c>
      <c r="K705">
        <f>IF(ISNUMBER(SEARCH(Table1[[#This Row],[their_ent_1]],Table1[[#This Row],[my_ent_1]])), 1, 0)</f>
        <v>1</v>
      </c>
      <c r="L705">
        <f>IF(ISNUMBER(SEARCH(Table1[[#This Row],[their_ent_2]],Table1[[#This Row],[my_ent_2]])), 1, 0)</f>
        <v>0</v>
      </c>
    </row>
    <row r="706" spans="1:12" hidden="1" x14ac:dyDescent="0.3">
      <c r="A706" t="s">
        <v>2202</v>
      </c>
      <c r="B706" t="s">
        <v>263</v>
      </c>
      <c r="C706" t="s">
        <v>2203</v>
      </c>
      <c r="D706" t="s">
        <v>2204</v>
      </c>
      <c r="E706" t="s">
        <v>741</v>
      </c>
      <c r="F706">
        <v>0</v>
      </c>
      <c r="G706">
        <v>704</v>
      </c>
      <c r="H706">
        <f>IF(Table1[[#This Row],[my_ent_1]]=Table1[[#This Row],[their_ent_1]], 1, 0)</f>
        <v>0</v>
      </c>
      <c r="I706">
        <f>IF(Table1[[#This Row],[my_ent_2]]=Table1[[#This Row],[their_ent_2]], 1, 0)</f>
        <v>0</v>
      </c>
      <c r="J706">
        <f>IF(Table1[[#This Row],[same_1]]=1 &amp; Table1[[#This Row],[same_2]]=1, 1, 0)</f>
        <v>0</v>
      </c>
      <c r="K706">
        <f>IF(ISNUMBER(SEARCH(Table1[[#This Row],[their_ent_1]],Table1[[#This Row],[my_ent_1]])), 1, 0)</f>
        <v>0</v>
      </c>
      <c r="L706">
        <f>IF(ISNUMBER(SEARCH(Table1[[#This Row],[their_ent_2]],Table1[[#This Row],[my_ent_2]])), 1, 0)</f>
        <v>0</v>
      </c>
    </row>
    <row r="707" spans="1:12" hidden="1" x14ac:dyDescent="0.3">
      <c r="A707" t="s">
        <v>2205</v>
      </c>
      <c r="B707" t="s">
        <v>2206</v>
      </c>
      <c r="C707" t="s">
        <v>2207</v>
      </c>
      <c r="D707" t="s">
        <v>94</v>
      </c>
      <c r="E707" t="s">
        <v>2208</v>
      </c>
      <c r="F707">
        <v>0</v>
      </c>
      <c r="G707">
        <v>705</v>
      </c>
      <c r="H707">
        <f>IF(Table1[[#This Row],[my_ent_1]]=Table1[[#This Row],[their_ent_1]], 1, 0)</f>
        <v>0</v>
      </c>
      <c r="I707">
        <f>IF(Table1[[#This Row],[my_ent_2]]=Table1[[#This Row],[their_ent_2]], 1, 0)</f>
        <v>0</v>
      </c>
      <c r="J707">
        <f>IF(Table1[[#This Row],[same_1]]=1 &amp; Table1[[#This Row],[same_2]]=1, 1, 0)</f>
        <v>0</v>
      </c>
      <c r="K707">
        <f>IF(ISNUMBER(SEARCH(Table1[[#This Row],[their_ent_1]],Table1[[#This Row],[my_ent_1]])), 1, 0)</f>
        <v>0</v>
      </c>
      <c r="L707">
        <f>IF(ISNUMBER(SEARCH(Table1[[#This Row],[their_ent_2]],Table1[[#This Row],[my_ent_2]])), 1, 0)</f>
        <v>0</v>
      </c>
    </row>
    <row r="708" spans="1:12" hidden="1" x14ac:dyDescent="0.3">
      <c r="A708" t="s">
        <v>2209</v>
      </c>
      <c r="B708" t="s">
        <v>2210</v>
      </c>
      <c r="C708" t="s">
        <v>903</v>
      </c>
      <c r="D708" t="s">
        <v>654</v>
      </c>
      <c r="E708" t="s">
        <v>597</v>
      </c>
      <c r="F708">
        <v>0</v>
      </c>
      <c r="G708">
        <v>706</v>
      </c>
      <c r="H708">
        <f>IF(Table1[[#This Row],[my_ent_1]]=Table1[[#This Row],[their_ent_1]], 1, 0)</f>
        <v>0</v>
      </c>
      <c r="I708">
        <f>IF(Table1[[#This Row],[my_ent_2]]=Table1[[#This Row],[their_ent_2]], 1, 0)</f>
        <v>0</v>
      </c>
      <c r="J708">
        <f>IF(Table1[[#This Row],[same_1]]=1 &amp; Table1[[#This Row],[same_2]]=1, 1, 0)</f>
        <v>0</v>
      </c>
      <c r="K708">
        <f>IF(ISNUMBER(SEARCH(Table1[[#This Row],[their_ent_1]],Table1[[#This Row],[my_ent_1]])), 1, 0)</f>
        <v>1</v>
      </c>
      <c r="L708">
        <f>IF(ISNUMBER(SEARCH(Table1[[#This Row],[their_ent_2]],Table1[[#This Row],[my_ent_2]])), 1, 0)</f>
        <v>0</v>
      </c>
    </row>
    <row r="709" spans="1:12" hidden="1" x14ac:dyDescent="0.3">
      <c r="A709" t="s">
        <v>2211</v>
      </c>
      <c r="B709" t="s">
        <v>2212</v>
      </c>
      <c r="C709" t="s">
        <v>29</v>
      </c>
      <c r="D709" t="s">
        <v>29</v>
      </c>
      <c r="E709" t="s">
        <v>2213</v>
      </c>
      <c r="F709">
        <v>0</v>
      </c>
      <c r="G709">
        <v>707</v>
      </c>
      <c r="H709">
        <f>IF(Table1[[#This Row],[my_ent_1]]=Table1[[#This Row],[their_ent_1]], 1, 0)</f>
        <v>0</v>
      </c>
      <c r="I709">
        <f>IF(Table1[[#This Row],[my_ent_2]]=Table1[[#This Row],[their_ent_2]], 1, 0)</f>
        <v>0</v>
      </c>
      <c r="J709">
        <f>IF(Table1[[#This Row],[same_1]]=1 &amp; Table1[[#This Row],[same_2]]=1, 1, 0)</f>
        <v>0</v>
      </c>
      <c r="K709">
        <f>IF(ISNUMBER(SEARCH(Table1[[#This Row],[their_ent_1]],Table1[[#This Row],[my_ent_1]])), 1, 0)</f>
        <v>0</v>
      </c>
      <c r="L709">
        <f>IF(ISNUMBER(SEARCH(Table1[[#This Row],[their_ent_2]],Table1[[#This Row],[my_ent_2]])), 1, 0)</f>
        <v>0</v>
      </c>
    </row>
    <row r="710" spans="1:12" hidden="1" x14ac:dyDescent="0.3">
      <c r="A710" t="s">
        <v>2214</v>
      </c>
      <c r="B710" t="s">
        <v>2215</v>
      </c>
      <c r="C710" t="s">
        <v>2216</v>
      </c>
      <c r="D710" t="s">
        <v>2217</v>
      </c>
      <c r="E710" t="s">
        <v>2218</v>
      </c>
      <c r="F710">
        <v>0</v>
      </c>
      <c r="G710">
        <v>708</v>
      </c>
      <c r="H710">
        <f>IF(Table1[[#This Row],[my_ent_1]]=Table1[[#This Row],[their_ent_1]], 1, 0)</f>
        <v>0</v>
      </c>
      <c r="I710">
        <f>IF(Table1[[#This Row],[my_ent_2]]=Table1[[#This Row],[their_ent_2]], 1, 0)</f>
        <v>0</v>
      </c>
      <c r="J710">
        <f>IF(Table1[[#This Row],[same_1]]=1 &amp; Table1[[#This Row],[same_2]]=1, 1, 0)</f>
        <v>0</v>
      </c>
      <c r="K710">
        <f>IF(ISNUMBER(SEARCH(Table1[[#This Row],[their_ent_1]],Table1[[#This Row],[my_ent_1]])), 1, 0)</f>
        <v>0</v>
      </c>
      <c r="L710">
        <f>IF(ISNUMBER(SEARCH(Table1[[#This Row],[their_ent_2]],Table1[[#This Row],[my_ent_2]])), 1, 0)</f>
        <v>0</v>
      </c>
    </row>
    <row r="711" spans="1:12" x14ac:dyDescent="0.3">
      <c r="A711" t="s">
        <v>2219</v>
      </c>
      <c r="B711" t="s">
        <v>2220</v>
      </c>
      <c r="C711" t="s">
        <v>2220</v>
      </c>
      <c r="D711" t="s">
        <v>2221</v>
      </c>
      <c r="E711" t="s">
        <v>2222</v>
      </c>
      <c r="F711">
        <v>0</v>
      </c>
      <c r="G711">
        <v>709</v>
      </c>
      <c r="H711">
        <f>IF(Table1[[#This Row],[my_ent_1]]=Table1[[#This Row],[their_ent_1]], 1, 0)</f>
        <v>1</v>
      </c>
      <c r="I711">
        <f>IF(Table1[[#This Row],[my_ent_2]]=Table1[[#This Row],[their_ent_2]], 1, 0)</f>
        <v>0</v>
      </c>
      <c r="J711">
        <f>IF(Table1[[#This Row],[same_1]]=1 &amp; Table1[[#This Row],[same_2]]=1, 1, 0)</f>
        <v>0</v>
      </c>
      <c r="K711">
        <f>IF(ISNUMBER(SEARCH(Table1[[#This Row],[their_ent_1]],Table1[[#This Row],[my_ent_1]])), 1, 0)</f>
        <v>1</v>
      </c>
      <c r="L711">
        <f>IF(ISNUMBER(SEARCH(Table1[[#This Row],[their_ent_2]],Table1[[#This Row],[my_ent_2]])), 1, 0)</f>
        <v>1</v>
      </c>
    </row>
    <row r="712" spans="1:12" hidden="1" x14ac:dyDescent="0.3">
      <c r="A712" t="s">
        <v>2223</v>
      </c>
      <c r="B712" t="s">
        <v>200</v>
      </c>
      <c r="C712" t="s">
        <v>200</v>
      </c>
      <c r="D712" t="s">
        <v>263</v>
      </c>
      <c r="E712" t="s">
        <v>2224</v>
      </c>
      <c r="F712">
        <v>0</v>
      </c>
      <c r="G712">
        <v>710</v>
      </c>
      <c r="H712">
        <f>IF(Table1[[#This Row],[my_ent_1]]=Table1[[#This Row],[their_ent_1]], 1, 0)</f>
        <v>1</v>
      </c>
      <c r="I712">
        <f>IF(Table1[[#This Row],[my_ent_2]]=Table1[[#This Row],[their_ent_2]], 1, 0)</f>
        <v>0</v>
      </c>
      <c r="J712">
        <f>IF(Table1[[#This Row],[same_1]]=1 &amp; Table1[[#This Row],[same_2]]=1, 1, 0)</f>
        <v>0</v>
      </c>
      <c r="K712">
        <f>IF(ISNUMBER(SEARCH(Table1[[#This Row],[their_ent_1]],Table1[[#This Row],[my_ent_1]])), 1, 0)</f>
        <v>1</v>
      </c>
      <c r="L712">
        <f>IF(ISNUMBER(SEARCH(Table1[[#This Row],[their_ent_2]],Table1[[#This Row],[my_ent_2]])), 1, 0)</f>
        <v>0</v>
      </c>
    </row>
    <row r="713" spans="1:12" hidden="1" x14ac:dyDescent="0.3">
      <c r="A713" t="s">
        <v>2225</v>
      </c>
      <c r="B713" t="s">
        <v>401</v>
      </c>
      <c r="C713" t="s">
        <v>30</v>
      </c>
      <c r="D713" t="s">
        <v>2226</v>
      </c>
      <c r="E713" t="s">
        <v>2227</v>
      </c>
      <c r="F713">
        <v>0</v>
      </c>
      <c r="G713">
        <v>711</v>
      </c>
      <c r="H713">
        <f>IF(Table1[[#This Row],[my_ent_1]]=Table1[[#This Row],[their_ent_1]], 1, 0)</f>
        <v>0</v>
      </c>
      <c r="I713">
        <f>IF(Table1[[#This Row],[my_ent_2]]=Table1[[#This Row],[their_ent_2]], 1, 0)</f>
        <v>0</v>
      </c>
      <c r="J713">
        <f>IF(Table1[[#This Row],[same_1]]=1 &amp; Table1[[#This Row],[same_2]]=1, 1, 0)</f>
        <v>0</v>
      </c>
      <c r="K713">
        <f>IF(ISNUMBER(SEARCH(Table1[[#This Row],[their_ent_1]],Table1[[#This Row],[my_ent_1]])), 1, 0)</f>
        <v>1</v>
      </c>
      <c r="L713">
        <f>IF(ISNUMBER(SEARCH(Table1[[#This Row],[their_ent_2]],Table1[[#This Row],[my_ent_2]])), 1, 0)</f>
        <v>0</v>
      </c>
    </row>
    <row r="714" spans="1:12" hidden="1" x14ac:dyDescent="0.3">
      <c r="A714" t="s">
        <v>2228</v>
      </c>
      <c r="B714" t="s">
        <v>208</v>
      </c>
      <c r="C714" t="s">
        <v>812</v>
      </c>
      <c r="D714" t="s">
        <v>103</v>
      </c>
      <c r="E714" t="s">
        <v>537</v>
      </c>
      <c r="F714">
        <v>0</v>
      </c>
      <c r="G714">
        <v>712</v>
      </c>
      <c r="H714">
        <f>IF(Table1[[#This Row],[my_ent_1]]=Table1[[#This Row],[their_ent_1]], 1, 0)</f>
        <v>0</v>
      </c>
      <c r="I714">
        <f>IF(Table1[[#This Row],[my_ent_2]]=Table1[[#This Row],[their_ent_2]], 1, 0)</f>
        <v>0</v>
      </c>
      <c r="J714">
        <f>IF(Table1[[#This Row],[same_1]]=1 &amp; Table1[[#This Row],[same_2]]=1, 1, 0)</f>
        <v>0</v>
      </c>
      <c r="K714">
        <f>IF(ISNUMBER(SEARCH(Table1[[#This Row],[their_ent_1]],Table1[[#This Row],[my_ent_1]])), 1, 0)</f>
        <v>0</v>
      </c>
      <c r="L714">
        <f>IF(ISNUMBER(SEARCH(Table1[[#This Row],[their_ent_2]],Table1[[#This Row],[my_ent_2]])), 1, 0)</f>
        <v>0</v>
      </c>
    </row>
    <row r="715" spans="1:12" hidden="1" x14ac:dyDescent="0.3">
      <c r="A715" t="s">
        <v>2229</v>
      </c>
      <c r="B715" t="s">
        <v>2230</v>
      </c>
      <c r="C715" t="s">
        <v>2231</v>
      </c>
      <c r="D715" t="s">
        <v>2232</v>
      </c>
      <c r="E715" t="s">
        <v>2233</v>
      </c>
      <c r="F715">
        <v>0</v>
      </c>
      <c r="G715">
        <v>713</v>
      </c>
      <c r="H715">
        <f>IF(Table1[[#This Row],[my_ent_1]]=Table1[[#This Row],[their_ent_1]], 1, 0)</f>
        <v>0</v>
      </c>
      <c r="I715">
        <f>IF(Table1[[#This Row],[my_ent_2]]=Table1[[#This Row],[their_ent_2]], 1, 0)</f>
        <v>0</v>
      </c>
      <c r="J715">
        <f>IF(Table1[[#This Row],[same_1]]=1 &amp; Table1[[#This Row],[same_2]]=1, 1, 0)</f>
        <v>0</v>
      </c>
      <c r="K715">
        <f>IF(ISNUMBER(SEARCH(Table1[[#This Row],[their_ent_1]],Table1[[#This Row],[my_ent_1]])), 1, 0)</f>
        <v>0</v>
      </c>
      <c r="L715">
        <f>IF(ISNUMBER(SEARCH(Table1[[#This Row],[their_ent_2]],Table1[[#This Row],[my_ent_2]])), 1, 0)</f>
        <v>0</v>
      </c>
    </row>
    <row r="716" spans="1:12" hidden="1" x14ac:dyDescent="0.3">
      <c r="A716" t="s">
        <v>2234</v>
      </c>
      <c r="B716" t="s">
        <v>7</v>
      </c>
      <c r="C716" t="s">
        <v>7</v>
      </c>
      <c r="D716" t="s">
        <v>2235</v>
      </c>
      <c r="E716" t="s">
        <v>2236</v>
      </c>
      <c r="F716">
        <v>0</v>
      </c>
      <c r="G716">
        <v>714</v>
      </c>
      <c r="H716">
        <f>IF(Table1[[#This Row],[my_ent_1]]=Table1[[#This Row],[their_ent_1]], 1, 0)</f>
        <v>1</v>
      </c>
      <c r="I716">
        <f>IF(Table1[[#This Row],[my_ent_2]]=Table1[[#This Row],[their_ent_2]], 1, 0)</f>
        <v>0</v>
      </c>
      <c r="J716">
        <f>IF(Table1[[#This Row],[same_1]]=1 &amp; Table1[[#This Row],[same_2]]=1, 1, 0)</f>
        <v>0</v>
      </c>
      <c r="K716">
        <f>IF(ISNUMBER(SEARCH(Table1[[#This Row],[their_ent_1]],Table1[[#This Row],[my_ent_1]])), 1, 0)</f>
        <v>1</v>
      </c>
      <c r="L716">
        <f>IF(ISNUMBER(SEARCH(Table1[[#This Row],[their_ent_2]],Table1[[#This Row],[my_ent_2]])), 1, 0)</f>
        <v>0</v>
      </c>
    </row>
    <row r="717" spans="1:12" hidden="1" x14ac:dyDescent="0.3">
      <c r="A717" t="s">
        <v>2237</v>
      </c>
      <c r="B717" t="s">
        <v>2238</v>
      </c>
      <c r="C717" t="s">
        <v>2239</v>
      </c>
      <c r="D717" t="s">
        <v>2240</v>
      </c>
      <c r="E717" t="s">
        <v>2240</v>
      </c>
      <c r="F717">
        <v>0</v>
      </c>
      <c r="G717">
        <v>715</v>
      </c>
      <c r="H717">
        <f>IF(Table1[[#This Row],[my_ent_1]]=Table1[[#This Row],[their_ent_1]], 1, 0)</f>
        <v>0</v>
      </c>
      <c r="I717">
        <f>IF(Table1[[#This Row],[my_ent_2]]=Table1[[#This Row],[their_ent_2]], 1, 0)</f>
        <v>1</v>
      </c>
      <c r="J717">
        <f>IF(Table1[[#This Row],[same_1]]=1 &amp; Table1[[#This Row],[same_2]]=1, 1, 0)</f>
        <v>0</v>
      </c>
      <c r="K717">
        <f>IF(ISNUMBER(SEARCH(Table1[[#This Row],[their_ent_1]],Table1[[#This Row],[my_ent_1]])), 1, 0)</f>
        <v>0</v>
      </c>
      <c r="L717">
        <f>IF(ISNUMBER(SEARCH(Table1[[#This Row],[their_ent_2]],Table1[[#This Row],[my_ent_2]])), 1, 0)</f>
        <v>1</v>
      </c>
    </row>
    <row r="718" spans="1:12" hidden="1" x14ac:dyDescent="0.3">
      <c r="A718" t="s">
        <v>2241</v>
      </c>
      <c r="B718" t="s">
        <v>2242</v>
      </c>
      <c r="C718" t="s">
        <v>2243</v>
      </c>
      <c r="D718" t="s">
        <v>2244</v>
      </c>
      <c r="E718" t="s">
        <v>321</v>
      </c>
      <c r="F718">
        <v>0</v>
      </c>
      <c r="G718">
        <v>716</v>
      </c>
      <c r="H718">
        <f>IF(Table1[[#This Row],[my_ent_1]]=Table1[[#This Row],[their_ent_1]], 1, 0)</f>
        <v>0</v>
      </c>
      <c r="I718">
        <f>IF(Table1[[#This Row],[my_ent_2]]=Table1[[#This Row],[their_ent_2]], 1, 0)</f>
        <v>0</v>
      </c>
      <c r="J718">
        <f>IF(Table1[[#This Row],[same_1]]=1 &amp; Table1[[#This Row],[same_2]]=1, 1, 0)</f>
        <v>0</v>
      </c>
      <c r="K718">
        <f>IF(ISNUMBER(SEARCH(Table1[[#This Row],[their_ent_1]],Table1[[#This Row],[my_ent_1]])), 1, 0)</f>
        <v>0</v>
      </c>
      <c r="L718">
        <f>IF(ISNUMBER(SEARCH(Table1[[#This Row],[their_ent_2]],Table1[[#This Row],[my_ent_2]])), 1, 0)</f>
        <v>0</v>
      </c>
    </row>
    <row r="719" spans="1:12" x14ac:dyDescent="0.3">
      <c r="A719" t="s">
        <v>2245</v>
      </c>
      <c r="B719" t="s">
        <v>525</v>
      </c>
      <c r="C719" t="s">
        <v>525</v>
      </c>
      <c r="D719" t="s">
        <v>2246</v>
      </c>
      <c r="E719" t="s">
        <v>2247</v>
      </c>
      <c r="F719">
        <v>0</v>
      </c>
      <c r="G719">
        <v>717</v>
      </c>
      <c r="H719">
        <f>IF(Table1[[#This Row],[my_ent_1]]=Table1[[#This Row],[their_ent_1]], 1, 0)</f>
        <v>1</v>
      </c>
      <c r="I719">
        <f>IF(Table1[[#This Row],[my_ent_2]]=Table1[[#This Row],[their_ent_2]], 1, 0)</f>
        <v>0</v>
      </c>
      <c r="J719">
        <f>IF(Table1[[#This Row],[same_1]]=1 &amp; Table1[[#This Row],[same_2]]=1, 1, 0)</f>
        <v>0</v>
      </c>
      <c r="K719">
        <f>IF(ISNUMBER(SEARCH(Table1[[#This Row],[their_ent_1]],Table1[[#This Row],[my_ent_1]])), 1, 0)</f>
        <v>1</v>
      </c>
      <c r="L719">
        <f>IF(ISNUMBER(SEARCH(Table1[[#This Row],[their_ent_2]],Table1[[#This Row],[my_ent_2]])), 1, 0)</f>
        <v>1</v>
      </c>
    </row>
    <row r="720" spans="1:12" x14ac:dyDescent="0.3">
      <c r="A720" t="s">
        <v>2248</v>
      </c>
      <c r="B720" t="s">
        <v>2249</v>
      </c>
      <c r="C720" t="s">
        <v>886</v>
      </c>
      <c r="D720" t="s">
        <v>297</v>
      </c>
      <c r="E720" t="s">
        <v>297</v>
      </c>
      <c r="F720">
        <v>0</v>
      </c>
      <c r="G720">
        <v>718</v>
      </c>
      <c r="H720">
        <f>IF(Table1[[#This Row],[my_ent_1]]=Table1[[#This Row],[their_ent_1]], 1, 0)</f>
        <v>0</v>
      </c>
      <c r="I720">
        <f>IF(Table1[[#This Row],[my_ent_2]]=Table1[[#This Row],[their_ent_2]], 1, 0)</f>
        <v>1</v>
      </c>
      <c r="J720">
        <f>IF(Table1[[#This Row],[same_1]]=1 &amp; Table1[[#This Row],[same_2]]=1, 1, 0)</f>
        <v>0</v>
      </c>
      <c r="K720">
        <f>IF(ISNUMBER(SEARCH(Table1[[#This Row],[their_ent_1]],Table1[[#This Row],[my_ent_1]])), 1, 0)</f>
        <v>1</v>
      </c>
      <c r="L720">
        <f>IF(ISNUMBER(SEARCH(Table1[[#This Row],[their_ent_2]],Table1[[#This Row],[my_ent_2]])), 1, 0)</f>
        <v>1</v>
      </c>
    </row>
    <row r="721" spans="1:12" hidden="1" x14ac:dyDescent="0.3">
      <c r="A721" t="s">
        <v>2250</v>
      </c>
      <c r="B721" t="s">
        <v>2251</v>
      </c>
      <c r="C721" t="s">
        <v>683</v>
      </c>
      <c r="D721" t="s">
        <v>2252</v>
      </c>
      <c r="E721" t="s">
        <v>2252</v>
      </c>
      <c r="F721">
        <v>0</v>
      </c>
      <c r="G721">
        <v>719</v>
      </c>
      <c r="H721">
        <f>IF(Table1[[#This Row],[my_ent_1]]=Table1[[#This Row],[their_ent_1]], 1, 0)</f>
        <v>0</v>
      </c>
      <c r="I721">
        <f>IF(Table1[[#This Row],[my_ent_2]]=Table1[[#This Row],[their_ent_2]], 1, 0)</f>
        <v>1</v>
      </c>
      <c r="J721">
        <f>IF(Table1[[#This Row],[same_1]]=1 &amp; Table1[[#This Row],[same_2]]=1, 1, 0)</f>
        <v>0</v>
      </c>
      <c r="K721">
        <f>IF(ISNUMBER(SEARCH(Table1[[#This Row],[their_ent_1]],Table1[[#This Row],[my_ent_1]])), 1, 0)</f>
        <v>0</v>
      </c>
      <c r="L721">
        <f>IF(ISNUMBER(SEARCH(Table1[[#This Row],[their_ent_2]],Table1[[#This Row],[my_ent_2]])), 1, 0)</f>
        <v>1</v>
      </c>
    </row>
    <row r="722" spans="1:12" x14ac:dyDescent="0.3">
      <c r="A722" t="s">
        <v>2253</v>
      </c>
      <c r="B722" t="s">
        <v>58</v>
      </c>
      <c r="C722" t="s">
        <v>58</v>
      </c>
      <c r="D722" t="s">
        <v>1945</v>
      </c>
      <c r="E722" t="s">
        <v>1944</v>
      </c>
      <c r="F722">
        <v>0</v>
      </c>
      <c r="G722">
        <v>720</v>
      </c>
      <c r="H722">
        <f>IF(Table1[[#This Row],[my_ent_1]]=Table1[[#This Row],[their_ent_1]], 1, 0)</f>
        <v>1</v>
      </c>
      <c r="I722">
        <f>IF(Table1[[#This Row],[my_ent_2]]=Table1[[#This Row],[their_ent_2]], 1, 0)</f>
        <v>0</v>
      </c>
      <c r="J722">
        <f>IF(Table1[[#This Row],[same_1]]=1 &amp; Table1[[#This Row],[same_2]]=1, 1, 0)</f>
        <v>0</v>
      </c>
      <c r="K722">
        <f>IF(ISNUMBER(SEARCH(Table1[[#This Row],[their_ent_1]],Table1[[#This Row],[my_ent_1]])), 1, 0)</f>
        <v>1</v>
      </c>
      <c r="L722">
        <f>IF(ISNUMBER(SEARCH(Table1[[#This Row],[their_ent_2]],Table1[[#This Row],[my_ent_2]])), 1, 0)</f>
        <v>1</v>
      </c>
    </row>
    <row r="723" spans="1:12" hidden="1" x14ac:dyDescent="0.3">
      <c r="A723" t="s">
        <v>2254</v>
      </c>
      <c r="B723" t="s">
        <v>2255</v>
      </c>
      <c r="C723" t="s">
        <v>2256</v>
      </c>
      <c r="D723" t="s">
        <v>58</v>
      </c>
      <c r="E723" t="s">
        <v>2257</v>
      </c>
      <c r="F723">
        <v>0</v>
      </c>
      <c r="G723">
        <v>721</v>
      </c>
      <c r="H723">
        <f>IF(Table1[[#This Row],[my_ent_1]]=Table1[[#This Row],[their_ent_1]], 1, 0)</f>
        <v>0</v>
      </c>
      <c r="I723">
        <f>IF(Table1[[#This Row],[my_ent_2]]=Table1[[#This Row],[their_ent_2]], 1, 0)</f>
        <v>0</v>
      </c>
      <c r="J723">
        <f>IF(Table1[[#This Row],[same_1]]=1 &amp; Table1[[#This Row],[same_2]]=1, 1, 0)</f>
        <v>0</v>
      </c>
      <c r="K723">
        <f>IF(ISNUMBER(SEARCH(Table1[[#This Row],[their_ent_1]],Table1[[#This Row],[my_ent_1]])), 1, 0)</f>
        <v>0</v>
      </c>
      <c r="L723">
        <f>IF(ISNUMBER(SEARCH(Table1[[#This Row],[their_ent_2]],Table1[[#This Row],[my_ent_2]])), 1, 0)</f>
        <v>0</v>
      </c>
    </row>
    <row r="724" spans="1:12" hidden="1" x14ac:dyDescent="0.3">
      <c r="A724" t="s">
        <v>2258</v>
      </c>
      <c r="B724" t="s">
        <v>2259</v>
      </c>
      <c r="C724" t="s">
        <v>2260</v>
      </c>
      <c r="D724" t="s">
        <v>54</v>
      </c>
      <c r="E724" t="s">
        <v>2261</v>
      </c>
      <c r="F724">
        <v>0</v>
      </c>
      <c r="G724">
        <v>722</v>
      </c>
      <c r="H724">
        <f>IF(Table1[[#This Row],[my_ent_1]]=Table1[[#This Row],[their_ent_1]], 1, 0)</f>
        <v>0</v>
      </c>
      <c r="I724">
        <f>IF(Table1[[#This Row],[my_ent_2]]=Table1[[#This Row],[their_ent_2]], 1, 0)</f>
        <v>0</v>
      </c>
      <c r="J724">
        <f>IF(Table1[[#This Row],[same_1]]=1 &amp; Table1[[#This Row],[same_2]]=1, 1, 0)</f>
        <v>0</v>
      </c>
      <c r="K724">
        <f>IF(ISNUMBER(SEARCH(Table1[[#This Row],[their_ent_1]],Table1[[#This Row],[my_ent_1]])), 1, 0)</f>
        <v>1</v>
      </c>
      <c r="L724">
        <f>IF(ISNUMBER(SEARCH(Table1[[#This Row],[their_ent_2]],Table1[[#This Row],[my_ent_2]])), 1, 0)</f>
        <v>0</v>
      </c>
    </row>
    <row r="725" spans="1:12" hidden="1" x14ac:dyDescent="0.3">
      <c r="A725" t="s">
        <v>2262</v>
      </c>
      <c r="B725" t="s">
        <v>2263</v>
      </c>
      <c r="C725" t="s">
        <v>2264</v>
      </c>
      <c r="D725" t="s">
        <v>2265</v>
      </c>
      <c r="E725" t="s">
        <v>2266</v>
      </c>
      <c r="F725">
        <v>0</v>
      </c>
      <c r="G725">
        <v>723</v>
      </c>
      <c r="H725">
        <f>IF(Table1[[#This Row],[my_ent_1]]=Table1[[#This Row],[their_ent_1]], 1, 0)</f>
        <v>0</v>
      </c>
      <c r="I725">
        <f>IF(Table1[[#This Row],[my_ent_2]]=Table1[[#This Row],[their_ent_2]], 1, 0)</f>
        <v>0</v>
      </c>
      <c r="J725">
        <f>IF(Table1[[#This Row],[same_1]]=1 &amp; Table1[[#This Row],[same_2]]=1, 1, 0)</f>
        <v>0</v>
      </c>
      <c r="K725">
        <f>IF(ISNUMBER(SEARCH(Table1[[#This Row],[their_ent_1]],Table1[[#This Row],[my_ent_1]])), 1, 0)</f>
        <v>0</v>
      </c>
      <c r="L725">
        <f>IF(ISNUMBER(SEARCH(Table1[[#This Row],[their_ent_2]],Table1[[#This Row],[my_ent_2]])), 1, 0)</f>
        <v>0</v>
      </c>
    </row>
    <row r="726" spans="1:12" hidden="1" x14ac:dyDescent="0.3">
      <c r="A726" t="s">
        <v>2267</v>
      </c>
      <c r="B726" t="s">
        <v>859</v>
      </c>
      <c r="C726" t="s">
        <v>860</v>
      </c>
      <c r="D726" t="s">
        <v>7</v>
      </c>
      <c r="E726" t="s">
        <v>387</v>
      </c>
      <c r="F726">
        <v>0</v>
      </c>
      <c r="G726">
        <v>724</v>
      </c>
      <c r="H726">
        <f>IF(Table1[[#This Row],[my_ent_1]]=Table1[[#This Row],[their_ent_1]], 1, 0)</f>
        <v>0</v>
      </c>
      <c r="I726">
        <f>IF(Table1[[#This Row],[my_ent_2]]=Table1[[#This Row],[their_ent_2]], 1, 0)</f>
        <v>0</v>
      </c>
      <c r="J726">
        <f>IF(Table1[[#This Row],[same_1]]=1 &amp; Table1[[#This Row],[same_2]]=1, 1, 0)</f>
        <v>0</v>
      </c>
      <c r="K726">
        <f>IF(ISNUMBER(SEARCH(Table1[[#This Row],[their_ent_1]],Table1[[#This Row],[my_ent_1]])), 1, 0)</f>
        <v>1</v>
      </c>
      <c r="L726">
        <f>IF(ISNUMBER(SEARCH(Table1[[#This Row],[their_ent_2]],Table1[[#This Row],[my_ent_2]])), 1, 0)</f>
        <v>0</v>
      </c>
    </row>
    <row r="727" spans="1:12" hidden="1" x14ac:dyDescent="0.3">
      <c r="A727" t="s">
        <v>2268</v>
      </c>
      <c r="B727" t="s">
        <v>2269</v>
      </c>
      <c r="C727" t="s">
        <v>2270</v>
      </c>
      <c r="D727" t="s">
        <v>2271</v>
      </c>
      <c r="E727" t="s">
        <v>2272</v>
      </c>
      <c r="F727">
        <v>0</v>
      </c>
      <c r="G727">
        <v>725</v>
      </c>
      <c r="H727">
        <f>IF(Table1[[#This Row],[my_ent_1]]=Table1[[#This Row],[their_ent_1]], 1, 0)</f>
        <v>0</v>
      </c>
      <c r="I727">
        <f>IF(Table1[[#This Row],[my_ent_2]]=Table1[[#This Row],[their_ent_2]], 1, 0)</f>
        <v>0</v>
      </c>
      <c r="J727">
        <f>IF(Table1[[#This Row],[same_1]]=1 &amp; Table1[[#This Row],[same_2]]=1, 1, 0)</f>
        <v>0</v>
      </c>
      <c r="K727">
        <f>IF(ISNUMBER(SEARCH(Table1[[#This Row],[their_ent_1]],Table1[[#This Row],[my_ent_1]])), 1, 0)</f>
        <v>0</v>
      </c>
      <c r="L727">
        <f>IF(ISNUMBER(SEARCH(Table1[[#This Row],[their_ent_2]],Table1[[#This Row],[my_ent_2]])), 1, 0)</f>
        <v>0</v>
      </c>
    </row>
    <row r="728" spans="1:12" hidden="1" x14ac:dyDescent="0.3">
      <c r="A728" t="s">
        <v>2273</v>
      </c>
      <c r="B728" t="s">
        <v>1192</v>
      </c>
      <c r="C728" t="s">
        <v>2274</v>
      </c>
      <c r="D728" t="s">
        <v>525</v>
      </c>
      <c r="E728" t="s">
        <v>525</v>
      </c>
      <c r="F728">
        <v>0</v>
      </c>
      <c r="G728">
        <v>726</v>
      </c>
      <c r="H728">
        <f>IF(Table1[[#This Row],[my_ent_1]]=Table1[[#This Row],[their_ent_1]], 1, 0)</f>
        <v>0</v>
      </c>
      <c r="I728">
        <f>IF(Table1[[#This Row],[my_ent_2]]=Table1[[#This Row],[their_ent_2]], 1, 0)</f>
        <v>1</v>
      </c>
      <c r="J728">
        <f>IF(Table1[[#This Row],[same_1]]=1 &amp; Table1[[#This Row],[same_2]]=1, 1, 0)</f>
        <v>0</v>
      </c>
      <c r="K728">
        <f>IF(ISNUMBER(SEARCH(Table1[[#This Row],[their_ent_1]],Table1[[#This Row],[my_ent_1]])), 1, 0)</f>
        <v>0</v>
      </c>
      <c r="L728">
        <f>IF(ISNUMBER(SEARCH(Table1[[#This Row],[their_ent_2]],Table1[[#This Row],[my_ent_2]])), 1, 0)</f>
        <v>1</v>
      </c>
    </row>
    <row r="729" spans="1:12" hidden="1" x14ac:dyDescent="0.3">
      <c r="A729" t="s">
        <v>2275</v>
      </c>
      <c r="B729" t="s">
        <v>401</v>
      </c>
      <c r="C729" t="s">
        <v>2276</v>
      </c>
      <c r="D729" t="s">
        <v>137</v>
      </c>
      <c r="E729" t="s">
        <v>30</v>
      </c>
      <c r="F729">
        <v>0</v>
      </c>
      <c r="G729">
        <v>727</v>
      </c>
      <c r="H729">
        <f>IF(Table1[[#This Row],[my_ent_1]]=Table1[[#This Row],[their_ent_1]], 1, 0)</f>
        <v>0</v>
      </c>
      <c r="I729">
        <f>IF(Table1[[#This Row],[my_ent_2]]=Table1[[#This Row],[their_ent_2]], 1, 0)</f>
        <v>0</v>
      </c>
      <c r="J729">
        <f>IF(Table1[[#This Row],[same_1]]=1 &amp; Table1[[#This Row],[same_2]]=1, 1, 0)</f>
        <v>0</v>
      </c>
      <c r="K729">
        <f>IF(ISNUMBER(SEARCH(Table1[[#This Row],[their_ent_1]],Table1[[#This Row],[my_ent_1]])), 1, 0)</f>
        <v>0</v>
      </c>
      <c r="L729">
        <f>IF(ISNUMBER(SEARCH(Table1[[#This Row],[their_ent_2]],Table1[[#This Row],[my_ent_2]])), 1, 0)</f>
        <v>0</v>
      </c>
    </row>
    <row r="730" spans="1:12" hidden="1" x14ac:dyDescent="0.3">
      <c r="A730" t="s">
        <v>2277</v>
      </c>
      <c r="B730" t="s">
        <v>2278</v>
      </c>
      <c r="C730" t="s">
        <v>2278</v>
      </c>
      <c r="D730" t="s">
        <v>2279</v>
      </c>
      <c r="E730" t="s">
        <v>2280</v>
      </c>
      <c r="F730">
        <v>0</v>
      </c>
      <c r="G730">
        <v>728</v>
      </c>
      <c r="H730">
        <f>IF(Table1[[#This Row],[my_ent_1]]=Table1[[#This Row],[their_ent_1]], 1, 0)</f>
        <v>1</v>
      </c>
      <c r="I730">
        <f>IF(Table1[[#This Row],[my_ent_2]]=Table1[[#This Row],[their_ent_2]], 1, 0)</f>
        <v>0</v>
      </c>
      <c r="J730">
        <f>IF(Table1[[#This Row],[same_1]]=1 &amp; Table1[[#This Row],[same_2]]=1, 1, 0)</f>
        <v>0</v>
      </c>
      <c r="K730">
        <f>IF(ISNUMBER(SEARCH(Table1[[#This Row],[their_ent_1]],Table1[[#This Row],[my_ent_1]])), 1, 0)</f>
        <v>1</v>
      </c>
      <c r="L730">
        <f>IF(ISNUMBER(SEARCH(Table1[[#This Row],[their_ent_2]],Table1[[#This Row],[my_ent_2]])), 1, 0)</f>
        <v>0</v>
      </c>
    </row>
    <row r="731" spans="1:12" hidden="1" x14ac:dyDescent="0.3">
      <c r="A731" t="s">
        <v>2281</v>
      </c>
      <c r="B731" t="s">
        <v>2282</v>
      </c>
      <c r="C731" t="s">
        <v>2282</v>
      </c>
      <c r="D731" t="s">
        <v>2283</v>
      </c>
      <c r="E731" t="s">
        <v>2284</v>
      </c>
      <c r="F731">
        <v>0</v>
      </c>
      <c r="G731">
        <v>729</v>
      </c>
      <c r="H731">
        <f>IF(Table1[[#This Row],[my_ent_1]]=Table1[[#This Row],[their_ent_1]], 1, 0)</f>
        <v>1</v>
      </c>
      <c r="I731">
        <f>IF(Table1[[#This Row],[my_ent_2]]=Table1[[#This Row],[their_ent_2]], 1, 0)</f>
        <v>0</v>
      </c>
      <c r="J731">
        <f>IF(Table1[[#This Row],[same_1]]=1 &amp; Table1[[#This Row],[same_2]]=1, 1, 0)</f>
        <v>0</v>
      </c>
      <c r="K731">
        <f>IF(ISNUMBER(SEARCH(Table1[[#This Row],[their_ent_1]],Table1[[#This Row],[my_ent_1]])), 1, 0)</f>
        <v>1</v>
      </c>
      <c r="L731">
        <f>IF(ISNUMBER(SEARCH(Table1[[#This Row],[their_ent_2]],Table1[[#This Row],[my_ent_2]])), 1, 0)</f>
        <v>0</v>
      </c>
    </row>
    <row r="732" spans="1:12" hidden="1" x14ac:dyDescent="0.3">
      <c r="A732" t="s">
        <v>2285</v>
      </c>
      <c r="B732" t="s">
        <v>1981</v>
      </c>
      <c r="C732" t="s">
        <v>2286</v>
      </c>
      <c r="D732" t="s">
        <v>2287</v>
      </c>
      <c r="E732" t="s">
        <v>993</v>
      </c>
      <c r="F732">
        <v>0</v>
      </c>
      <c r="G732">
        <v>730</v>
      </c>
      <c r="H732">
        <f>IF(Table1[[#This Row],[my_ent_1]]=Table1[[#This Row],[their_ent_1]], 1, 0)</f>
        <v>0</v>
      </c>
      <c r="I732">
        <f>IF(Table1[[#This Row],[my_ent_2]]=Table1[[#This Row],[their_ent_2]], 1, 0)</f>
        <v>0</v>
      </c>
      <c r="J732">
        <f>IF(Table1[[#This Row],[same_1]]=1 &amp; Table1[[#This Row],[same_2]]=1, 1, 0)</f>
        <v>0</v>
      </c>
      <c r="K732">
        <f>IF(ISNUMBER(SEARCH(Table1[[#This Row],[their_ent_1]],Table1[[#This Row],[my_ent_1]])), 1, 0)</f>
        <v>0</v>
      </c>
      <c r="L732">
        <f>IF(ISNUMBER(SEARCH(Table1[[#This Row],[their_ent_2]],Table1[[#This Row],[my_ent_2]])), 1, 0)</f>
        <v>0</v>
      </c>
    </row>
    <row r="733" spans="1:12" hidden="1" x14ac:dyDescent="0.3">
      <c r="A733" t="s">
        <v>2288</v>
      </c>
      <c r="B733" t="s">
        <v>1536</v>
      </c>
      <c r="C733" t="s">
        <v>1536</v>
      </c>
      <c r="D733" t="s">
        <v>2289</v>
      </c>
      <c r="E733" t="s">
        <v>2290</v>
      </c>
      <c r="F733">
        <v>0</v>
      </c>
      <c r="G733">
        <v>731</v>
      </c>
      <c r="H733">
        <f>IF(Table1[[#This Row],[my_ent_1]]=Table1[[#This Row],[their_ent_1]], 1, 0)</f>
        <v>1</v>
      </c>
      <c r="I733">
        <f>IF(Table1[[#This Row],[my_ent_2]]=Table1[[#This Row],[their_ent_2]], 1, 0)</f>
        <v>0</v>
      </c>
      <c r="J733">
        <f>IF(Table1[[#This Row],[same_1]]=1 &amp; Table1[[#This Row],[same_2]]=1, 1, 0)</f>
        <v>0</v>
      </c>
      <c r="K733">
        <f>IF(ISNUMBER(SEARCH(Table1[[#This Row],[their_ent_1]],Table1[[#This Row],[my_ent_1]])), 1, 0)</f>
        <v>1</v>
      </c>
      <c r="L733">
        <f>IF(ISNUMBER(SEARCH(Table1[[#This Row],[their_ent_2]],Table1[[#This Row],[my_ent_2]])), 1, 0)</f>
        <v>0</v>
      </c>
    </row>
    <row r="734" spans="1:12" x14ac:dyDescent="0.3">
      <c r="A734" t="s">
        <v>2291</v>
      </c>
      <c r="B734" t="s">
        <v>2292</v>
      </c>
      <c r="C734" t="s">
        <v>472</v>
      </c>
      <c r="D734" t="s">
        <v>58</v>
      </c>
      <c r="E734" t="s">
        <v>58</v>
      </c>
      <c r="F734">
        <v>0</v>
      </c>
      <c r="G734">
        <v>732</v>
      </c>
      <c r="H734">
        <f>IF(Table1[[#This Row],[my_ent_1]]=Table1[[#This Row],[their_ent_1]], 1, 0)</f>
        <v>0</v>
      </c>
      <c r="I734">
        <f>IF(Table1[[#This Row],[my_ent_2]]=Table1[[#This Row],[their_ent_2]], 1, 0)</f>
        <v>1</v>
      </c>
      <c r="J734">
        <f>IF(Table1[[#This Row],[same_1]]=1 &amp; Table1[[#This Row],[same_2]]=1, 1, 0)</f>
        <v>0</v>
      </c>
      <c r="K734">
        <f>IF(ISNUMBER(SEARCH(Table1[[#This Row],[their_ent_1]],Table1[[#This Row],[my_ent_1]])), 1, 0)</f>
        <v>1</v>
      </c>
      <c r="L734">
        <f>IF(ISNUMBER(SEARCH(Table1[[#This Row],[their_ent_2]],Table1[[#This Row],[my_ent_2]])), 1, 0)</f>
        <v>1</v>
      </c>
    </row>
    <row r="735" spans="1:12" x14ac:dyDescent="0.3">
      <c r="A735" t="s">
        <v>2293</v>
      </c>
      <c r="B735" t="s">
        <v>2294</v>
      </c>
      <c r="C735" t="s">
        <v>2294</v>
      </c>
      <c r="D735" t="s">
        <v>2295</v>
      </c>
      <c r="E735" t="s">
        <v>2296</v>
      </c>
      <c r="F735">
        <v>0</v>
      </c>
      <c r="G735">
        <v>733</v>
      </c>
      <c r="H735">
        <f>IF(Table1[[#This Row],[my_ent_1]]=Table1[[#This Row],[their_ent_1]], 1, 0)</f>
        <v>1</v>
      </c>
      <c r="I735">
        <f>IF(Table1[[#This Row],[my_ent_2]]=Table1[[#This Row],[their_ent_2]], 1, 0)</f>
        <v>0</v>
      </c>
      <c r="J735">
        <f>IF(Table1[[#This Row],[same_1]]=1 &amp; Table1[[#This Row],[same_2]]=1, 1, 0)</f>
        <v>0</v>
      </c>
      <c r="K735">
        <f>IF(ISNUMBER(SEARCH(Table1[[#This Row],[their_ent_1]],Table1[[#This Row],[my_ent_1]])), 1, 0)</f>
        <v>1</v>
      </c>
      <c r="L735">
        <f>IF(ISNUMBER(SEARCH(Table1[[#This Row],[their_ent_2]],Table1[[#This Row],[my_ent_2]])), 1, 0)</f>
        <v>1</v>
      </c>
    </row>
    <row r="736" spans="1:12" hidden="1" x14ac:dyDescent="0.3">
      <c r="A736" t="s">
        <v>2297</v>
      </c>
      <c r="B736" t="s">
        <v>577</v>
      </c>
      <c r="C736" t="s">
        <v>2298</v>
      </c>
      <c r="D736" t="s">
        <v>2298</v>
      </c>
      <c r="E736" t="s">
        <v>2299</v>
      </c>
      <c r="F736">
        <v>0</v>
      </c>
      <c r="G736">
        <v>734</v>
      </c>
      <c r="H736">
        <f>IF(Table1[[#This Row],[my_ent_1]]=Table1[[#This Row],[their_ent_1]], 1, 0)</f>
        <v>0</v>
      </c>
      <c r="I736">
        <f>IF(Table1[[#This Row],[my_ent_2]]=Table1[[#This Row],[their_ent_2]], 1, 0)</f>
        <v>0</v>
      </c>
      <c r="J736">
        <f>IF(Table1[[#This Row],[same_1]]=1 &amp; Table1[[#This Row],[same_2]]=1, 1, 0)</f>
        <v>0</v>
      </c>
      <c r="K736">
        <f>IF(ISNUMBER(SEARCH(Table1[[#This Row],[their_ent_1]],Table1[[#This Row],[my_ent_1]])), 1, 0)</f>
        <v>0</v>
      </c>
      <c r="L736">
        <f>IF(ISNUMBER(SEARCH(Table1[[#This Row],[their_ent_2]],Table1[[#This Row],[my_ent_2]])), 1, 0)</f>
        <v>0</v>
      </c>
    </row>
    <row r="737" spans="1:12" hidden="1" x14ac:dyDescent="0.3">
      <c r="A737" t="s">
        <v>2300</v>
      </c>
      <c r="B737" t="s">
        <v>58</v>
      </c>
      <c r="C737" t="s">
        <v>58</v>
      </c>
      <c r="D737" t="s">
        <v>94</v>
      </c>
      <c r="E737" t="s">
        <v>2301</v>
      </c>
      <c r="F737">
        <v>0</v>
      </c>
      <c r="G737">
        <v>735</v>
      </c>
      <c r="H737">
        <f>IF(Table1[[#This Row],[my_ent_1]]=Table1[[#This Row],[their_ent_1]], 1, 0)</f>
        <v>1</v>
      </c>
      <c r="I737">
        <f>IF(Table1[[#This Row],[my_ent_2]]=Table1[[#This Row],[their_ent_2]], 1, 0)</f>
        <v>0</v>
      </c>
      <c r="J737">
        <f>IF(Table1[[#This Row],[same_1]]=1 &amp; Table1[[#This Row],[same_2]]=1, 1, 0)</f>
        <v>0</v>
      </c>
      <c r="K737">
        <f>IF(ISNUMBER(SEARCH(Table1[[#This Row],[their_ent_1]],Table1[[#This Row],[my_ent_1]])), 1, 0)</f>
        <v>1</v>
      </c>
      <c r="L737">
        <f>IF(ISNUMBER(SEARCH(Table1[[#This Row],[their_ent_2]],Table1[[#This Row],[my_ent_2]])), 1, 0)</f>
        <v>0</v>
      </c>
    </row>
    <row r="738" spans="1:12" hidden="1" x14ac:dyDescent="0.3">
      <c r="A738" t="s">
        <v>2302</v>
      </c>
      <c r="B738" t="s">
        <v>58</v>
      </c>
      <c r="C738" t="s">
        <v>2303</v>
      </c>
      <c r="D738" t="s">
        <v>1862</v>
      </c>
      <c r="E738" t="s">
        <v>1862</v>
      </c>
      <c r="F738">
        <v>0</v>
      </c>
      <c r="G738">
        <v>736</v>
      </c>
      <c r="H738">
        <f>IF(Table1[[#This Row],[my_ent_1]]=Table1[[#This Row],[their_ent_1]], 1, 0)</f>
        <v>0</v>
      </c>
      <c r="I738">
        <f>IF(Table1[[#This Row],[my_ent_2]]=Table1[[#This Row],[their_ent_2]], 1, 0)</f>
        <v>1</v>
      </c>
      <c r="J738">
        <f>IF(Table1[[#This Row],[same_1]]=1 &amp; Table1[[#This Row],[same_2]]=1, 1, 0)</f>
        <v>0</v>
      </c>
      <c r="K738">
        <f>IF(ISNUMBER(SEARCH(Table1[[#This Row],[their_ent_1]],Table1[[#This Row],[my_ent_1]])), 1, 0)</f>
        <v>0</v>
      </c>
      <c r="L738">
        <f>IF(ISNUMBER(SEARCH(Table1[[#This Row],[their_ent_2]],Table1[[#This Row],[my_ent_2]])), 1, 0)</f>
        <v>1</v>
      </c>
    </row>
    <row r="739" spans="1:12" hidden="1" x14ac:dyDescent="0.3">
      <c r="A739" t="s">
        <v>2304</v>
      </c>
      <c r="B739" t="s">
        <v>525</v>
      </c>
      <c r="C739" t="s">
        <v>525</v>
      </c>
      <c r="D739" t="s">
        <v>142</v>
      </c>
      <c r="E739" t="s">
        <v>2305</v>
      </c>
      <c r="F739">
        <v>0</v>
      </c>
      <c r="G739">
        <v>737</v>
      </c>
      <c r="H739">
        <f>IF(Table1[[#This Row],[my_ent_1]]=Table1[[#This Row],[their_ent_1]], 1, 0)</f>
        <v>1</v>
      </c>
      <c r="I739">
        <f>IF(Table1[[#This Row],[my_ent_2]]=Table1[[#This Row],[their_ent_2]], 1, 0)</f>
        <v>0</v>
      </c>
      <c r="J739">
        <f>IF(Table1[[#This Row],[same_1]]=1 &amp; Table1[[#This Row],[same_2]]=1, 1, 0)</f>
        <v>0</v>
      </c>
      <c r="K739">
        <f>IF(ISNUMBER(SEARCH(Table1[[#This Row],[their_ent_1]],Table1[[#This Row],[my_ent_1]])), 1, 0)</f>
        <v>1</v>
      </c>
      <c r="L739">
        <f>IF(ISNUMBER(SEARCH(Table1[[#This Row],[their_ent_2]],Table1[[#This Row],[my_ent_2]])), 1, 0)</f>
        <v>0</v>
      </c>
    </row>
    <row r="740" spans="1:12" hidden="1" x14ac:dyDescent="0.3">
      <c r="A740" t="s">
        <v>2306</v>
      </c>
      <c r="B740" t="s">
        <v>1532</v>
      </c>
      <c r="C740" t="s">
        <v>2307</v>
      </c>
      <c r="D740" t="s">
        <v>2307</v>
      </c>
      <c r="E740" t="s">
        <v>196</v>
      </c>
      <c r="F740">
        <v>0</v>
      </c>
      <c r="G740">
        <v>738</v>
      </c>
      <c r="H740">
        <f>IF(Table1[[#This Row],[my_ent_1]]=Table1[[#This Row],[their_ent_1]], 1, 0)</f>
        <v>0</v>
      </c>
      <c r="I740">
        <f>IF(Table1[[#This Row],[my_ent_2]]=Table1[[#This Row],[their_ent_2]], 1, 0)</f>
        <v>0</v>
      </c>
      <c r="J740">
        <f>IF(Table1[[#This Row],[same_1]]=1 &amp; Table1[[#This Row],[same_2]]=1, 1, 0)</f>
        <v>0</v>
      </c>
      <c r="K740">
        <f>IF(ISNUMBER(SEARCH(Table1[[#This Row],[their_ent_1]],Table1[[#This Row],[my_ent_1]])), 1, 0)</f>
        <v>0</v>
      </c>
      <c r="L740">
        <f>IF(ISNUMBER(SEARCH(Table1[[#This Row],[their_ent_2]],Table1[[#This Row],[my_ent_2]])), 1, 0)</f>
        <v>0</v>
      </c>
    </row>
    <row r="741" spans="1:12" hidden="1" x14ac:dyDescent="0.3">
      <c r="A741" t="s">
        <v>2308</v>
      </c>
      <c r="B741" t="s">
        <v>2309</v>
      </c>
      <c r="C741" t="s">
        <v>2310</v>
      </c>
      <c r="D741" t="s">
        <v>2311</v>
      </c>
      <c r="E741" t="s">
        <v>2309</v>
      </c>
      <c r="F741">
        <v>0</v>
      </c>
      <c r="G741">
        <v>739</v>
      </c>
      <c r="H741">
        <f>IF(Table1[[#This Row],[my_ent_1]]=Table1[[#This Row],[their_ent_1]], 1, 0)</f>
        <v>0</v>
      </c>
      <c r="I741">
        <f>IF(Table1[[#This Row],[my_ent_2]]=Table1[[#This Row],[their_ent_2]], 1, 0)</f>
        <v>0</v>
      </c>
      <c r="J741">
        <f>IF(Table1[[#This Row],[same_1]]=1 &amp; Table1[[#This Row],[same_2]]=1, 1, 0)</f>
        <v>0</v>
      </c>
      <c r="K741">
        <f>IF(ISNUMBER(SEARCH(Table1[[#This Row],[their_ent_1]],Table1[[#This Row],[my_ent_1]])), 1, 0)</f>
        <v>0</v>
      </c>
      <c r="L741">
        <f>IF(ISNUMBER(SEARCH(Table1[[#This Row],[their_ent_2]],Table1[[#This Row],[my_ent_2]])), 1, 0)</f>
        <v>0</v>
      </c>
    </row>
    <row r="742" spans="1:12" hidden="1" x14ac:dyDescent="0.3">
      <c r="A742" t="s">
        <v>2312</v>
      </c>
      <c r="B742" t="s">
        <v>2313</v>
      </c>
      <c r="C742" t="s">
        <v>2313</v>
      </c>
      <c r="D742" t="s">
        <v>352</v>
      </c>
      <c r="E742" t="s">
        <v>2079</v>
      </c>
      <c r="F742">
        <v>0</v>
      </c>
      <c r="G742">
        <v>740</v>
      </c>
      <c r="H742">
        <f>IF(Table1[[#This Row],[my_ent_1]]=Table1[[#This Row],[their_ent_1]], 1, 0)</f>
        <v>1</v>
      </c>
      <c r="I742">
        <f>IF(Table1[[#This Row],[my_ent_2]]=Table1[[#This Row],[their_ent_2]], 1, 0)</f>
        <v>0</v>
      </c>
      <c r="J742">
        <f>IF(Table1[[#This Row],[same_1]]=1 &amp; Table1[[#This Row],[same_2]]=1, 1, 0)</f>
        <v>0</v>
      </c>
      <c r="K742">
        <f>IF(ISNUMBER(SEARCH(Table1[[#This Row],[their_ent_1]],Table1[[#This Row],[my_ent_1]])), 1, 0)</f>
        <v>1</v>
      </c>
      <c r="L742">
        <f>IF(ISNUMBER(SEARCH(Table1[[#This Row],[their_ent_2]],Table1[[#This Row],[my_ent_2]])), 1, 0)</f>
        <v>0</v>
      </c>
    </row>
    <row r="743" spans="1:12" hidden="1" x14ac:dyDescent="0.3">
      <c r="A743" t="s">
        <v>2314</v>
      </c>
      <c r="B743" t="s">
        <v>2315</v>
      </c>
      <c r="C743" t="s">
        <v>80</v>
      </c>
      <c r="D743" t="s">
        <v>54</v>
      </c>
      <c r="E743" t="s">
        <v>2315</v>
      </c>
      <c r="F743">
        <v>0</v>
      </c>
      <c r="G743">
        <v>741</v>
      </c>
      <c r="H743">
        <f>IF(Table1[[#This Row],[my_ent_1]]=Table1[[#This Row],[their_ent_1]], 1, 0)</f>
        <v>0</v>
      </c>
      <c r="I743">
        <f>IF(Table1[[#This Row],[my_ent_2]]=Table1[[#This Row],[their_ent_2]], 1, 0)</f>
        <v>0</v>
      </c>
      <c r="J743">
        <f>IF(Table1[[#This Row],[same_1]]=1 &amp; Table1[[#This Row],[same_2]]=1, 1, 0)</f>
        <v>0</v>
      </c>
      <c r="K743">
        <f>IF(ISNUMBER(SEARCH(Table1[[#This Row],[their_ent_1]],Table1[[#This Row],[my_ent_1]])), 1, 0)</f>
        <v>0</v>
      </c>
      <c r="L743">
        <f>IF(ISNUMBER(SEARCH(Table1[[#This Row],[their_ent_2]],Table1[[#This Row],[my_ent_2]])), 1, 0)</f>
        <v>0</v>
      </c>
    </row>
    <row r="744" spans="1:12" hidden="1" x14ac:dyDescent="0.3">
      <c r="A744" t="s">
        <v>2316</v>
      </c>
      <c r="B744" t="s">
        <v>7</v>
      </c>
      <c r="C744" t="s">
        <v>2317</v>
      </c>
      <c r="D744" t="s">
        <v>2318</v>
      </c>
      <c r="E744" t="s">
        <v>2319</v>
      </c>
      <c r="F744">
        <v>0</v>
      </c>
      <c r="G744">
        <v>742</v>
      </c>
      <c r="H744">
        <f>IF(Table1[[#This Row],[my_ent_1]]=Table1[[#This Row],[their_ent_1]], 1, 0)</f>
        <v>0</v>
      </c>
      <c r="I744">
        <f>IF(Table1[[#This Row],[my_ent_2]]=Table1[[#This Row],[their_ent_2]], 1, 0)</f>
        <v>0</v>
      </c>
      <c r="J744">
        <f>IF(Table1[[#This Row],[same_1]]=1 &amp; Table1[[#This Row],[same_2]]=1, 1, 0)</f>
        <v>0</v>
      </c>
      <c r="K744">
        <f>IF(ISNUMBER(SEARCH(Table1[[#This Row],[their_ent_1]],Table1[[#This Row],[my_ent_1]])), 1, 0)</f>
        <v>0</v>
      </c>
      <c r="L744">
        <f>IF(ISNUMBER(SEARCH(Table1[[#This Row],[their_ent_2]],Table1[[#This Row],[my_ent_2]])), 1, 0)</f>
        <v>0</v>
      </c>
    </row>
    <row r="745" spans="1:12" x14ac:dyDescent="0.3">
      <c r="A745" t="s">
        <v>2320</v>
      </c>
      <c r="B745" t="s">
        <v>2080</v>
      </c>
      <c r="C745" t="s">
        <v>2081</v>
      </c>
      <c r="D745" t="s">
        <v>2321</v>
      </c>
      <c r="E745" t="s">
        <v>2321</v>
      </c>
      <c r="F745">
        <v>0</v>
      </c>
      <c r="G745">
        <v>743</v>
      </c>
      <c r="H745">
        <f>IF(Table1[[#This Row],[my_ent_1]]=Table1[[#This Row],[their_ent_1]], 1, 0)</f>
        <v>0</v>
      </c>
      <c r="I745">
        <f>IF(Table1[[#This Row],[my_ent_2]]=Table1[[#This Row],[their_ent_2]], 1, 0)</f>
        <v>1</v>
      </c>
      <c r="J745">
        <f>IF(Table1[[#This Row],[same_1]]=1 &amp; Table1[[#This Row],[same_2]]=1, 1, 0)</f>
        <v>0</v>
      </c>
      <c r="K745">
        <f>IF(ISNUMBER(SEARCH(Table1[[#This Row],[their_ent_1]],Table1[[#This Row],[my_ent_1]])), 1, 0)</f>
        <v>1</v>
      </c>
      <c r="L745">
        <f>IF(ISNUMBER(SEARCH(Table1[[#This Row],[their_ent_2]],Table1[[#This Row],[my_ent_2]])), 1, 0)</f>
        <v>1</v>
      </c>
    </row>
    <row r="746" spans="1:12" hidden="1" x14ac:dyDescent="0.3">
      <c r="A746" t="s">
        <v>2322</v>
      </c>
      <c r="B746" t="s">
        <v>2323</v>
      </c>
      <c r="C746" t="s">
        <v>2323</v>
      </c>
      <c r="D746" t="s">
        <v>2324</v>
      </c>
      <c r="E746" t="s">
        <v>2325</v>
      </c>
      <c r="F746">
        <v>0</v>
      </c>
      <c r="G746">
        <v>744</v>
      </c>
      <c r="H746">
        <f>IF(Table1[[#This Row],[my_ent_1]]=Table1[[#This Row],[their_ent_1]], 1, 0)</f>
        <v>1</v>
      </c>
      <c r="I746">
        <f>IF(Table1[[#This Row],[my_ent_2]]=Table1[[#This Row],[their_ent_2]], 1, 0)</f>
        <v>0</v>
      </c>
      <c r="J746">
        <f>IF(Table1[[#This Row],[same_1]]=1 &amp; Table1[[#This Row],[same_2]]=1, 1, 0)</f>
        <v>0</v>
      </c>
      <c r="K746">
        <f>IF(ISNUMBER(SEARCH(Table1[[#This Row],[their_ent_1]],Table1[[#This Row],[my_ent_1]])), 1, 0)</f>
        <v>1</v>
      </c>
      <c r="L746">
        <f>IF(ISNUMBER(SEARCH(Table1[[#This Row],[their_ent_2]],Table1[[#This Row],[my_ent_2]])), 1, 0)</f>
        <v>0</v>
      </c>
    </row>
    <row r="747" spans="1:12" hidden="1" x14ac:dyDescent="0.3">
      <c r="A747" t="s">
        <v>2326</v>
      </c>
      <c r="B747" t="s">
        <v>2327</v>
      </c>
      <c r="C747" t="s">
        <v>50</v>
      </c>
      <c r="D747" t="s">
        <v>2328</v>
      </c>
      <c r="E747" t="s">
        <v>2327</v>
      </c>
      <c r="F747">
        <v>0</v>
      </c>
      <c r="G747">
        <v>745</v>
      </c>
      <c r="H747">
        <f>IF(Table1[[#This Row],[my_ent_1]]=Table1[[#This Row],[their_ent_1]], 1, 0)</f>
        <v>0</v>
      </c>
      <c r="I747">
        <f>IF(Table1[[#This Row],[my_ent_2]]=Table1[[#This Row],[their_ent_2]], 1, 0)</f>
        <v>0</v>
      </c>
      <c r="J747">
        <f>IF(Table1[[#This Row],[same_1]]=1 &amp; Table1[[#This Row],[same_2]]=1, 1, 0)</f>
        <v>0</v>
      </c>
      <c r="K747">
        <f>IF(ISNUMBER(SEARCH(Table1[[#This Row],[their_ent_1]],Table1[[#This Row],[my_ent_1]])), 1, 0)</f>
        <v>0</v>
      </c>
      <c r="L747">
        <f>IF(ISNUMBER(SEARCH(Table1[[#This Row],[their_ent_2]],Table1[[#This Row],[my_ent_2]])), 1, 0)</f>
        <v>0</v>
      </c>
    </row>
    <row r="748" spans="1:12" hidden="1" x14ac:dyDescent="0.3">
      <c r="A748" t="s">
        <v>2329</v>
      </c>
      <c r="B748" t="s">
        <v>2330</v>
      </c>
      <c r="C748" t="s">
        <v>2331</v>
      </c>
      <c r="D748" t="s">
        <v>2332</v>
      </c>
      <c r="E748" t="s">
        <v>2332</v>
      </c>
      <c r="F748">
        <v>0</v>
      </c>
      <c r="G748">
        <v>746</v>
      </c>
      <c r="H748">
        <f>IF(Table1[[#This Row],[my_ent_1]]=Table1[[#This Row],[their_ent_1]], 1, 0)</f>
        <v>0</v>
      </c>
      <c r="I748">
        <f>IF(Table1[[#This Row],[my_ent_2]]=Table1[[#This Row],[their_ent_2]], 1, 0)</f>
        <v>1</v>
      </c>
      <c r="J748">
        <f>IF(Table1[[#This Row],[same_1]]=1 &amp; Table1[[#This Row],[same_2]]=1, 1, 0)</f>
        <v>0</v>
      </c>
      <c r="K748">
        <f>IF(ISNUMBER(SEARCH(Table1[[#This Row],[their_ent_1]],Table1[[#This Row],[my_ent_1]])), 1, 0)</f>
        <v>0</v>
      </c>
      <c r="L748">
        <f>IF(ISNUMBER(SEARCH(Table1[[#This Row],[their_ent_2]],Table1[[#This Row],[my_ent_2]])), 1, 0)</f>
        <v>1</v>
      </c>
    </row>
    <row r="749" spans="1:12" hidden="1" x14ac:dyDescent="0.3">
      <c r="A749" t="s">
        <v>2333</v>
      </c>
      <c r="B749" t="s">
        <v>2334</v>
      </c>
      <c r="C749" t="s">
        <v>2334</v>
      </c>
      <c r="D749" t="s">
        <v>2335</v>
      </c>
      <c r="E749" t="s">
        <v>2336</v>
      </c>
      <c r="F749">
        <v>0</v>
      </c>
      <c r="G749">
        <v>747</v>
      </c>
      <c r="H749">
        <f>IF(Table1[[#This Row],[my_ent_1]]=Table1[[#This Row],[their_ent_1]], 1, 0)</f>
        <v>1</v>
      </c>
      <c r="I749">
        <f>IF(Table1[[#This Row],[my_ent_2]]=Table1[[#This Row],[their_ent_2]], 1, 0)</f>
        <v>0</v>
      </c>
      <c r="J749">
        <f>IF(Table1[[#This Row],[same_1]]=1 &amp; Table1[[#This Row],[same_2]]=1, 1, 0)</f>
        <v>0</v>
      </c>
      <c r="K749">
        <f>IF(ISNUMBER(SEARCH(Table1[[#This Row],[their_ent_1]],Table1[[#This Row],[my_ent_1]])), 1, 0)</f>
        <v>1</v>
      </c>
      <c r="L749">
        <f>IF(ISNUMBER(SEARCH(Table1[[#This Row],[their_ent_2]],Table1[[#This Row],[my_ent_2]])), 1, 0)</f>
        <v>0</v>
      </c>
    </row>
    <row r="750" spans="1:12" hidden="1" x14ac:dyDescent="0.3">
      <c r="A750" t="s">
        <v>2337</v>
      </c>
      <c r="B750" t="s">
        <v>401</v>
      </c>
      <c r="C750" t="s">
        <v>30</v>
      </c>
      <c r="D750" t="s">
        <v>7</v>
      </c>
      <c r="E750" t="s">
        <v>293</v>
      </c>
      <c r="F750">
        <v>0</v>
      </c>
      <c r="G750">
        <v>748</v>
      </c>
      <c r="H750">
        <f>IF(Table1[[#This Row],[my_ent_1]]=Table1[[#This Row],[their_ent_1]], 1, 0)</f>
        <v>0</v>
      </c>
      <c r="I750">
        <f>IF(Table1[[#This Row],[my_ent_2]]=Table1[[#This Row],[their_ent_2]], 1, 0)</f>
        <v>0</v>
      </c>
      <c r="J750">
        <f>IF(Table1[[#This Row],[same_1]]=1 &amp; Table1[[#This Row],[same_2]]=1, 1, 0)</f>
        <v>0</v>
      </c>
      <c r="K750">
        <f>IF(ISNUMBER(SEARCH(Table1[[#This Row],[their_ent_1]],Table1[[#This Row],[my_ent_1]])), 1, 0)</f>
        <v>1</v>
      </c>
      <c r="L750">
        <f>IF(ISNUMBER(SEARCH(Table1[[#This Row],[their_ent_2]],Table1[[#This Row],[my_ent_2]])), 1, 0)</f>
        <v>0</v>
      </c>
    </row>
    <row r="751" spans="1:12" hidden="1" x14ac:dyDescent="0.3">
      <c r="A751" t="s">
        <v>2338</v>
      </c>
      <c r="B751" t="s">
        <v>2339</v>
      </c>
      <c r="C751" t="s">
        <v>2339</v>
      </c>
      <c r="D751" t="s">
        <v>1115</v>
      </c>
      <c r="E751" t="s">
        <v>695</v>
      </c>
      <c r="F751">
        <v>0</v>
      </c>
      <c r="G751">
        <v>749</v>
      </c>
      <c r="H751">
        <f>IF(Table1[[#This Row],[my_ent_1]]=Table1[[#This Row],[their_ent_1]], 1, 0)</f>
        <v>1</v>
      </c>
      <c r="I751">
        <f>IF(Table1[[#This Row],[my_ent_2]]=Table1[[#This Row],[their_ent_2]], 1, 0)</f>
        <v>0</v>
      </c>
      <c r="J751">
        <f>IF(Table1[[#This Row],[same_1]]=1 &amp; Table1[[#This Row],[same_2]]=1, 1, 0)</f>
        <v>0</v>
      </c>
      <c r="K751">
        <f>IF(ISNUMBER(SEARCH(Table1[[#This Row],[their_ent_1]],Table1[[#This Row],[my_ent_1]])), 1, 0)</f>
        <v>1</v>
      </c>
      <c r="L751">
        <f>IF(ISNUMBER(SEARCH(Table1[[#This Row],[their_ent_2]],Table1[[#This Row],[my_ent_2]])), 1, 0)</f>
        <v>0</v>
      </c>
    </row>
    <row r="752" spans="1:12" hidden="1" x14ac:dyDescent="0.3">
      <c r="A752" t="s">
        <v>2340</v>
      </c>
      <c r="B752" t="s">
        <v>7</v>
      </c>
      <c r="C752" t="s">
        <v>30</v>
      </c>
      <c r="D752" t="s">
        <v>652</v>
      </c>
      <c r="E752" t="s">
        <v>652</v>
      </c>
      <c r="F752">
        <v>0</v>
      </c>
      <c r="G752">
        <v>750</v>
      </c>
      <c r="H752">
        <f>IF(Table1[[#This Row],[my_ent_1]]=Table1[[#This Row],[their_ent_1]], 1, 0)</f>
        <v>0</v>
      </c>
      <c r="I752">
        <f>IF(Table1[[#This Row],[my_ent_2]]=Table1[[#This Row],[their_ent_2]], 1, 0)</f>
        <v>1</v>
      </c>
      <c r="J752">
        <f>IF(Table1[[#This Row],[same_1]]=1 &amp; Table1[[#This Row],[same_2]]=1, 1, 0)</f>
        <v>0</v>
      </c>
      <c r="K752">
        <f>IF(ISNUMBER(SEARCH(Table1[[#This Row],[their_ent_1]],Table1[[#This Row],[my_ent_1]])), 1, 0)</f>
        <v>0</v>
      </c>
      <c r="L752">
        <f>IF(ISNUMBER(SEARCH(Table1[[#This Row],[their_ent_2]],Table1[[#This Row],[my_ent_2]])), 1, 0)</f>
        <v>1</v>
      </c>
    </row>
    <row r="753" spans="1:12" hidden="1" x14ac:dyDescent="0.3">
      <c r="A753" t="s">
        <v>2341</v>
      </c>
      <c r="B753" t="s">
        <v>2342</v>
      </c>
      <c r="C753" t="s">
        <v>2343</v>
      </c>
      <c r="D753" t="s">
        <v>2344</v>
      </c>
      <c r="E753" t="s">
        <v>2345</v>
      </c>
      <c r="F753">
        <v>0</v>
      </c>
      <c r="G753">
        <v>751</v>
      </c>
      <c r="H753">
        <f>IF(Table1[[#This Row],[my_ent_1]]=Table1[[#This Row],[their_ent_1]], 1, 0)</f>
        <v>0</v>
      </c>
      <c r="I753">
        <f>IF(Table1[[#This Row],[my_ent_2]]=Table1[[#This Row],[their_ent_2]], 1, 0)</f>
        <v>0</v>
      </c>
      <c r="J753">
        <f>IF(Table1[[#This Row],[same_1]]=1 &amp; Table1[[#This Row],[same_2]]=1, 1, 0)</f>
        <v>0</v>
      </c>
      <c r="K753">
        <f>IF(ISNUMBER(SEARCH(Table1[[#This Row],[their_ent_1]],Table1[[#This Row],[my_ent_1]])), 1, 0)</f>
        <v>0</v>
      </c>
      <c r="L753">
        <f>IF(ISNUMBER(SEARCH(Table1[[#This Row],[their_ent_2]],Table1[[#This Row],[my_ent_2]])), 1, 0)</f>
        <v>0</v>
      </c>
    </row>
    <row r="754" spans="1:12" hidden="1" x14ac:dyDescent="0.3">
      <c r="A754" t="s">
        <v>2346</v>
      </c>
      <c r="B754" t="s">
        <v>686</v>
      </c>
      <c r="C754" t="s">
        <v>686</v>
      </c>
      <c r="D754" t="s">
        <v>54</v>
      </c>
      <c r="E754" t="s">
        <v>2347</v>
      </c>
      <c r="F754">
        <v>0</v>
      </c>
      <c r="G754">
        <v>752</v>
      </c>
      <c r="H754">
        <f>IF(Table1[[#This Row],[my_ent_1]]=Table1[[#This Row],[their_ent_1]], 1, 0)</f>
        <v>1</v>
      </c>
      <c r="I754">
        <f>IF(Table1[[#This Row],[my_ent_2]]=Table1[[#This Row],[their_ent_2]], 1, 0)</f>
        <v>0</v>
      </c>
      <c r="J754">
        <f>IF(Table1[[#This Row],[same_1]]=1 &amp; Table1[[#This Row],[same_2]]=1, 1, 0)</f>
        <v>0</v>
      </c>
      <c r="K754">
        <f>IF(ISNUMBER(SEARCH(Table1[[#This Row],[their_ent_1]],Table1[[#This Row],[my_ent_1]])), 1, 0)</f>
        <v>1</v>
      </c>
      <c r="L754">
        <f>IF(ISNUMBER(SEARCH(Table1[[#This Row],[their_ent_2]],Table1[[#This Row],[my_ent_2]])), 1, 0)</f>
        <v>0</v>
      </c>
    </row>
    <row r="755" spans="1:12" hidden="1" x14ac:dyDescent="0.3">
      <c r="A755" t="s">
        <v>2348</v>
      </c>
      <c r="B755" t="s">
        <v>2349</v>
      </c>
      <c r="C755" t="s">
        <v>2350</v>
      </c>
      <c r="D755" t="s">
        <v>2350</v>
      </c>
      <c r="E755" t="s">
        <v>2351</v>
      </c>
      <c r="F755">
        <v>0</v>
      </c>
      <c r="G755">
        <v>753</v>
      </c>
      <c r="H755">
        <f>IF(Table1[[#This Row],[my_ent_1]]=Table1[[#This Row],[their_ent_1]], 1, 0)</f>
        <v>0</v>
      </c>
      <c r="I755">
        <f>IF(Table1[[#This Row],[my_ent_2]]=Table1[[#This Row],[their_ent_2]], 1, 0)</f>
        <v>0</v>
      </c>
      <c r="J755">
        <f>IF(Table1[[#This Row],[same_1]]=1 &amp; Table1[[#This Row],[same_2]]=1, 1, 0)</f>
        <v>0</v>
      </c>
      <c r="K755">
        <f>IF(ISNUMBER(SEARCH(Table1[[#This Row],[their_ent_1]],Table1[[#This Row],[my_ent_1]])), 1, 0)</f>
        <v>0</v>
      </c>
      <c r="L755">
        <f>IF(ISNUMBER(SEARCH(Table1[[#This Row],[their_ent_2]],Table1[[#This Row],[my_ent_2]])), 1, 0)</f>
        <v>0</v>
      </c>
    </row>
    <row r="756" spans="1:12" hidden="1" x14ac:dyDescent="0.3">
      <c r="A756" t="s">
        <v>2352</v>
      </c>
      <c r="B756" t="s">
        <v>2353</v>
      </c>
      <c r="C756" t="s">
        <v>2354</v>
      </c>
      <c r="D756" t="s">
        <v>1062</v>
      </c>
      <c r="E756" t="s">
        <v>1055</v>
      </c>
      <c r="F756">
        <v>0</v>
      </c>
      <c r="G756">
        <v>754</v>
      </c>
      <c r="H756">
        <f>IF(Table1[[#This Row],[my_ent_1]]=Table1[[#This Row],[their_ent_1]], 1, 0)</f>
        <v>0</v>
      </c>
      <c r="I756">
        <f>IF(Table1[[#This Row],[my_ent_2]]=Table1[[#This Row],[their_ent_2]], 1, 0)</f>
        <v>0</v>
      </c>
      <c r="J756">
        <f>IF(Table1[[#This Row],[same_1]]=1 &amp; Table1[[#This Row],[same_2]]=1, 1, 0)</f>
        <v>0</v>
      </c>
      <c r="K756">
        <f>IF(ISNUMBER(SEARCH(Table1[[#This Row],[their_ent_1]],Table1[[#This Row],[my_ent_1]])), 1, 0)</f>
        <v>0</v>
      </c>
      <c r="L756">
        <f>IF(ISNUMBER(SEARCH(Table1[[#This Row],[their_ent_2]],Table1[[#This Row],[my_ent_2]])), 1, 0)</f>
        <v>0</v>
      </c>
    </row>
    <row r="757" spans="1:12" hidden="1" x14ac:dyDescent="0.3">
      <c r="A757" t="s">
        <v>1126</v>
      </c>
      <c r="B757" t="s">
        <v>58</v>
      </c>
      <c r="C757" t="s">
        <v>1127</v>
      </c>
      <c r="D757" t="s">
        <v>1128</v>
      </c>
      <c r="E757" t="s">
        <v>1129</v>
      </c>
      <c r="F757">
        <v>0</v>
      </c>
      <c r="G757">
        <v>755</v>
      </c>
      <c r="H757">
        <f>IF(Table1[[#This Row],[my_ent_1]]=Table1[[#This Row],[their_ent_1]], 1, 0)</f>
        <v>0</v>
      </c>
      <c r="I757">
        <f>IF(Table1[[#This Row],[my_ent_2]]=Table1[[#This Row],[their_ent_2]], 1, 0)</f>
        <v>0</v>
      </c>
      <c r="J757">
        <f>IF(Table1[[#This Row],[same_1]]=1 &amp; Table1[[#This Row],[same_2]]=1, 1, 0)</f>
        <v>0</v>
      </c>
      <c r="K757">
        <f>IF(ISNUMBER(SEARCH(Table1[[#This Row],[their_ent_1]],Table1[[#This Row],[my_ent_1]])), 1, 0)</f>
        <v>0</v>
      </c>
      <c r="L757">
        <f>IF(ISNUMBER(SEARCH(Table1[[#This Row],[their_ent_2]],Table1[[#This Row],[my_ent_2]])), 1, 0)</f>
        <v>1</v>
      </c>
    </row>
    <row r="758" spans="1:12" hidden="1" x14ac:dyDescent="0.3">
      <c r="A758" t="s">
        <v>2355</v>
      </c>
      <c r="B758" t="s">
        <v>2356</v>
      </c>
      <c r="C758" t="s">
        <v>2357</v>
      </c>
      <c r="D758" t="s">
        <v>200</v>
      </c>
      <c r="E758" t="s">
        <v>2356</v>
      </c>
      <c r="F758">
        <v>0</v>
      </c>
      <c r="G758">
        <v>756</v>
      </c>
      <c r="H758">
        <f>IF(Table1[[#This Row],[my_ent_1]]=Table1[[#This Row],[their_ent_1]], 1, 0)</f>
        <v>0</v>
      </c>
      <c r="I758">
        <f>IF(Table1[[#This Row],[my_ent_2]]=Table1[[#This Row],[their_ent_2]], 1, 0)</f>
        <v>0</v>
      </c>
      <c r="J758">
        <f>IF(Table1[[#This Row],[same_1]]=1 &amp; Table1[[#This Row],[same_2]]=1, 1, 0)</f>
        <v>0</v>
      </c>
      <c r="K758">
        <f>IF(ISNUMBER(SEARCH(Table1[[#This Row],[their_ent_1]],Table1[[#This Row],[my_ent_1]])), 1, 0)</f>
        <v>0</v>
      </c>
      <c r="L758">
        <f>IF(ISNUMBER(SEARCH(Table1[[#This Row],[their_ent_2]],Table1[[#This Row],[my_ent_2]])), 1, 0)</f>
        <v>0</v>
      </c>
    </row>
    <row r="759" spans="1:12" hidden="1" x14ac:dyDescent="0.3">
      <c r="A759" t="s">
        <v>2358</v>
      </c>
      <c r="B759" t="s">
        <v>140</v>
      </c>
      <c r="C759" t="s">
        <v>200</v>
      </c>
      <c r="D759" t="s">
        <v>200</v>
      </c>
      <c r="E759" t="s">
        <v>2359</v>
      </c>
      <c r="F759">
        <v>0</v>
      </c>
      <c r="G759">
        <v>757</v>
      </c>
      <c r="H759">
        <f>IF(Table1[[#This Row],[my_ent_1]]=Table1[[#This Row],[their_ent_1]], 1, 0)</f>
        <v>0</v>
      </c>
      <c r="I759">
        <f>IF(Table1[[#This Row],[my_ent_2]]=Table1[[#This Row],[their_ent_2]], 1, 0)</f>
        <v>0</v>
      </c>
      <c r="J759">
        <f>IF(Table1[[#This Row],[same_1]]=1 &amp; Table1[[#This Row],[same_2]]=1, 1, 0)</f>
        <v>0</v>
      </c>
      <c r="K759">
        <f>IF(ISNUMBER(SEARCH(Table1[[#This Row],[their_ent_1]],Table1[[#This Row],[my_ent_1]])), 1, 0)</f>
        <v>0</v>
      </c>
      <c r="L759">
        <f>IF(ISNUMBER(SEARCH(Table1[[#This Row],[their_ent_2]],Table1[[#This Row],[my_ent_2]])), 1, 0)</f>
        <v>0</v>
      </c>
    </row>
    <row r="760" spans="1:12" hidden="1" x14ac:dyDescent="0.3">
      <c r="A760" t="s">
        <v>2360</v>
      </c>
      <c r="B760" t="s">
        <v>2361</v>
      </c>
      <c r="C760" t="s">
        <v>2362</v>
      </c>
      <c r="D760" t="s">
        <v>54</v>
      </c>
      <c r="E760" t="s">
        <v>80</v>
      </c>
      <c r="F760">
        <v>0</v>
      </c>
      <c r="G760">
        <v>758</v>
      </c>
      <c r="H760">
        <f>IF(Table1[[#This Row],[my_ent_1]]=Table1[[#This Row],[their_ent_1]], 1, 0)</f>
        <v>0</v>
      </c>
      <c r="I760">
        <f>IF(Table1[[#This Row],[my_ent_2]]=Table1[[#This Row],[their_ent_2]], 1, 0)</f>
        <v>0</v>
      </c>
      <c r="J760">
        <f>IF(Table1[[#This Row],[same_1]]=1 &amp; Table1[[#This Row],[same_2]]=1, 1, 0)</f>
        <v>0</v>
      </c>
      <c r="K760">
        <f>IF(ISNUMBER(SEARCH(Table1[[#This Row],[their_ent_1]],Table1[[#This Row],[my_ent_1]])), 1, 0)</f>
        <v>0</v>
      </c>
      <c r="L760">
        <f>IF(ISNUMBER(SEARCH(Table1[[#This Row],[their_ent_2]],Table1[[#This Row],[my_ent_2]])), 1, 0)</f>
        <v>0</v>
      </c>
    </row>
    <row r="761" spans="1:12" hidden="1" x14ac:dyDescent="0.3">
      <c r="A761" t="s">
        <v>2363</v>
      </c>
      <c r="B761" t="s">
        <v>2364</v>
      </c>
      <c r="C761" t="s">
        <v>2364</v>
      </c>
      <c r="D761" t="s">
        <v>2365</v>
      </c>
      <c r="E761" t="s">
        <v>933</v>
      </c>
      <c r="F761">
        <v>0</v>
      </c>
      <c r="G761">
        <v>759</v>
      </c>
      <c r="H761">
        <f>IF(Table1[[#This Row],[my_ent_1]]=Table1[[#This Row],[their_ent_1]], 1, 0)</f>
        <v>1</v>
      </c>
      <c r="I761">
        <f>IF(Table1[[#This Row],[my_ent_2]]=Table1[[#This Row],[their_ent_2]], 1, 0)</f>
        <v>0</v>
      </c>
      <c r="J761">
        <f>IF(Table1[[#This Row],[same_1]]=1 &amp; Table1[[#This Row],[same_2]]=1, 1, 0)</f>
        <v>0</v>
      </c>
      <c r="K761">
        <f>IF(ISNUMBER(SEARCH(Table1[[#This Row],[their_ent_1]],Table1[[#This Row],[my_ent_1]])), 1, 0)</f>
        <v>1</v>
      </c>
      <c r="L761">
        <f>IF(ISNUMBER(SEARCH(Table1[[#This Row],[their_ent_2]],Table1[[#This Row],[my_ent_2]])), 1, 0)</f>
        <v>0</v>
      </c>
    </row>
    <row r="762" spans="1:12" hidden="1" x14ac:dyDescent="0.3">
      <c r="A762" t="s">
        <v>2366</v>
      </c>
      <c r="B762" t="s">
        <v>196</v>
      </c>
      <c r="C762" t="s">
        <v>80</v>
      </c>
      <c r="D762" t="s">
        <v>7</v>
      </c>
      <c r="E762" t="s">
        <v>196</v>
      </c>
      <c r="F762">
        <v>0</v>
      </c>
      <c r="G762">
        <v>760</v>
      </c>
      <c r="H762">
        <f>IF(Table1[[#This Row],[my_ent_1]]=Table1[[#This Row],[their_ent_1]], 1, 0)</f>
        <v>0</v>
      </c>
      <c r="I762">
        <f>IF(Table1[[#This Row],[my_ent_2]]=Table1[[#This Row],[their_ent_2]], 1, 0)</f>
        <v>0</v>
      </c>
      <c r="J762">
        <f>IF(Table1[[#This Row],[same_1]]=1 &amp; Table1[[#This Row],[same_2]]=1, 1, 0)</f>
        <v>0</v>
      </c>
      <c r="K762">
        <f>IF(ISNUMBER(SEARCH(Table1[[#This Row],[their_ent_1]],Table1[[#This Row],[my_ent_1]])), 1, 0)</f>
        <v>0</v>
      </c>
      <c r="L762">
        <f>IF(ISNUMBER(SEARCH(Table1[[#This Row],[their_ent_2]],Table1[[#This Row],[my_ent_2]])), 1, 0)</f>
        <v>0</v>
      </c>
    </row>
    <row r="763" spans="1:12" hidden="1" x14ac:dyDescent="0.3">
      <c r="A763" t="s">
        <v>2367</v>
      </c>
      <c r="B763" t="s">
        <v>7</v>
      </c>
      <c r="C763" t="s">
        <v>2368</v>
      </c>
      <c r="D763" t="s">
        <v>2369</v>
      </c>
      <c r="E763" t="s">
        <v>823</v>
      </c>
      <c r="F763">
        <v>0</v>
      </c>
      <c r="G763">
        <v>761</v>
      </c>
      <c r="H763">
        <f>IF(Table1[[#This Row],[my_ent_1]]=Table1[[#This Row],[their_ent_1]], 1, 0)</f>
        <v>0</v>
      </c>
      <c r="I763">
        <f>IF(Table1[[#This Row],[my_ent_2]]=Table1[[#This Row],[their_ent_2]], 1, 0)</f>
        <v>0</v>
      </c>
      <c r="J763">
        <f>IF(Table1[[#This Row],[same_1]]=1 &amp; Table1[[#This Row],[same_2]]=1, 1, 0)</f>
        <v>0</v>
      </c>
      <c r="K763">
        <f>IF(ISNUMBER(SEARCH(Table1[[#This Row],[their_ent_1]],Table1[[#This Row],[my_ent_1]])), 1, 0)</f>
        <v>0</v>
      </c>
      <c r="L763">
        <f>IF(ISNUMBER(SEARCH(Table1[[#This Row],[their_ent_2]],Table1[[#This Row],[my_ent_2]])), 1, 0)</f>
        <v>0</v>
      </c>
    </row>
    <row r="764" spans="1:12" hidden="1" x14ac:dyDescent="0.3">
      <c r="A764" t="s">
        <v>2370</v>
      </c>
      <c r="B764" t="s">
        <v>2371</v>
      </c>
      <c r="C764" t="s">
        <v>2372</v>
      </c>
      <c r="D764" t="s">
        <v>1305</v>
      </c>
      <c r="E764" t="s">
        <v>1305</v>
      </c>
      <c r="F764">
        <v>0</v>
      </c>
      <c r="G764">
        <v>762</v>
      </c>
      <c r="H764">
        <f>IF(Table1[[#This Row],[my_ent_1]]=Table1[[#This Row],[their_ent_1]], 1, 0)</f>
        <v>0</v>
      </c>
      <c r="I764">
        <f>IF(Table1[[#This Row],[my_ent_2]]=Table1[[#This Row],[their_ent_2]], 1, 0)</f>
        <v>1</v>
      </c>
      <c r="J764">
        <f>IF(Table1[[#This Row],[same_1]]=1 &amp; Table1[[#This Row],[same_2]]=1, 1, 0)</f>
        <v>0</v>
      </c>
      <c r="K764">
        <f>IF(ISNUMBER(SEARCH(Table1[[#This Row],[their_ent_1]],Table1[[#This Row],[my_ent_1]])), 1, 0)</f>
        <v>0</v>
      </c>
      <c r="L764">
        <f>IF(ISNUMBER(SEARCH(Table1[[#This Row],[their_ent_2]],Table1[[#This Row],[my_ent_2]])), 1, 0)</f>
        <v>1</v>
      </c>
    </row>
    <row r="765" spans="1:12" hidden="1" x14ac:dyDescent="0.3">
      <c r="A765" t="s">
        <v>2373</v>
      </c>
      <c r="B765" t="s">
        <v>241</v>
      </c>
      <c r="C765" t="s">
        <v>2374</v>
      </c>
      <c r="D765" t="s">
        <v>2375</v>
      </c>
      <c r="E765" t="s">
        <v>2376</v>
      </c>
      <c r="F765">
        <v>0</v>
      </c>
      <c r="G765">
        <v>763</v>
      </c>
      <c r="H765">
        <f>IF(Table1[[#This Row],[my_ent_1]]=Table1[[#This Row],[their_ent_1]], 1, 0)</f>
        <v>0</v>
      </c>
      <c r="I765">
        <f>IF(Table1[[#This Row],[my_ent_2]]=Table1[[#This Row],[their_ent_2]], 1, 0)</f>
        <v>0</v>
      </c>
      <c r="J765">
        <f>IF(Table1[[#This Row],[same_1]]=1 &amp; Table1[[#This Row],[same_2]]=1, 1, 0)</f>
        <v>0</v>
      </c>
      <c r="K765">
        <f>IF(ISNUMBER(SEARCH(Table1[[#This Row],[their_ent_1]],Table1[[#This Row],[my_ent_1]])), 1, 0)</f>
        <v>0</v>
      </c>
      <c r="L765">
        <f>IF(ISNUMBER(SEARCH(Table1[[#This Row],[their_ent_2]],Table1[[#This Row],[my_ent_2]])), 1, 0)</f>
        <v>0</v>
      </c>
    </row>
    <row r="766" spans="1:12" hidden="1" x14ac:dyDescent="0.3">
      <c r="A766" t="s">
        <v>2377</v>
      </c>
      <c r="B766" t="s">
        <v>1961</v>
      </c>
      <c r="C766" t="s">
        <v>2378</v>
      </c>
      <c r="D766" t="s">
        <v>2379</v>
      </c>
      <c r="E766" t="s">
        <v>2380</v>
      </c>
      <c r="F766">
        <v>0</v>
      </c>
      <c r="G766">
        <v>764</v>
      </c>
      <c r="H766">
        <f>IF(Table1[[#This Row],[my_ent_1]]=Table1[[#This Row],[their_ent_1]], 1, 0)</f>
        <v>0</v>
      </c>
      <c r="I766">
        <f>IF(Table1[[#This Row],[my_ent_2]]=Table1[[#This Row],[their_ent_2]], 1, 0)</f>
        <v>0</v>
      </c>
      <c r="J766">
        <f>IF(Table1[[#This Row],[same_1]]=1 &amp; Table1[[#This Row],[same_2]]=1, 1, 0)</f>
        <v>0</v>
      </c>
      <c r="K766">
        <f>IF(ISNUMBER(SEARCH(Table1[[#This Row],[their_ent_1]],Table1[[#This Row],[my_ent_1]])), 1, 0)</f>
        <v>0</v>
      </c>
      <c r="L766">
        <f>IF(ISNUMBER(SEARCH(Table1[[#This Row],[their_ent_2]],Table1[[#This Row],[my_ent_2]])), 1, 0)</f>
        <v>0</v>
      </c>
    </row>
    <row r="767" spans="1:12" hidden="1" x14ac:dyDescent="0.3">
      <c r="A767" t="s">
        <v>2381</v>
      </c>
      <c r="B767" t="s">
        <v>2382</v>
      </c>
      <c r="C767" t="s">
        <v>2382</v>
      </c>
      <c r="D767" t="s">
        <v>263</v>
      </c>
      <c r="E767" t="s">
        <v>199</v>
      </c>
      <c r="F767">
        <v>0</v>
      </c>
      <c r="G767">
        <v>765</v>
      </c>
      <c r="H767">
        <f>IF(Table1[[#This Row],[my_ent_1]]=Table1[[#This Row],[their_ent_1]], 1, 0)</f>
        <v>1</v>
      </c>
      <c r="I767">
        <f>IF(Table1[[#This Row],[my_ent_2]]=Table1[[#This Row],[their_ent_2]], 1, 0)</f>
        <v>0</v>
      </c>
      <c r="J767">
        <f>IF(Table1[[#This Row],[same_1]]=1 &amp; Table1[[#This Row],[same_2]]=1, 1, 0)</f>
        <v>0</v>
      </c>
      <c r="K767">
        <f>IF(ISNUMBER(SEARCH(Table1[[#This Row],[their_ent_1]],Table1[[#This Row],[my_ent_1]])), 1, 0)</f>
        <v>1</v>
      </c>
      <c r="L767">
        <f>IF(ISNUMBER(SEARCH(Table1[[#This Row],[their_ent_2]],Table1[[#This Row],[my_ent_2]])), 1, 0)</f>
        <v>0</v>
      </c>
    </row>
    <row r="768" spans="1:12" hidden="1" x14ac:dyDescent="0.3">
      <c r="A768" t="s">
        <v>2383</v>
      </c>
      <c r="B768" t="s">
        <v>2384</v>
      </c>
      <c r="C768" t="s">
        <v>2384</v>
      </c>
      <c r="D768" t="s">
        <v>2385</v>
      </c>
      <c r="E768" t="s">
        <v>1911</v>
      </c>
      <c r="F768">
        <v>0</v>
      </c>
      <c r="G768">
        <v>766</v>
      </c>
      <c r="H768">
        <f>IF(Table1[[#This Row],[my_ent_1]]=Table1[[#This Row],[their_ent_1]], 1, 0)</f>
        <v>1</v>
      </c>
      <c r="I768">
        <f>IF(Table1[[#This Row],[my_ent_2]]=Table1[[#This Row],[their_ent_2]], 1, 0)</f>
        <v>0</v>
      </c>
      <c r="J768">
        <f>IF(Table1[[#This Row],[same_1]]=1 &amp; Table1[[#This Row],[same_2]]=1, 1, 0)</f>
        <v>0</v>
      </c>
      <c r="K768">
        <f>IF(ISNUMBER(SEARCH(Table1[[#This Row],[their_ent_1]],Table1[[#This Row],[my_ent_1]])), 1, 0)</f>
        <v>1</v>
      </c>
      <c r="L768">
        <f>IF(ISNUMBER(SEARCH(Table1[[#This Row],[their_ent_2]],Table1[[#This Row],[my_ent_2]])), 1, 0)</f>
        <v>0</v>
      </c>
    </row>
    <row r="769" spans="1:12" x14ac:dyDescent="0.3">
      <c r="A769" t="s">
        <v>2386</v>
      </c>
      <c r="B769" t="s">
        <v>2387</v>
      </c>
      <c r="C769" t="s">
        <v>2387</v>
      </c>
      <c r="D769" t="s">
        <v>518</v>
      </c>
      <c r="E769" t="s">
        <v>382</v>
      </c>
      <c r="F769">
        <v>0</v>
      </c>
      <c r="G769">
        <v>767</v>
      </c>
      <c r="H769">
        <f>IF(Table1[[#This Row],[my_ent_1]]=Table1[[#This Row],[their_ent_1]], 1, 0)</f>
        <v>1</v>
      </c>
      <c r="I769">
        <f>IF(Table1[[#This Row],[my_ent_2]]=Table1[[#This Row],[their_ent_2]], 1, 0)</f>
        <v>0</v>
      </c>
      <c r="J769">
        <f>IF(Table1[[#This Row],[same_1]]=1 &amp; Table1[[#This Row],[same_2]]=1, 1, 0)</f>
        <v>0</v>
      </c>
      <c r="K769">
        <f>IF(ISNUMBER(SEARCH(Table1[[#This Row],[their_ent_1]],Table1[[#This Row],[my_ent_1]])), 1, 0)</f>
        <v>1</v>
      </c>
      <c r="L769">
        <f>IF(ISNUMBER(SEARCH(Table1[[#This Row],[their_ent_2]],Table1[[#This Row],[my_ent_2]])), 1, 0)</f>
        <v>1</v>
      </c>
    </row>
    <row r="770" spans="1:12" hidden="1" x14ac:dyDescent="0.3">
      <c r="A770" t="s">
        <v>14</v>
      </c>
      <c r="B770" t="s">
        <v>15</v>
      </c>
      <c r="C770" t="s">
        <v>16</v>
      </c>
      <c r="D770" t="s">
        <v>17</v>
      </c>
      <c r="E770" t="s">
        <v>17</v>
      </c>
      <c r="F770">
        <v>0</v>
      </c>
      <c r="G770">
        <v>768</v>
      </c>
      <c r="H770">
        <f>IF(Table1[[#This Row],[my_ent_1]]=Table1[[#This Row],[their_ent_1]], 1, 0)</f>
        <v>0</v>
      </c>
      <c r="I770">
        <f>IF(Table1[[#This Row],[my_ent_2]]=Table1[[#This Row],[their_ent_2]], 1, 0)</f>
        <v>1</v>
      </c>
      <c r="J770">
        <f>IF(Table1[[#This Row],[same_1]]=1 &amp; Table1[[#This Row],[same_2]]=1, 1, 0)</f>
        <v>0</v>
      </c>
      <c r="K770">
        <f>IF(ISNUMBER(SEARCH(Table1[[#This Row],[their_ent_1]],Table1[[#This Row],[my_ent_1]])), 1, 0)</f>
        <v>0</v>
      </c>
      <c r="L770">
        <f>IF(ISNUMBER(SEARCH(Table1[[#This Row],[their_ent_2]],Table1[[#This Row],[my_ent_2]])), 1, 0)</f>
        <v>1</v>
      </c>
    </row>
    <row r="771" spans="1:12" x14ac:dyDescent="0.3">
      <c r="A771" t="s">
        <v>2388</v>
      </c>
      <c r="B771" t="s">
        <v>2080</v>
      </c>
      <c r="C771" t="s">
        <v>2081</v>
      </c>
      <c r="D771" t="s">
        <v>2389</v>
      </c>
      <c r="E771" t="s">
        <v>2389</v>
      </c>
      <c r="F771">
        <v>0</v>
      </c>
      <c r="G771">
        <v>769</v>
      </c>
      <c r="H771">
        <f>IF(Table1[[#This Row],[my_ent_1]]=Table1[[#This Row],[their_ent_1]], 1, 0)</f>
        <v>0</v>
      </c>
      <c r="I771">
        <f>IF(Table1[[#This Row],[my_ent_2]]=Table1[[#This Row],[their_ent_2]], 1, 0)</f>
        <v>1</v>
      </c>
      <c r="J771">
        <f>IF(Table1[[#This Row],[same_1]]=1 &amp; Table1[[#This Row],[same_2]]=1, 1, 0)</f>
        <v>0</v>
      </c>
      <c r="K771">
        <f>IF(ISNUMBER(SEARCH(Table1[[#This Row],[their_ent_1]],Table1[[#This Row],[my_ent_1]])), 1, 0)</f>
        <v>1</v>
      </c>
      <c r="L771">
        <f>IF(ISNUMBER(SEARCH(Table1[[#This Row],[their_ent_2]],Table1[[#This Row],[my_ent_2]])), 1, 0)</f>
        <v>1</v>
      </c>
    </row>
    <row r="772" spans="1:12" hidden="1" x14ac:dyDescent="0.3">
      <c r="A772" t="s">
        <v>2390</v>
      </c>
      <c r="B772" t="s">
        <v>2391</v>
      </c>
      <c r="C772" t="s">
        <v>2392</v>
      </c>
      <c r="D772" t="s">
        <v>142</v>
      </c>
      <c r="E772" t="s">
        <v>2391</v>
      </c>
      <c r="F772">
        <v>0</v>
      </c>
      <c r="G772">
        <v>770</v>
      </c>
      <c r="H772">
        <f>IF(Table1[[#This Row],[my_ent_1]]=Table1[[#This Row],[their_ent_1]], 1, 0)</f>
        <v>0</v>
      </c>
      <c r="I772">
        <f>IF(Table1[[#This Row],[my_ent_2]]=Table1[[#This Row],[their_ent_2]], 1, 0)</f>
        <v>0</v>
      </c>
      <c r="J772">
        <f>IF(Table1[[#This Row],[same_1]]=1 &amp; Table1[[#This Row],[same_2]]=1, 1, 0)</f>
        <v>0</v>
      </c>
      <c r="K772">
        <f>IF(ISNUMBER(SEARCH(Table1[[#This Row],[their_ent_1]],Table1[[#This Row],[my_ent_1]])), 1, 0)</f>
        <v>0</v>
      </c>
      <c r="L772">
        <f>IF(ISNUMBER(SEARCH(Table1[[#This Row],[their_ent_2]],Table1[[#This Row],[my_ent_2]])), 1, 0)</f>
        <v>0</v>
      </c>
    </row>
    <row r="773" spans="1:12" hidden="1" x14ac:dyDescent="0.3">
      <c r="A773" t="s">
        <v>2393</v>
      </c>
      <c r="B773" t="s">
        <v>1518</v>
      </c>
      <c r="C773" t="s">
        <v>683</v>
      </c>
      <c r="D773" t="s">
        <v>972</v>
      </c>
      <c r="E773" t="s">
        <v>212</v>
      </c>
      <c r="F773">
        <v>0</v>
      </c>
      <c r="G773">
        <v>771</v>
      </c>
      <c r="H773">
        <f>IF(Table1[[#This Row],[my_ent_1]]=Table1[[#This Row],[their_ent_1]], 1, 0)</f>
        <v>0</v>
      </c>
      <c r="I773">
        <f>IF(Table1[[#This Row],[my_ent_2]]=Table1[[#This Row],[their_ent_2]], 1, 0)</f>
        <v>0</v>
      </c>
      <c r="J773">
        <f>IF(Table1[[#This Row],[same_1]]=1 &amp; Table1[[#This Row],[same_2]]=1, 1, 0)</f>
        <v>0</v>
      </c>
      <c r="K773">
        <f>IF(ISNUMBER(SEARCH(Table1[[#This Row],[their_ent_1]],Table1[[#This Row],[my_ent_1]])), 1, 0)</f>
        <v>0</v>
      </c>
      <c r="L773">
        <f>IF(ISNUMBER(SEARCH(Table1[[#This Row],[their_ent_2]],Table1[[#This Row],[my_ent_2]])), 1, 0)</f>
        <v>0</v>
      </c>
    </row>
    <row r="774" spans="1:12" hidden="1" x14ac:dyDescent="0.3">
      <c r="A774" t="s">
        <v>2394</v>
      </c>
      <c r="B774" t="s">
        <v>51</v>
      </c>
      <c r="C774" t="s">
        <v>1619</v>
      </c>
      <c r="D774" t="s">
        <v>2395</v>
      </c>
      <c r="E774" t="s">
        <v>2395</v>
      </c>
      <c r="F774">
        <v>0</v>
      </c>
      <c r="G774">
        <v>772</v>
      </c>
      <c r="H774">
        <f>IF(Table1[[#This Row],[my_ent_1]]=Table1[[#This Row],[their_ent_1]], 1, 0)</f>
        <v>0</v>
      </c>
      <c r="I774">
        <f>IF(Table1[[#This Row],[my_ent_2]]=Table1[[#This Row],[their_ent_2]], 1, 0)</f>
        <v>1</v>
      </c>
      <c r="J774">
        <f>IF(Table1[[#This Row],[same_1]]=1 &amp; Table1[[#This Row],[same_2]]=1, 1, 0)</f>
        <v>0</v>
      </c>
      <c r="K774">
        <f>IF(ISNUMBER(SEARCH(Table1[[#This Row],[their_ent_1]],Table1[[#This Row],[my_ent_1]])), 1, 0)</f>
        <v>0</v>
      </c>
      <c r="L774">
        <f>IF(ISNUMBER(SEARCH(Table1[[#This Row],[their_ent_2]],Table1[[#This Row],[my_ent_2]])), 1, 0)</f>
        <v>1</v>
      </c>
    </row>
    <row r="775" spans="1:12" hidden="1" x14ac:dyDescent="0.3">
      <c r="A775" t="s">
        <v>2396</v>
      </c>
      <c r="B775" t="s">
        <v>2397</v>
      </c>
      <c r="C775" t="s">
        <v>2397</v>
      </c>
      <c r="D775" t="s">
        <v>54</v>
      </c>
      <c r="E775" t="s">
        <v>2398</v>
      </c>
      <c r="F775">
        <v>0</v>
      </c>
      <c r="G775">
        <v>773</v>
      </c>
      <c r="H775">
        <f>IF(Table1[[#This Row],[my_ent_1]]=Table1[[#This Row],[their_ent_1]], 1, 0)</f>
        <v>1</v>
      </c>
      <c r="I775">
        <f>IF(Table1[[#This Row],[my_ent_2]]=Table1[[#This Row],[their_ent_2]], 1, 0)</f>
        <v>0</v>
      </c>
      <c r="J775">
        <f>IF(Table1[[#This Row],[same_1]]=1 &amp; Table1[[#This Row],[same_2]]=1, 1, 0)</f>
        <v>0</v>
      </c>
      <c r="K775">
        <f>IF(ISNUMBER(SEARCH(Table1[[#This Row],[their_ent_1]],Table1[[#This Row],[my_ent_1]])), 1, 0)</f>
        <v>1</v>
      </c>
      <c r="L775">
        <f>IF(ISNUMBER(SEARCH(Table1[[#This Row],[their_ent_2]],Table1[[#This Row],[my_ent_2]])), 1, 0)</f>
        <v>0</v>
      </c>
    </row>
    <row r="776" spans="1:12" x14ac:dyDescent="0.3">
      <c r="A776" t="s">
        <v>2399</v>
      </c>
      <c r="B776" t="s">
        <v>7</v>
      </c>
      <c r="C776" t="s">
        <v>7</v>
      </c>
      <c r="D776" t="s">
        <v>920</v>
      </c>
      <c r="E776" t="s">
        <v>1219</v>
      </c>
      <c r="F776">
        <v>0</v>
      </c>
      <c r="G776">
        <v>774</v>
      </c>
      <c r="H776">
        <f>IF(Table1[[#This Row],[my_ent_1]]=Table1[[#This Row],[their_ent_1]], 1, 0)</f>
        <v>1</v>
      </c>
      <c r="I776">
        <f>IF(Table1[[#This Row],[my_ent_2]]=Table1[[#This Row],[their_ent_2]], 1, 0)</f>
        <v>0</v>
      </c>
      <c r="J776">
        <f>IF(Table1[[#This Row],[same_1]]=1 &amp; Table1[[#This Row],[same_2]]=1, 1, 0)</f>
        <v>0</v>
      </c>
      <c r="K776">
        <f>IF(ISNUMBER(SEARCH(Table1[[#This Row],[their_ent_1]],Table1[[#This Row],[my_ent_1]])), 1, 0)</f>
        <v>1</v>
      </c>
      <c r="L776">
        <f>IF(ISNUMBER(SEARCH(Table1[[#This Row],[their_ent_2]],Table1[[#This Row],[my_ent_2]])), 1, 0)</f>
        <v>1</v>
      </c>
    </row>
    <row r="777" spans="1:12" hidden="1" x14ac:dyDescent="0.3">
      <c r="A777" t="s">
        <v>2400</v>
      </c>
      <c r="B777" t="s">
        <v>199</v>
      </c>
      <c r="C777" t="s">
        <v>199</v>
      </c>
      <c r="D777" t="s">
        <v>2401</v>
      </c>
      <c r="E777" t="s">
        <v>2402</v>
      </c>
      <c r="F777">
        <v>0</v>
      </c>
      <c r="G777">
        <v>775</v>
      </c>
      <c r="H777">
        <f>IF(Table1[[#This Row],[my_ent_1]]=Table1[[#This Row],[their_ent_1]], 1, 0)</f>
        <v>1</v>
      </c>
      <c r="I777">
        <f>IF(Table1[[#This Row],[my_ent_2]]=Table1[[#This Row],[their_ent_2]], 1, 0)</f>
        <v>0</v>
      </c>
      <c r="J777">
        <f>IF(Table1[[#This Row],[same_1]]=1 &amp; Table1[[#This Row],[same_2]]=1, 1, 0)</f>
        <v>0</v>
      </c>
      <c r="K777">
        <f>IF(ISNUMBER(SEARCH(Table1[[#This Row],[their_ent_1]],Table1[[#This Row],[my_ent_1]])), 1, 0)</f>
        <v>1</v>
      </c>
      <c r="L777">
        <f>IF(ISNUMBER(SEARCH(Table1[[#This Row],[their_ent_2]],Table1[[#This Row],[my_ent_2]])), 1, 0)</f>
        <v>0</v>
      </c>
    </row>
    <row r="778" spans="1:12" x14ac:dyDescent="0.3">
      <c r="A778" t="s">
        <v>2403</v>
      </c>
      <c r="B778" t="s">
        <v>2404</v>
      </c>
      <c r="C778" t="s">
        <v>2404</v>
      </c>
      <c r="D778" t="s">
        <v>2405</v>
      </c>
      <c r="E778" t="s">
        <v>2406</v>
      </c>
      <c r="F778">
        <v>0</v>
      </c>
      <c r="G778">
        <v>776</v>
      </c>
      <c r="H778">
        <f>IF(Table1[[#This Row],[my_ent_1]]=Table1[[#This Row],[their_ent_1]], 1, 0)</f>
        <v>1</v>
      </c>
      <c r="I778">
        <f>IF(Table1[[#This Row],[my_ent_2]]=Table1[[#This Row],[their_ent_2]], 1, 0)</f>
        <v>0</v>
      </c>
      <c r="J778">
        <f>IF(Table1[[#This Row],[same_1]]=1 &amp; Table1[[#This Row],[same_2]]=1, 1, 0)</f>
        <v>0</v>
      </c>
      <c r="K778">
        <f>IF(ISNUMBER(SEARCH(Table1[[#This Row],[their_ent_1]],Table1[[#This Row],[my_ent_1]])), 1, 0)</f>
        <v>1</v>
      </c>
      <c r="L778">
        <f>IF(ISNUMBER(SEARCH(Table1[[#This Row],[their_ent_2]],Table1[[#This Row],[my_ent_2]])), 1, 0)</f>
        <v>1</v>
      </c>
    </row>
    <row r="779" spans="1:12" hidden="1" x14ac:dyDescent="0.3">
      <c r="A779" t="s">
        <v>2407</v>
      </c>
      <c r="B779" t="s">
        <v>2408</v>
      </c>
      <c r="C779" t="s">
        <v>2408</v>
      </c>
      <c r="D779" t="s">
        <v>51</v>
      </c>
      <c r="E779" t="s">
        <v>2409</v>
      </c>
      <c r="F779">
        <v>0</v>
      </c>
      <c r="G779">
        <v>777</v>
      </c>
      <c r="H779">
        <f>IF(Table1[[#This Row],[my_ent_1]]=Table1[[#This Row],[their_ent_1]], 1, 0)</f>
        <v>1</v>
      </c>
      <c r="I779">
        <f>IF(Table1[[#This Row],[my_ent_2]]=Table1[[#This Row],[their_ent_2]], 1, 0)</f>
        <v>0</v>
      </c>
      <c r="J779">
        <f>IF(Table1[[#This Row],[same_1]]=1 &amp; Table1[[#This Row],[same_2]]=1, 1, 0)</f>
        <v>0</v>
      </c>
      <c r="K779">
        <f>IF(ISNUMBER(SEARCH(Table1[[#This Row],[their_ent_1]],Table1[[#This Row],[my_ent_1]])), 1, 0)</f>
        <v>1</v>
      </c>
      <c r="L779">
        <f>IF(ISNUMBER(SEARCH(Table1[[#This Row],[their_ent_2]],Table1[[#This Row],[my_ent_2]])), 1, 0)</f>
        <v>0</v>
      </c>
    </row>
    <row r="780" spans="1:12" hidden="1" x14ac:dyDescent="0.3">
      <c r="A780" t="s">
        <v>2410</v>
      </c>
      <c r="B780" t="s">
        <v>1557</v>
      </c>
      <c r="C780" t="s">
        <v>34</v>
      </c>
      <c r="D780" t="s">
        <v>241</v>
      </c>
      <c r="E780" t="s">
        <v>196</v>
      </c>
      <c r="F780">
        <v>0</v>
      </c>
      <c r="G780">
        <v>778</v>
      </c>
      <c r="H780">
        <f>IF(Table1[[#This Row],[my_ent_1]]=Table1[[#This Row],[their_ent_1]], 1, 0)</f>
        <v>0</v>
      </c>
      <c r="I780">
        <f>IF(Table1[[#This Row],[my_ent_2]]=Table1[[#This Row],[their_ent_2]], 1, 0)</f>
        <v>0</v>
      </c>
      <c r="J780">
        <f>IF(Table1[[#This Row],[same_1]]=1 &amp; Table1[[#This Row],[same_2]]=1, 1, 0)</f>
        <v>0</v>
      </c>
      <c r="K780">
        <f>IF(ISNUMBER(SEARCH(Table1[[#This Row],[their_ent_1]],Table1[[#This Row],[my_ent_1]])), 1, 0)</f>
        <v>0</v>
      </c>
      <c r="L780">
        <f>IF(ISNUMBER(SEARCH(Table1[[#This Row],[their_ent_2]],Table1[[#This Row],[my_ent_2]])), 1, 0)</f>
        <v>0</v>
      </c>
    </row>
    <row r="781" spans="1:12" hidden="1" x14ac:dyDescent="0.3">
      <c r="A781" t="s">
        <v>2411</v>
      </c>
      <c r="B781" t="s">
        <v>299</v>
      </c>
      <c r="C781" t="s">
        <v>299</v>
      </c>
      <c r="D781" t="s">
        <v>480</v>
      </c>
      <c r="E781" t="s">
        <v>2412</v>
      </c>
      <c r="F781">
        <v>0</v>
      </c>
      <c r="G781">
        <v>779</v>
      </c>
      <c r="H781">
        <f>IF(Table1[[#This Row],[my_ent_1]]=Table1[[#This Row],[their_ent_1]], 1, 0)</f>
        <v>1</v>
      </c>
      <c r="I781">
        <f>IF(Table1[[#This Row],[my_ent_2]]=Table1[[#This Row],[their_ent_2]], 1, 0)</f>
        <v>0</v>
      </c>
      <c r="J781">
        <f>IF(Table1[[#This Row],[same_1]]=1 &amp; Table1[[#This Row],[same_2]]=1, 1, 0)</f>
        <v>0</v>
      </c>
      <c r="K781">
        <f>IF(ISNUMBER(SEARCH(Table1[[#This Row],[their_ent_1]],Table1[[#This Row],[my_ent_1]])), 1, 0)</f>
        <v>1</v>
      </c>
      <c r="L781">
        <f>IF(ISNUMBER(SEARCH(Table1[[#This Row],[their_ent_2]],Table1[[#This Row],[my_ent_2]])), 1, 0)</f>
        <v>0</v>
      </c>
    </row>
    <row r="782" spans="1:12" x14ac:dyDescent="0.3">
      <c r="A782" t="s">
        <v>2413</v>
      </c>
      <c r="B782" t="s">
        <v>2414</v>
      </c>
      <c r="C782" t="s">
        <v>2415</v>
      </c>
      <c r="D782" t="s">
        <v>2416</v>
      </c>
      <c r="E782" t="s">
        <v>2416</v>
      </c>
      <c r="F782">
        <v>0</v>
      </c>
      <c r="G782">
        <v>780</v>
      </c>
      <c r="H782">
        <f>IF(Table1[[#This Row],[my_ent_1]]=Table1[[#This Row],[their_ent_1]], 1, 0)</f>
        <v>0</v>
      </c>
      <c r="I782">
        <f>IF(Table1[[#This Row],[my_ent_2]]=Table1[[#This Row],[their_ent_2]], 1, 0)</f>
        <v>1</v>
      </c>
      <c r="J782">
        <f>IF(Table1[[#This Row],[same_1]]=1 &amp; Table1[[#This Row],[same_2]]=1, 1, 0)</f>
        <v>0</v>
      </c>
      <c r="K782">
        <f>IF(ISNUMBER(SEARCH(Table1[[#This Row],[their_ent_1]],Table1[[#This Row],[my_ent_1]])), 1, 0)</f>
        <v>1</v>
      </c>
      <c r="L782">
        <f>IF(ISNUMBER(SEARCH(Table1[[#This Row],[their_ent_2]],Table1[[#This Row],[my_ent_2]])), 1, 0)</f>
        <v>1</v>
      </c>
    </row>
    <row r="783" spans="1:12" hidden="1" x14ac:dyDescent="0.3">
      <c r="A783" t="s">
        <v>2417</v>
      </c>
      <c r="B783" t="s">
        <v>992</v>
      </c>
      <c r="C783" t="s">
        <v>993</v>
      </c>
      <c r="D783" t="s">
        <v>2418</v>
      </c>
      <c r="E783" t="s">
        <v>2419</v>
      </c>
      <c r="F783">
        <v>0</v>
      </c>
      <c r="G783">
        <v>781</v>
      </c>
      <c r="H783">
        <f>IF(Table1[[#This Row],[my_ent_1]]=Table1[[#This Row],[their_ent_1]], 1, 0)</f>
        <v>0</v>
      </c>
      <c r="I783">
        <f>IF(Table1[[#This Row],[my_ent_2]]=Table1[[#This Row],[their_ent_2]], 1, 0)</f>
        <v>0</v>
      </c>
      <c r="J783">
        <f>IF(Table1[[#This Row],[same_1]]=1 &amp; Table1[[#This Row],[same_2]]=1, 1, 0)</f>
        <v>0</v>
      </c>
      <c r="K783">
        <f>IF(ISNUMBER(SEARCH(Table1[[#This Row],[their_ent_1]],Table1[[#This Row],[my_ent_1]])), 1, 0)</f>
        <v>1</v>
      </c>
      <c r="L783">
        <f>IF(ISNUMBER(SEARCH(Table1[[#This Row],[their_ent_2]],Table1[[#This Row],[my_ent_2]])), 1, 0)</f>
        <v>0</v>
      </c>
    </row>
    <row r="784" spans="1:12" hidden="1" x14ac:dyDescent="0.3">
      <c r="A784" t="s">
        <v>2420</v>
      </c>
      <c r="B784" t="s">
        <v>2421</v>
      </c>
      <c r="C784" t="s">
        <v>2422</v>
      </c>
      <c r="D784" t="s">
        <v>2422</v>
      </c>
      <c r="E784" t="s">
        <v>2153</v>
      </c>
      <c r="F784">
        <v>0</v>
      </c>
      <c r="G784">
        <v>782</v>
      </c>
      <c r="H784">
        <f>IF(Table1[[#This Row],[my_ent_1]]=Table1[[#This Row],[their_ent_1]], 1, 0)</f>
        <v>0</v>
      </c>
      <c r="I784">
        <f>IF(Table1[[#This Row],[my_ent_2]]=Table1[[#This Row],[their_ent_2]], 1, 0)</f>
        <v>0</v>
      </c>
      <c r="J784">
        <f>IF(Table1[[#This Row],[same_1]]=1 &amp; Table1[[#This Row],[same_2]]=1, 1, 0)</f>
        <v>0</v>
      </c>
      <c r="K784">
        <f>IF(ISNUMBER(SEARCH(Table1[[#This Row],[their_ent_1]],Table1[[#This Row],[my_ent_1]])), 1, 0)</f>
        <v>0</v>
      </c>
      <c r="L784">
        <f>IF(ISNUMBER(SEARCH(Table1[[#This Row],[their_ent_2]],Table1[[#This Row],[my_ent_2]])), 1, 0)</f>
        <v>0</v>
      </c>
    </row>
    <row r="785" spans="1:12" hidden="1" x14ac:dyDescent="0.3">
      <c r="A785" t="s">
        <v>2423</v>
      </c>
      <c r="B785" t="s">
        <v>525</v>
      </c>
      <c r="C785" t="s">
        <v>7</v>
      </c>
      <c r="D785" t="s">
        <v>7</v>
      </c>
      <c r="E785" t="s">
        <v>683</v>
      </c>
      <c r="F785">
        <v>0</v>
      </c>
      <c r="G785">
        <v>783</v>
      </c>
      <c r="H785">
        <f>IF(Table1[[#This Row],[my_ent_1]]=Table1[[#This Row],[their_ent_1]], 1, 0)</f>
        <v>0</v>
      </c>
      <c r="I785">
        <f>IF(Table1[[#This Row],[my_ent_2]]=Table1[[#This Row],[their_ent_2]], 1, 0)</f>
        <v>0</v>
      </c>
      <c r="J785">
        <f>IF(Table1[[#This Row],[same_1]]=1 &amp; Table1[[#This Row],[same_2]]=1, 1, 0)</f>
        <v>0</v>
      </c>
      <c r="K785">
        <f>IF(ISNUMBER(SEARCH(Table1[[#This Row],[their_ent_1]],Table1[[#This Row],[my_ent_1]])), 1, 0)</f>
        <v>0</v>
      </c>
      <c r="L785">
        <f>IF(ISNUMBER(SEARCH(Table1[[#This Row],[their_ent_2]],Table1[[#This Row],[my_ent_2]])), 1, 0)</f>
        <v>0</v>
      </c>
    </row>
    <row r="786" spans="1:12" hidden="1" x14ac:dyDescent="0.3">
      <c r="A786" t="s">
        <v>2424</v>
      </c>
      <c r="B786" t="s">
        <v>51</v>
      </c>
      <c r="C786" t="s">
        <v>1178</v>
      </c>
      <c r="D786" t="s">
        <v>1115</v>
      </c>
      <c r="E786" t="s">
        <v>611</v>
      </c>
      <c r="F786">
        <v>0</v>
      </c>
      <c r="G786">
        <v>784</v>
      </c>
      <c r="H786">
        <f>IF(Table1[[#This Row],[my_ent_1]]=Table1[[#This Row],[their_ent_1]], 1, 0)</f>
        <v>0</v>
      </c>
      <c r="I786">
        <f>IF(Table1[[#This Row],[my_ent_2]]=Table1[[#This Row],[their_ent_2]], 1, 0)</f>
        <v>0</v>
      </c>
      <c r="J786">
        <f>IF(Table1[[#This Row],[same_1]]=1 &amp; Table1[[#This Row],[same_2]]=1, 1, 0)</f>
        <v>0</v>
      </c>
      <c r="K786">
        <f>IF(ISNUMBER(SEARCH(Table1[[#This Row],[their_ent_1]],Table1[[#This Row],[my_ent_1]])), 1, 0)</f>
        <v>0</v>
      </c>
      <c r="L786">
        <f>IF(ISNUMBER(SEARCH(Table1[[#This Row],[their_ent_2]],Table1[[#This Row],[my_ent_2]])), 1, 0)</f>
        <v>0</v>
      </c>
    </row>
    <row r="787" spans="1:12" x14ac:dyDescent="0.3">
      <c r="A787" t="s">
        <v>2425</v>
      </c>
      <c r="B787" t="s">
        <v>58</v>
      </c>
      <c r="C787" t="s">
        <v>58</v>
      </c>
      <c r="D787" t="s">
        <v>2426</v>
      </c>
      <c r="E787" t="s">
        <v>2427</v>
      </c>
      <c r="F787">
        <v>0</v>
      </c>
      <c r="G787">
        <v>785</v>
      </c>
      <c r="H787">
        <f>IF(Table1[[#This Row],[my_ent_1]]=Table1[[#This Row],[their_ent_1]], 1, 0)</f>
        <v>1</v>
      </c>
      <c r="I787">
        <f>IF(Table1[[#This Row],[my_ent_2]]=Table1[[#This Row],[their_ent_2]], 1, 0)</f>
        <v>0</v>
      </c>
      <c r="J787">
        <f>IF(Table1[[#This Row],[same_1]]=1 &amp; Table1[[#This Row],[same_2]]=1, 1, 0)</f>
        <v>0</v>
      </c>
      <c r="K787">
        <f>IF(ISNUMBER(SEARCH(Table1[[#This Row],[their_ent_1]],Table1[[#This Row],[my_ent_1]])), 1, 0)</f>
        <v>1</v>
      </c>
      <c r="L787">
        <f>IF(ISNUMBER(SEARCH(Table1[[#This Row],[their_ent_2]],Table1[[#This Row],[my_ent_2]])), 1, 0)</f>
        <v>1</v>
      </c>
    </row>
    <row r="788" spans="1:12" hidden="1" x14ac:dyDescent="0.3">
      <c r="A788" t="s">
        <v>2428</v>
      </c>
      <c r="B788" t="s">
        <v>2429</v>
      </c>
      <c r="C788" t="s">
        <v>2430</v>
      </c>
      <c r="D788" t="s">
        <v>332</v>
      </c>
      <c r="E788" t="s">
        <v>2431</v>
      </c>
      <c r="F788">
        <v>0</v>
      </c>
      <c r="G788">
        <v>786</v>
      </c>
      <c r="H788">
        <f>IF(Table1[[#This Row],[my_ent_1]]=Table1[[#This Row],[their_ent_1]], 1, 0)</f>
        <v>0</v>
      </c>
      <c r="I788">
        <f>IF(Table1[[#This Row],[my_ent_2]]=Table1[[#This Row],[their_ent_2]], 1, 0)</f>
        <v>0</v>
      </c>
      <c r="J788">
        <f>IF(Table1[[#This Row],[same_1]]=1 &amp; Table1[[#This Row],[same_2]]=1, 1, 0)</f>
        <v>0</v>
      </c>
      <c r="K788">
        <f>IF(ISNUMBER(SEARCH(Table1[[#This Row],[their_ent_1]],Table1[[#This Row],[my_ent_1]])), 1, 0)</f>
        <v>0</v>
      </c>
      <c r="L788">
        <f>IF(ISNUMBER(SEARCH(Table1[[#This Row],[their_ent_2]],Table1[[#This Row],[my_ent_2]])), 1, 0)</f>
        <v>0</v>
      </c>
    </row>
    <row r="789" spans="1:12" hidden="1" x14ac:dyDescent="0.3">
      <c r="A789" t="s">
        <v>2432</v>
      </c>
      <c r="B789" t="s">
        <v>2433</v>
      </c>
      <c r="C789" t="s">
        <v>2434</v>
      </c>
      <c r="D789" t="s">
        <v>812</v>
      </c>
      <c r="E789" t="s">
        <v>256</v>
      </c>
      <c r="F789">
        <v>0</v>
      </c>
      <c r="G789">
        <v>787</v>
      </c>
      <c r="H789">
        <f>IF(Table1[[#This Row],[my_ent_1]]=Table1[[#This Row],[their_ent_1]], 1, 0)</f>
        <v>0</v>
      </c>
      <c r="I789">
        <f>IF(Table1[[#This Row],[my_ent_2]]=Table1[[#This Row],[their_ent_2]], 1, 0)</f>
        <v>0</v>
      </c>
      <c r="J789">
        <f>IF(Table1[[#This Row],[same_1]]=1 &amp; Table1[[#This Row],[same_2]]=1, 1, 0)</f>
        <v>0</v>
      </c>
      <c r="K789">
        <f>IF(ISNUMBER(SEARCH(Table1[[#This Row],[their_ent_1]],Table1[[#This Row],[my_ent_1]])), 1, 0)</f>
        <v>0</v>
      </c>
      <c r="L789">
        <f>IF(ISNUMBER(SEARCH(Table1[[#This Row],[their_ent_2]],Table1[[#This Row],[my_ent_2]])), 1, 0)</f>
        <v>0</v>
      </c>
    </row>
    <row r="790" spans="1:12" x14ac:dyDescent="0.3">
      <c r="A790" t="s">
        <v>2435</v>
      </c>
      <c r="B790" t="s">
        <v>199</v>
      </c>
      <c r="C790" t="s">
        <v>199</v>
      </c>
      <c r="D790" t="s">
        <v>467</v>
      </c>
      <c r="E790" t="s">
        <v>94</v>
      </c>
      <c r="F790">
        <v>0</v>
      </c>
      <c r="G790">
        <v>788</v>
      </c>
      <c r="H790">
        <f>IF(Table1[[#This Row],[my_ent_1]]=Table1[[#This Row],[their_ent_1]], 1, 0)</f>
        <v>1</v>
      </c>
      <c r="I790">
        <f>IF(Table1[[#This Row],[my_ent_2]]=Table1[[#This Row],[their_ent_2]], 1, 0)</f>
        <v>0</v>
      </c>
      <c r="J790">
        <f>IF(Table1[[#This Row],[same_1]]=1 &amp; Table1[[#This Row],[same_2]]=1, 1, 0)</f>
        <v>0</v>
      </c>
      <c r="K790">
        <f>IF(ISNUMBER(SEARCH(Table1[[#This Row],[their_ent_1]],Table1[[#This Row],[my_ent_1]])), 1, 0)</f>
        <v>1</v>
      </c>
      <c r="L790">
        <f>IF(ISNUMBER(SEARCH(Table1[[#This Row],[their_ent_2]],Table1[[#This Row],[my_ent_2]])), 1, 0)</f>
        <v>1</v>
      </c>
    </row>
    <row r="791" spans="1:12" hidden="1" x14ac:dyDescent="0.3">
      <c r="A791" t="s">
        <v>2436</v>
      </c>
      <c r="B791" t="s">
        <v>1388</v>
      </c>
      <c r="C791" t="s">
        <v>800</v>
      </c>
      <c r="D791" t="s">
        <v>2437</v>
      </c>
      <c r="E791" t="s">
        <v>2437</v>
      </c>
      <c r="F791">
        <v>0</v>
      </c>
      <c r="G791">
        <v>789</v>
      </c>
      <c r="H791">
        <f>IF(Table1[[#This Row],[my_ent_1]]=Table1[[#This Row],[their_ent_1]], 1, 0)</f>
        <v>0</v>
      </c>
      <c r="I791">
        <f>IF(Table1[[#This Row],[my_ent_2]]=Table1[[#This Row],[their_ent_2]], 1, 0)</f>
        <v>1</v>
      </c>
      <c r="J791">
        <f>IF(Table1[[#This Row],[same_1]]=1 &amp; Table1[[#This Row],[same_2]]=1, 1, 0)</f>
        <v>0</v>
      </c>
      <c r="K791">
        <f>IF(ISNUMBER(SEARCH(Table1[[#This Row],[their_ent_1]],Table1[[#This Row],[my_ent_1]])), 1, 0)</f>
        <v>0</v>
      </c>
      <c r="L791">
        <f>IF(ISNUMBER(SEARCH(Table1[[#This Row],[their_ent_2]],Table1[[#This Row],[my_ent_2]])), 1, 0)</f>
        <v>1</v>
      </c>
    </row>
    <row r="792" spans="1:12" hidden="1" x14ac:dyDescent="0.3">
      <c r="A792" t="s">
        <v>2438</v>
      </c>
      <c r="B792" t="s">
        <v>1131</v>
      </c>
      <c r="C792" t="s">
        <v>72</v>
      </c>
      <c r="D792" t="s">
        <v>54</v>
      </c>
      <c r="E792" t="s">
        <v>30</v>
      </c>
      <c r="F792">
        <v>0</v>
      </c>
      <c r="G792">
        <v>790</v>
      </c>
      <c r="H792">
        <f>IF(Table1[[#This Row],[my_ent_1]]=Table1[[#This Row],[their_ent_1]], 1, 0)</f>
        <v>0</v>
      </c>
      <c r="I792">
        <f>IF(Table1[[#This Row],[my_ent_2]]=Table1[[#This Row],[their_ent_2]], 1, 0)</f>
        <v>0</v>
      </c>
      <c r="J792">
        <f>IF(Table1[[#This Row],[same_1]]=1 &amp; Table1[[#This Row],[same_2]]=1, 1, 0)</f>
        <v>0</v>
      </c>
      <c r="K792">
        <f>IF(ISNUMBER(SEARCH(Table1[[#This Row],[their_ent_1]],Table1[[#This Row],[my_ent_1]])), 1, 0)</f>
        <v>1</v>
      </c>
      <c r="L792">
        <f>IF(ISNUMBER(SEARCH(Table1[[#This Row],[their_ent_2]],Table1[[#This Row],[my_ent_2]])), 1, 0)</f>
        <v>0</v>
      </c>
    </row>
    <row r="793" spans="1:12" hidden="1" x14ac:dyDescent="0.3">
      <c r="A793" t="s">
        <v>2439</v>
      </c>
      <c r="B793" t="s">
        <v>15</v>
      </c>
      <c r="C793" t="s">
        <v>324</v>
      </c>
      <c r="D793" t="s">
        <v>324</v>
      </c>
      <c r="E793" t="s">
        <v>1657</v>
      </c>
      <c r="F793">
        <v>0</v>
      </c>
      <c r="G793">
        <v>791</v>
      </c>
      <c r="H793">
        <f>IF(Table1[[#This Row],[my_ent_1]]=Table1[[#This Row],[their_ent_1]], 1, 0)</f>
        <v>0</v>
      </c>
      <c r="I793">
        <f>IF(Table1[[#This Row],[my_ent_2]]=Table1[[#This Row],[their_ent_2]], 1, 0)</f>
        <v>0</v>
      </c>
      <c r="J793">
        <f>IF(Table1[[#This Row],[same_1]]=1 &amp; Table1[[#This Row],[same_2]]=1, 1, 0)</f>
        <v>0</v>
      </c>
      <c r="K793">
        <f>IF(ISNUMBER(SEARCH(Table1[[#This Row],[their_ent_1]],Table1[[#This Row],[my_ent_1]])), 1, 0)</f>
        <v>0</v>
      </c>
      <c r="L793">
        <f>IF(ISNUMBER(SEARCH(Table1[[#This Row],[their_ent_2]],Table1[[#This Row],[my_ent_2]])), 1, 0)</f>
        <v>0</v>
      </c>
    </row>
    <row r="794" spans="1:12" hidden="1" x14ac:dyDescent="0.3">
      <c r="A794" t="s">
        <v>2440</v>
      </c>
      <c r="B794" t="s">
        <v>2441</v>
      </c>
      <c r="C794" t="s">
        <v>2442</v>
      </c>
      <c r="D794" t="s">
        <v>54</v>
      </c>
      <c r="E794" t="s">
        <v>2441</v>
      </c>
      <c r="F794">
        <v>0</v>
      </c>
      <c r="G794">
        <v>792</v>
      </c>
      <c r="H794">
        <f>IF(Table1[[#This Row],[my_ent_1]]=Table1[[#This Row],[their_ent_1]], 1, 0)</f>
        <v>0</v>
      </c>
      <c r="I794">
        <f>IF(Table1[[#This Row],[my_ent_2]]=Table1[[#This Row],[their_ent_2]], 1, 0)</f>
        <v>0</v>
      </c>
      <c r="J794">
        <f>IF(Table1[[#This Row],[same_1]]=1 &amp; Table1[[#This Row],[same_2]]=1, 1, 0)</f>
        <v>0</v>
      </c>
      <c r="K794">
        <f>IF(ISNUMBER(SEARCH(Table1[[#This Row],[their_ent_1]],Table1[[#This Row],[my_ent_1]])), 1, 0)</f>
        <v>0</v>
      </c>
      <c r="L794">
        <f>IF(ISNUMBER(SEARCH(Table1[[#This Row],[their_ent_2]],Table1[[#This Row],[my_ent_2]])), 1, 0)</f>
        <v>0</v>
      </c>
    </row>
    <row r="795" spans="1:12" hidden="1" x14ac:dyDescent="0.3">
      <c r="A795" t="s">
        <v>2443</v>
      </c>
      <c r="B795" t="s">
        <v>2444</v>
      </c>
      <c r="C795" t="s">
        <v>2445</v>
      </c>
      <c r="D795" t="s">
        <v>2446</v>
      </c>
      <c r="E795" t="s">
        <v>2447</v>
      </c>
      <c r="F795">
        <v>0</v>
      </c>
      <c r="G795">
        <v>793</v>
      </c>
      <c r="H795">
        <f>IF(Table1[[#This Row],[my_ent_1]]=Table1[[#This Row],[their_ent_1]], 1, 0)</f>
        <v>0</v>
      </c>
      <c r="I795">
        <f>IF(Table1[[#This Row],[my_ent_2]]=Table1[[#This Row],[their_ent_2]], 1, 0)</f>
        <v>0</v>
      </c>
      <c r="J795">
        <f>IF(Table1[[#This Row],[same_1]]=1 &amp; Table1[[#This Row],[same_2]]=1, 1, 0)</f>
        <v>0</v>
      </c>
      <c r="K795">
        <f>IF(ISNUMBER(SEARCH(Table1[[#This Row],[their_ent_1]],Table1[[#This Row],[my_ent_1]])), 1, 0)</f>
        <v>0</v>
      </c>
      <c r="L795">
        <f>IF(ISNUMBER(SEARCH(Table1[[#This Row],[their_ent_2]],Table1[[#This Row],[my_ent_2]])), 1, 0)</f>
        <v>0</v>
      </c>
    </row>
    <row r="796" spans="1:12" x14ac:dyDescent="0.3">
      <c r="A796" t="s">
        <v>2448</v>
      </c>
      <c r="B796" t="s">
        <v>373</v>
      </c>
      <c r="C796" t="s">
        <v>374</v>
      </c>
      <c r="D796" t="s">
        <v>2449</v>
      </c>
      <c r="E796" t="s">
        <v>2450</v>
      </c>
      <c r="F796">
        <v>0</v>
      </c>
      <c r="G796">
        <v>794</v>
      </c>
      <c r="H796">
        <f>IF(Table1[[#This Row],[my_ent_1]]=Table1[[#This Row],[their_ent_1]], 1, 0)</f>
        <v>0</v>
      </c>
      <c r="I796">
        <f>IF(Table1[[#This Row],[my_ent_2]]=Table1[[#This Row],[their_ent_2]], 1, 0)</f>
        <v>0</v>
      </c>
      <c r="J796">
        <f>IF(Table1[[#This Row],[same_1]]=1 &amp; Table1[[#This Row],[same_2]]=1, 1, 0)</f>
        <v>0</v>
      </c>
      <c r="K796">
        <f>IF(ISNUMBER(SEARCH(Table1[[#This Row],[their_ent_1]],Table1[[#This Row],[my_ent_1]])), 1, 0)</f>
        <v>1</v>
      </c>
      <c r="L796">
        <f>IF(ISNUMBER(SEARCH(Table1[[#This Row],[their_ent_2]],Table1[[#This Row],[my_ent_2]])), 1, 0)</f>
        <v>1</v>
      </c>
    </row>
    <row r="797" spans="1:12" hidden="1" x14ac:dyDescent="0.3">
      <c r="A797" t="s">
        <v>2451</v>
      </c>
      <c r="B797" t="s">
        <v>2452</v>
      </c>
      <c r="C797" t="s">
        <v>2453</v>
      </c>
      <c r="D797" t="s">
        <v>2454</v>
      </c>
      <c r="E797" t="s">
        <v>2455</v>
      </c>
      <c r="F797">
        <v>0</v>
      </c>
      <c r="G797">
        <v>795</v>
      </c>
      <c r="H797">
        <f>IF(Table1[[#This Row],[my_ent_1]]=Table1[[#This Row],[their_ent_1]], 1, 0)</f>
        <v>0</v>
      </c>
      <c r="I797">
        <f>IF(Table1[[#This Row],[my_ent_2]]=Table1[[#This Row],[their_ent_2]], 1, 0)</f>
        <v>0</v>
      </c>
      <c r="J797">
        <f>IF(Table1[[#This Row],[same_1]]=1 &amp; Table1[[#This Row],[same_2]]=1, 1, 0)</f>
        <v>0</v>
      </c>
      <c r="K797">
        <f>IF(ISNUMBER(SEARCH(Table1[[#This Row],[their_ent_1]],Table1[[#This Row],[my_ent_1]])), 1, 0)</f>
        <v>0</v>
      </c>
      <c r="L797">
        <f>IF(ISNUMBER(SEARCH(Table1[[#This Row],[their_ent_2]],Table1[[#This Row],[my_ent_2]])), 1, 0)</f>
        <v>0</v>
      </c>
    </row>
    <row r="798" spans="1:12" hidden="1" x14ac:dyDescent="0.3">
      <c r="A798" t="s">
        <v>2456</v>
      </c>
      <c r="B798" t="s">
        <v>28</v>
      </c>
      <c r="C798" t="s">
        <v>58</v>
      </c>
      <c r="D798" t="s">
        <v>54</v>
      </c>
      <c r="E798" t="s">
        <v>2457</v>
      </c>
      <c r="F798">
        <v>0</v>
      </c>
      <c r="G798">
        <v>796</v>
      </c>
      <c r="H798">
        <f>IF(Table1[[#This Row],[my_ent_1]]=Table1[[#This Row],[their_ent_1]], 1, 0)</f>
        <v>0</v>
      </c>
      <c r="I798">
        <f>IF(Table1[[#This Row],[my_ent_2]]=Table1[[#This Row],[their_ent_2]], 1, 0)</f>
        <v>0</v>
      </c>
      <c r="J798">
        <f>IF(Table1[[#This Row],[same_1]]=1 &amp; Table1[[#This Row],[same_2]]=1, 1, 0)</f>
        <v>0</v>
      </c>
      <c r="K798">
        <f>IF(ISNUMBER(SEARCH(Table1[[#This Row],[their_ent_1]],Table1[[#This Row],[my_ent_1]])), 1, 0)</f>
        <v>1</v>
      </c>
      <c r="L798">
        <f>IF(ISNUMBER(SEARCH(Table1[[#This Row],[their_ent_2]],Table1[[#This Row],[my_ent_2]])), 1, 0)</f>
        <v>0</v>
      </c>
    </row>
    <row r="799" spans="1:12" hidden="1" x14ac:dyDescent="0.3">
      <c r="A799" t="s">
        <v>2458</v>
      </c>
      <c r="B799" t="s">
        <v>7</v>
      </c>
      <c r="C799" t="s">
        <v>7</v>
      </c>
      <c r="D799" t="s">
        <v>106</v>
      </c>
      <c r="E799" t="s">
        <v>2459</v>
      </c>
      <c r="F799">
        <v>0</v>
      </c>
      <c r="G799">
        <v>797</v>
      </c>
      <c r="H799">
        <f>IF(Table1[[#This Row],[my_ent_1]]=Table1[[#This Row],[their_ent_1]], 1, 0)</f>
        <v>1</v>
      </c>
      <c r="I799">
        <f>IF(Table1[[#This Row],[my_ent_2]]=Table1[[#This Row],[their_ent_2]], 1, 0)</f>
        <v>0</v>
      </c>
      <c r="J799">
        <f>IF(Table1[[#This Row],[same_1]]=1 &amp; Table1[[#This Row],[same_2]]=1, 1, 0)</f>
        <v>0</v>
      </c>
      <c r="K799">
        <f>IF(ISNUMBER(SEARCH(Table1[[#This Row],[their_ent_1]],Table1[[#This Row],[my_ent_1]])), 1, 0)</f>
        <v>1</v>
      </c>
      <c r="L799">
        <f>IF(ISNUMBER(SEARCH(Table1[[#This Row],[their_ent_2]],Table1[[#This Row],[my_ent_2]])), 1, 0)</f>
        <v>0</v>
      </c>
    </row>
    <row r="800" spans="1:12" hidden="1" x14ac:dyDescent="0.3">
      <c r="A800" t="s">
        <v>2460</v>
      </c>
      <c r="B800" t="s">
        <v>2307</v>
      </c>
      <c r="C800" t="s">
        <v>72</v>
      </c>
      <c r="D800" t="s">
        <v>263</v>
      </c>
      <c r="E800" t="s">
        <v>138</v>
      </c>
      <c r="F800">
        <v>0</v>
      </c>
      <c r="G800">
        <v>798</v>
      </c>
      <c r="H800">
        <f>IF(Table1[[#This Row],[my_ent_1]]=Table1[[#This Row],[their_ent_1]], 1, 0)</f>
        <v>0</v>
      </c>
      <c r="I800">
        <f>IF(Table1[[#This Row],[my_ent_2]]=Table1[[#This Row],[their_ent_2]], 1, 0)</f>
        <v>0</v>
      </c>
      <c r="J800">
        <f>IF(Table1[[#This Row],[same_1]]=1 &amp; Table1[[#This Row],[same_2]]=1, 1, 0)</f>
        <v>0</v>
      </c>
      <c r="K800">
        <f>IF(ISNUMBER(SEARCH(Table1[[#This Row],[their_ent_1]],Table1[[#This Row],[my_ent_1]])), 1, 0)</f>
        <v>0</v>
      </c>
      <c r="L800">
        <f>IF(ISNUMBER(SEARCH(Table1[[#This Row],[their_ent_2]],Table1[[#This Row],[my_ent_2]])), 1, 0)</f>
        <v>0</v>
      </c>
    </row>
    <row r="801" spans="1:12" hidden="1" x14ac:dyDescent="0.3">
      <c r="A801" t="s">
        <v>2461</v>
      </c>
      <c r="B801" t="s">
        <v>34</v>
      </c>
      <c r="C801" t="s">
        <v>34</v>
      </c>
      <c r="D801" t="s">
        <v>54</v>
      </c>
      <c r="E801" t="s">
        <v>2462</v>
      </c>
      <c r="F801">
        <v>0</v>
      </c>
      <c r="G801">
        <v>799</v>
      </c>
      <c r="H801">
        <f>IF(Table1[[#This Row],[my_ent_1]]=Table1[[#This Row],[their_ent_1]], 1, 0)</f>
        <v>1</v>
      </c>
      <c r="I801">
        <f>IF(Table1[[#This Row],[my_ent_2]]=Table1[[#This Row],[their_ent_2]], 1, 0)</f>
        <v>0</v>
      </c>
      <c r="J801">
        <f>IF(Table1[[#This Row],[same_1]]=1 &amp; Table1[[#This Row],[same_2]]=1, 1, 0)</f>
        <v>0</v>
      </c>
      <c r="K801">
        <f>IF(ISNUMBER(SEARCH(Table1[[#This Row],[their_ent_1]],Table1[[#This Row],[my_ent_1]])), 1, 0)</f>
        <v>1</v>
      </c>
      <c r="L801">
        <f>IF(ISNUMBER(SEARCH(Table1[[#This Row],[their_ent_2]],Table1[[#This Row],[my_ent_2]])), 1, 0)</f>
        <v>0</v>
      </c>
    </row>
    <row r="802" spans="1:12" hidden="1" x14ac:dyDescent="0.3">
      <c r="A802" t="s">
        <v>2463</v>
      </c>
      <c r="B802" t="s">
        <v>58</v>
      </c>
      <c r="C802" t="s">
        <v>58</v>
      </c>
      <c r="D802" t="s">
        <v>1532</v>
      </c>
      <c r="E802" t="s">
        <v>2464</v>
      </c>
      <c r="F802">
        <v>0</v>
      </c>
      <c r="G802">
        <v>800</v>
      </c>
      <c r="H802">
        <f>IF(Table1[[#This Row],[my_ent_1]]=Table1[[#This Row],[their_ent_1]], 1, 0)</f>
        <v>1</v>
      </c>
      <c r="I802">
        <f>IF(Table1[[#This Row],[my_ent_2]]=Table1[[#This Row],[their_ent_2]], 1, 0)</f>
        <v>0</v>
      </c>
      <c r="J802">
        <f>IF(Table1[[#This Row],[same_1]]=1 &amp; Table1[[#This Row],[same_2]]=1, 1, 0)</f>
        <v>0</v>
      </c>
      <c r="K802">
        <f>IF(ISNUMBER(SEARCH(Table1[[#This Row],[their_ent_1]],Table1[[#This Row],[my_ent_1]])), 1, 0)</f>
        <v>1</v>
      </c>
      <c r="L802">
        <f>IF(ISNUMBER(SEARCH(Table1[[#This Row],[their_ent_2]],Table1[[#This Row],[my_ent_2]])), 1, 0)</f>
        <v>0</v>
      </c>
    </row>
    <row r="803" spans="1:12" hidden="1" x14ac:dyDescent="0.3">
      <c r="A803" t="s">
        <v>2465</v>
      </c>
      <c r="B803" t="s">
        <v>208</v>
      </c>
      <c r="C803" t="s">
        <v>2466</v>
      </c>
      <c r="D803" t="s">
        <v>813</v>
      </c>
      <c r="E803" t="s">
        <v>36</v>
      </c>
      <c r="F803">
        <v>0</v>
      </c>
      <c r="G803">
        <v>801</v>
      </c>
      <c r="H803">
        <f>IF(Table1[[#This Row],[my_ent_1]]=Table1[[#This Row],[their_ent_1]], 1, 0)</f>
        <v>0</v>
      </c>
      <c r="I803">
        <f>IF(Table1[[#This Row],[my_ent_2]]=Table1[[#This Row],[their_ent_2]], 1, 0)</f>
        <v>0</v>
      </c>
      <c r="J803">
        <f>IF(Table1[[#This Row],[same_1]]=1 &amp; Table1[[#This Row],[same_2]]=1, 1, 0)</f>
        <v>0</v>
      </c>
      <c r="K803">
        <f>IF(ISNUMBER(SEARCH(Table1[[#This Row],[their_ent_1]],Table1[[#This Row],[my_ent_1]])), 1, 0)</f>
        <v>0</v>
      </c>
      <c r="L803">
        <f>IF(ISNUMBER(SEARCH(Table1[[#This Row],[their_ent_2]],Table1[[#This Row],[my_ent_2]])), 1, 0)</f>
        <v>0</v>
      </c>
    </row>
    <row r="804" spans="1:12" hidden="1" x14ac:dyDescent="0.3">
      <c r="A804" t="s">
        <v>2467</v>
      </c>
      <c r="B804" t="s">
        <v>2468</v>
      </c>
      <c r="C804" t="s">
        <v>382</v>
      </c>
      <c r="D804" t="s">
        <v>518</v>
      </c>
      <c r="E804" t="s">
        <v>29</v>
      </c>
      <c r="F804">
        <v>0</v>
      </c>
      <c r="G804">
        <v>802</v>
      </c>
      <c r="H804">
        <f>IF(Table1[[#This Row],[my_ent_1]]=Table1[[#This Row],[their_ent_1]], 1, 0)</f>
        <v>0</v>
      </c>
      <c r="I804">
        <f>IF(Table1[[#This Row],[my_ent_2]]=Table1[[#This Row],[their_ent_2]], 1, 0)</f>
        <v>0</v>
      </c>
      <c r="J804">
        <f>IF(Table1[[#This Row],[same_1]]=1 &amp; Table1[[#This Row],[same_2]]=1, 1, 0)</f>
        <v>0</v>
      </c>
      <c r="K804">
        <f>IF(ISNUMBER(SEARCH(Table1[[#This Row],[their_ent_1]],Table1[[#This Row],[my_ent_1]])), 1, 0)</f>
        <v>0</v>
      </c>
      <c r="L804">
        <f>IF(ISNUMBER(SEARCH(Table1[[#This Row],[their_ent_2]],Table1[[#This Row],[my_ent_2]])), 1, 0)</f>
        <v>0</v>
      </c>
    </row>
    <row r="805" spans="1:12" hidden="1" x14ac:dyDescent="0.3">
      <c r="A805" t="s">
        <v>2469</v>
      </c>
      <c r="B805" t="s">
        <v>7</v>
      </c>
      <c r="C805" t="s">
        <v>165</v>
      </c>
      <c r="D805" t="s">
        <v>525</v>
      </c>
      <c r="E805" t="s">
        <v>525</v>
      </c>
      <c r="F805">
        <v>0</v>
      </c>
      <c r="G805">
        <v>803</v>
      </c>
      <c r="H805">
        <f>IF(Table1[[#This Row],[my_ent_1]]=Table1[[#This Row],[their_ent_1]], 1, 0)</f>
        <v>0</v>
      </c>
      <c r="I805">
        <f>IF(Table1[[#This Row],[my_ent_2]]=Table1[[#This Row],[their_ent_2]], 1, 0)</f>
        <v>1</v>
      </c>
      <c r="J805">
        <f>IF(Table1[[#This Row],[same_1]]=1 &amp; Table1[[#This Row],[same_2]]=1, 1, 0)</f>
        <v>0</v>
      </c>
      <c r="K805">
        <f>IF(ISNUMBER(SEARCH(Table1[[#This Row],[their_ent_1]],Table1[[#This Row],[my_ent_1]])), 1, 0)</f>
        <v>0</v>
      </c>
      <c r="L805">
        <f>IF(ISNUMBER(SEARCH(Table1[[#This Row],[their_ent_2]],Table1[[#This Row],[my_ent_2]])), 1, 0)</f>
        <v>1</v>
      </c>
    </row>
    <row r="806" spans="1:12" x14ac:dyDescent="0.3">
      <c r="A806" t="s">
        <v>2470</v>
      </c>
      <c r="B806" t="s">
        <v>2471</v>
      </c>
      <c r="C806" t="s">
        <v>2472</v>
      </c>
      <c r="D806" t="s">
        <v>2473</v>
      </c>
      <c r="E806" t="s">
        <v>2473</v>
      </c>
      <c r="F806">
        <v>0</v>
      </c>
      <c r="G806">
        <v>804</v>
      </c>
      <c r="H806">
        <f>IF(Table1[[#This Row],[my_ent_1]]=Table1[[#This Row],[their_ent_1]], 1, 0)</f>
        <v>0</v>
      </c>
      <c r="I806">
        <f>IF(Table1[[#This Row],[my_ent_2]]=Table1[[#This Row],[their_ent_2]], 1, 0)</f>
        <v>1</v>
      </c>
      <c r="J806">
        <f>IF(Table1[[#This Row],[same_1]]=1 &amp; Table1[[#This Row],[same_2]]=1, 1, 0)</f>
        <v>0</v>
      </c>
      <c r="K806">
        <f>IF(ISNUMBER(SEARCH(Table1[[#This Row],[their_ent_1]],Table1[[#This Row],[my_ent_1]])), 1, 0)</f>
        <v>1</v>
      </c>
      <c r="L806">
        <f>IF(ISNUMBER(SEARCH(Table1[[#This Row],[their_ent_2]],Table1[[#This Row],[my_ent_2]])), 1, 0)</f>
        <v>1</v>
      </c>
    </row>
    <row r="807" spans="1:12" x14ac:dyDescent="0.3">
      <c r="A807" t="s">
        <v>2474</v>
      </c>
      <c r="B807" t="s">
        <v>2475</v>
      </c>
      <c r="C807" t="s">
        <v>2476</v>
      </c>
      <c r="D807" t="s">
        <v>2477</v>
      </c>
      <c r="E807" t="s">
        <v>2478</v>
      </c>
      <c r="F807">
        <v>0</v>
      </c>
      <c r="G807">
        <v>805</v>
      </c>
      <c r="H807">
        <f>IF(Table1[[#This Row],[my_ent_1]]=Table1[[#This Row],[their_ent_1]], 1, 0)</f>
        <v>0</v>
      </c>
      <c r="I807">
        <f>IF(Table1[[#This Row],[my_ent_2]]=Table1[[#This Row],[their_ent_2]], 1, 0)</f>
        <v>0</v>
      </c>
      <c r="J807">
        <f>IF(Table1[[#This Row],[same_1]]=1 &amp; Table1[[#This Row],[same_2]]=1, 1, 0)</f>
        <v>0</v>
      </c>
      <c r="K807">
        <f>IF(ISNUMBER(SEARCH(Table1[[#This Row],[their_ent_1]],Table1[[#This Row],[my_ent_1]])), 1, 0)</f>
        <v>1</v>
      </c>
      <c r="L807">
        <f>IF(ISNUMBER(SEARCH(Table1[[#This Row],[their_ent_2]],Table1[[#This Row],[my_ent_2]])), 1, 0)</f>
        <v>1</v>
      </c>
    </row>
    <row r="808" spans="1:12" hidden="1" x14ac:dyDescent="0.3">
      <c r="A808" t="s">
        <v>2479</v>
      </c>
      <c r="B808" t="s">
        <v>2480</v>
      </c>
      <c r="C808" t="s">
        <v>2481</v>
      </c>
      <c r="D808" t="s">
        <v>7</v>
      </c>
      <c r="E808" t="s">
        <v>30</v>
      </c>
      <c r="F808">
        <v>0</v>
      </c>
      <c r="G808">
        <v>806</v>
      </c>
      <c r="H808">
        <f>IF(Table1[[#This Row],[my_ent_1]]=Table1[[#This Row],[their_ent_1]], 1, 0)</f>
        <v>0</v>
      </c>
      <c r="I808">
        <f>IF(Table1[[#This Row],[my_ent_2]]=Table1[[#This Row],[their_ent_2]], 1, 0)</f>
        <v>0</v>
      </c>
      <c r="J808">
        <f>IF(Table1[[#This Row],[same_1]]=1 &amp; Table1[[#This Row],[same_2]]=1, 1, 0)</f>
        <v>0</v>
      </c>
      <c r="K808">
        <f>IF(ISNUMBER(SEARCH(Table1[[#This Row],[their_ent_1]],Table1[[#This Row],[my_ent_1]])), 1, 0)</f>
        <v>0</v>
      </c>
      <c r="L808">
        <f>IF(ISNUMBER(SEARCH(Table1[[#This Row],[their_ent_2]],Table1[[#This Row],[my_ent_2]])), 1, 0)</f>
        <v>0</v>
      </c>
    </row>
    <row r="809" spans="1:12" hidden="1" x14ac:dyDescent="0.3">
      <c r="A809" t="s">
        <v>2482</v>
      </c>
      <c r="B809" t="s">
        <v>2483</v>
      </c>
      <c r="C809" t="s">
        <v>16</v>
      </c>
      <c r="D809" t="s">
        <v>404</v>
      </c>
      <c r="E809" t="s">
        <v>404</v>
      </c>
      <c r="F809">
        <v>0</v>
      </c>
      <c r="G809">
        <v>807</v>
      </c>
      <c r="H809">
        <f>IF(Table1[[#This Row],[my_ent_1]]=Table1[[#This Row],[their_ent_1]], 1, 0)</f>
        <v>0</v>
      </c>
      <c r="I809">
        <f>IF(Table1[[#This Row],[my_ent_2]]=Table1[[#This Row],[their_ent_2]], 1, 0)</f>
        <v>1</v>
      </c>
      <c r="J809">
        <f>IF(Table1[[#This Row],[same_1]]=1 &amp; Table1[[#This Row],[same_2]]=1, 1, 0)</f>
        <v>0</v>
      </c>
      <c r="K809">
        <f>IF(ISNUMBER(SEARCH(Table1[[#This Row],[their_ent_1]],Table1[[#This Row],[my_ent_1]])), 1, 0)</f>
        <v>0</v>
      </c>
      <c r="L809">
        <f>IF(ISNUMBER(SEARCH(Table1[[#This Row],[their_ent_2]],Table1[[#This Row],[my_ent_2]])), 1, 0)</f>
        <v>1</v>
      </c>
    </row>
    <row r="810" spans="1:12" hidden="1" x14ac:dyDescent="0.3">
      <c r="A810" t="s">
        <v>2484</v>
      </c>
      <c r="B810" t="s">
        <v>464</v>
      </c>
      <c r="C810" t="s">
        <v>58</v>
      </c>
      <c r="D810" t="s">
        <v>58</v>
      </c>
      <c r="E810" t="s">
        <v>2485</v>
      </c>
      <c r="F810">
        <v>0</v>
      </c>
      <c r="G810">
        <v>808</v>
      </c>
      <c r="H810">
        <f>IF(Table1[[#This Row],[my_ent_1]]=Table1[[#This Row],[their_ent_1]], 1, 0)</f>
        <v>0</v>
      </c>
      <c r="I810">
        <f>IF(Table1[[#This Row],[my_ent_2]]=Table1[[#This Row],[their_ent_2]], 1, 0)</f>
        <v>0</v>
      </c>
      <c r="J810">
        <f>IF(Table1[[#This Row],[same_1]]=1 &amp; Table1[[#This Row],[same_2]]=1, 1, 0)</f>
        <v>0</v>
      </c>
      <c r="K810">
        <f>IF(ISNUMBER(SEARCH(Table1[[#This Row],[their_ent_1]],Table1[[#This Row],[my_ent_1]])), 1, 0)</f>
        <v>0</v>
      </c>
      <c r="L810">
        <f>IF(ISNUMBER(SEARCH(Table1[[#This Row],[their_ent_2]],Table1[[#This Row],[my_ent_2]])), 1, 0)</f>
        <v>0</v>
      </c>
    </row>
    <row r="811" spans="1:12" hidden="1" x14ac:dyDescent="0.3">
      <c r="A811" t="s">
        <v>2486</v>
      </c>
      <c r="B811" t="s">
        <v>142</v>
      </c>
      <c r="C811" t="s">
        <v>633</v>
      </c>
      <c r="D811" t="s">
        <v>525</v>
      </c>
      <c r="E811" t="s">
        <v>525</v>
      </c>
      <c r="F811">
        <v>0</v>
      </c>
      <c r="G811">
        <v>809</v>
      </c>
      <c r="H811">
        <f>IF(Table1[[#This Row],[my_ent_1]]=Table1[[#This Row],[their_ent_1]], 1, 0)</f>
        <v>0</v>
      </c>
      <c r="I811">
        <f>IF(Table1[[#This Row],[my_ent_2]]=Table1[[#This Row],[their_ent_2]], 1, 0)</f>
        <v>1</v>
      </c>
      <c r="J811">
        <f>IF(Table1[[#This Row],[same_1]]=1 &amp; Table1[[#This Row],[same_2]]=1, 1, 0)</f>
        <v>0</v>
      </c>
      <c r="K811">
        <f>IF(ISNUMBER(SEARCH(Table1[[#This Row],[their_ent_1]],Table1[[#This Row],[my_ent_1]])), 1, 0)</f>
        <v>0</v>
      </c>
      <c r="L811">
        <f>IF(ISNUMBER(SEARCH(Table1[[#This Row],[their_ent_2]],Table1[[#This Row],[my_ent_2]])), 1, 0)</f>
        <v>1</v>
      </c>
    </row>
    <row r="812" spans="1:12" hidden="1" x14ac:dyDescent="0.3">
      <c r="A812" t="s">
        <v>2487</v>
      </c>
      <c r="B812" t="s">
        <v>2488</v>
      </c>
      <c r="C812" t="s">
        <v>2489</v>
      </c>
      <c r="D812" t="s">
        <v>2490</v>
      </c>
      <c r="E812" t="s">
        <v>2491</v>
      </c>
      <c r="F812">
        <v>0</v>
      </c>
      <c r="G812">
        <v>810</v>
      </c>
      <c r="H812">
        <f>IF(Table1[[#This Row],[my_ent_1]]=Table1[[#This Row],[their_ent_1]], 1, 0)</f>
        <v>0</v>
      </c>
      <c r="I812">
        <f>IF(Table1[[#This Row],[my_ent_2]]=Table1[[#This Row],[their_ent_2]], 1, 0)</f>
        <v>0</v>
      </c>
      <c r="J812">
        <f>IF(Table1[[#This Row],[same_1]]=1 &amp; Table1[[#This Row],[same_2]]=1, 1, 0)</f>
        <v>0</v>
      </c>
      <c r="K812">
        <f>IF(ISNUMBER(SEARCH(Table1[[#This Row],[their_ent_1]],Table1[[#This Row],[my_ent_1]])), 1, 0)</f>
        <v>0</v>
      </c>
      <c r="L812">
        <f>IF(ISNUMBER(SEARCH(Table1[[#This Row],[their_ent_2]],Table1[[#This Row],[my_ent_2]])), 1, 0)</f>
        <v>0</v>
      </c>
    </row>
    <row r="813" spans="1:12" hidden="1" x14ac:dyDescent="0.3">
      <c r="A813" t="s">
        <v>2492</v>
      </c>
      <c r="B813" t="s">
        <v>58</v>
      </c>
      <c r="C813" t="s">
        <v>58</v>
      </c>
      <c r="D813" t="s">
        <v>263</v>
      </c>
      <c r="E813" t="s">
        <v>15</v>
      </c>
      <c r="F813">
        <v>0</v>
      </c>
      <c r="G813">
        <v>811</v>
      </c>
      <c r="H813">
        <f>IF(Table1[[#This Row],[my_ent_1]]=Table1[[#This Row],[their_ent_1]], 1, 0)</f>
        <v>1</v>
      </c>
      <c r="I813">
        <f>IF(Table1[[#This Row],[my_ent_2]]=Table1[[#This Row],[their_ent_2]], 1, 0)</f>
        <v>0</v>
      </c>
      <c r="J813">
        <f>IF(Table1[[#This Row],[same_1]]=1 &amp; Table1[[#This Row],[same_2]]=1, 1, 0)</f>
        <v>0</v>
      </c>
      <c r="K813">
        <f>IF(ISNUMBER(SEARCH(Table1[[#This Row],[their_ent_1]],Table1[[#This Row],[my_ent_1]])), 1, 0)</f>
        <v>1</v>
      </c>
      <c r="L813">
        <f>IF(ISNUMBER(SEARCH(Table1[[#This Row],[their_ent_2]],Table1[[#This Row],[my_ent_2]])), 1, 0)</f>
        <v>0</v>
      </c>
    </row>
    <row r="814" spans="1:12" hidden="1" x14ac:dyDescent="0.3">
      <c r="A814" t="s">
        <v>2493</v>
      </c>
      <c r="B814" t="s">
        <v>2494</v>
      </c>
      <c r="C814" t="s">
        <v>170</v>
      </c>
      <c r="D814" t="s">
        <v>2495</v>
      </c>
      <c r="E814" t="s">
        <v>144</v>
      </c>
      <c r="F814">
        <v>0</v>
      </c>
      <c r="G814">
        <v>812</v>
      </c>
      <c r="H814">
        <f>IF(Table1[[#This Row],[my_ent_1]]=Table1[[#This Row],[their_ent_1]], 1, 0)</f>
        <v>0</v>
      </c>
      <c r="I814">
        <f>IF(Table1[[#This Row],[my_ent_2]]=Table1[[#This Row],[their_ent_2]], 1, 0)</f>
        <v>0</v>
      </c>
      <c r="J814">
        <f>IF(Table1[[#This Row],[same_1]]=1 &amp; Table1[[#This Row],[same_2]]=1, 1, 0)</f>
        <v>0</v>
      </c>
      <c r="K814">
        <f>IF(ISNUMBER(SEARCH(Table1[[#This Row],[their_ent_1]],Table1[[#This Row],[my_ent_1]])), 1, 0)</f>
        <v>0</v>
      </c>
      <c r="L814">
        <f>IF(ISNUMBER(SEARCH(Table1[[#This Row],[their_ent_2]],Table1[[#This Row],[my_ent_2]])), 1, 0)</f>
        <v>0</v>
      </c>
    </row>
    <row r="815" spans="1:12" hidden="1" x14ac:dyDescent="0.3">
      <c r="A815" t="s">
        <v>2496</v>
      </c>
      <c r="B815" t="s">
        <v>2497</v>
      </c>
      <c r="C815" t="s">
        <v>2497</v>
      </c>
      <c r="D815" t="s">
        <v>7</v>
      </c>
      <c r="E815" t="s">
        <v>2498</v>
      </c>
      <c r="F815">
        <v>0</v>
      </c>
      <c r="G815">
        <v>813</v>
      </c>
      <c r="H815">
        <f>IF(Table1[[#This Row],[my_ent_1]]=Table1[[#This Row],[their_ent_1]], 1, 0)</f>
        <v>1</v>
      </c>
      <c r="I815">
        <f>IF(Table1[[#This Row],[my_ent_2]]=Table1[[#This Row],[their_ent_2]], 1, 0)</f>
        <v>0</v>
      </c>
      <c r="J815">
        <f>IF(Table1[[#This Row],[same_1]]=1 &amp; Table1[[#This Row],[same_2]]=1, 1, 0)</f>
        <v>0</v>
      </c>
      <c r="K815">
        <f>IF(ISNUMBER(SEARCH(Table1[[#This Row],[their_ent_1]],Table1[[#This Row],[my_ent_1]])), 1, 0)</f>
        <v>1</v>
      </c>
      <c r="L815">
        <f>IF(ISNUMBER(SEARCH(Table1[[#This Row],[their_ent_2]],Table1[[#This Row],[my_ent_2]])), 1, 0)</f>
        <v>0</v>
      </c>
    </row>
    <row r="816" spans="1:12" hidden="1" x14ac:dyDescent="0.3">
      <c r="A816" t="s">
        <v>2499</v>
      </c>
      <c r="B816" t="s">
        <v>2500</v>
      </c>
      <c r="C816" t="s">
        <v>1073</v>
      </c>
      <c r="D816" t="s">
        <v>58</v>
      </c>
      <c r="E816" t="s">
        <v>2500</v>
      </c>
      <c r="F816">
        <v>0</v>
      </c>
      <c r="G816">
        <v>814</v>
      </c>
      <c r="H816">
        <f>IF(Table1[[#This Row],[my_ent_1]]=Table1[[#This Row],[their_ent_1]], 1, 0)</f>
        <v>0</v>
      </c>
      <c r="I816">
        <f>IF(Table1[[#This Row],[my_ent_2]]=Table1[[#This Row],[their_ent_2]], 1, 0)</f>
        <v>0</v>
      </c>
      <c r="J816">
        <f>IF(Table1[[#This Row],[same_1]]=1 &amp; Table1[[#This Row],[same_2]]=1, 1, 0)</f>
        <v>0</v>
      </c>
      <c r="K816">
        <f>IF(ISNUMBER(SEARCH(Table1[[#This Row],[their_ent_1]],Table1[[#This Row],[my_ent_1]])), 1, 0)</f>
        <v>0</v>
      </c>
      <c r="L816">
        <f>IF(ISNUMBER(SEARCH(Table1[[#This Row],[their_ent_2]],Table1[[#This Row],[my_ent_2]])), 1, 0)</f>
        <v>0</v>
      </c>
    </row>
    <row r="817" spans="1:12" hidden="1" x14ac:dyDescent="0.3">
      <c r="A817" t="s">
        <v>2501</v>
      </c>
      <c r="B817" t="s">
        <v>2502</v>
      </c>
      <c r="C817" t="s">
        <v>2502</v>
      </c>
      <c r="D817" t="s">
        <v>683</v>
      </c>
      <c r="E817" t="s">
        <v>2503</v>
      </c>
      <c r="F817">
        <v>0</v>
      </c>
      <c r="G817">
        <v>815</v>
      </c>
      <c r="H817">
        <f>IF(Table1[[#This Row],[my_ent_1]]=Table1[[#This Row],[their_ent_1]], 1, 0)</f>
        <v>1</v>
      </c>
      <c r="I817">
        <f>IF(Table1[[#This Row],[my_ent_2]]=Table1[[#This Row],[their_ent_2]], 1, 0)</f>
        <v>0</v>
      </c>
      <c r="J817">
        <f>IF(Table1[[#This Row],[same_1]]=1 &amp; Table1[[#This Row],[same_2]]=1, 1, 0)</f>
        <v>0</v>
      </c>
      <c r="K817">
        <f>IF(ISNUMBER(SEARCH(Table1[[#This Row],[their_ent_1]],Table1[[#This Row],[my_ent_1]])), 1, 0)</f>
        <v>1</v>
      </c>
      <c r="L817">
        <f>IF(ISNUMBER(SEARCH(Table1[[#This Row],[their_ent_2]],Table1[[#This Row],[my_ent_2]])), 1, 0)</f>
        <v>0</v>
      </c>
    </row>
    <row r="818" spans="1:12" hidden="1" x14ac:dyDescent="0.3">
      <c r="A818" t="s">
        <v>2504</v>
      </c>
      <c r="B818" t="s">
        <v>563</v>
      </c>
      <c r="C818" t="s">
        <v>2505</v>
      </c>
      <c r="D818" t="s">
        <v>352</v>
      </c>
      <c r="E818" t="s">
        <v>2506</v>
      </c>
      <c r="F818">
        <v>0</v>
      </c>
      <c r="G818">
        <v>816</v>
      </c>
      <c r="H818">
        <f>IF(Table1[[#This Row],[my_ent_1]]=Table1[[#This Row],[their_ent_1]], 1, 0)</f>
        <v>0</v>
      </c>
      <c r="I818">
        <f>IF(Table1[[#This Row],[my_ent_2]]=Table1[[#This Row],[their_ent_2]], 1, 0)</f>
        <v>0</v>
      </c>
      <c r="J818">
        <f>IF(Table1[[#This Row],[same_1]]=1 &amp; Table1[[#This Row],[same_2]]=1, 1, 0)</f>
        <v>0</v>
      </c>
      <c r="K818">
        <f>IF(ISNUMBER(SEARCH(Table1[[#This Row],[their_ent_1]],Table1[[#This Row],[my_ent_1]])), 1, 0)</f>
        <v>0</v>
      </c>
      <c r="L818">
        <f>IF(ISNUMBER(SEARCH(Table1[[#This Row],[their_ent_2]],Table1[[#This Row],[my_ent_2]])), 1, 0)</f>
        <v>0</v>
      </c>
    </row>
    <row r="819" spans="1:12" hidden="1" x14ac:dyDescent="0.3">
      <c r="A819" t="s">
        <v>2507</v>
      </c>
      <c r="B819" t="s">
        <v>2508</v>
      </c>
      <c r="C819" t="s">
        <v>2508</v>
      </c>
      <c r="D819" t="s">
        <v>7</v>
      </c>
      <c r="E819" t="s">
        <v>2509</v>
      </c>
      <c r="F819">
        <v>0</v>
      </c>
      <c r="G819">
        <v>817</v>
      </c>
      <c r="H819">
        <f>IF(Table1[[#This Row],[my_ent_1]]=Table1[[#This Row],[their_ent_1]], 1, 0)</f>
        <v>1</v>
      </c>
      <c r="I819">
        <f>IF(Table1[[#This Row],[my_ent_2]]=Table1[[#This Row],[their_ent_2]], 1, 0)</f>
        <v>0</v>
      </c>
      <c r="J819">
        <f>IF(Table1[[#This Row],[same_1]]=1 &amp; Table1[[#This Row],[same_2]]=1, 1, 0)</f>
        <v>0</v>
      </c>
      <c r="K819">
        <f>IF(ISNUMBER(SEARCH(Table1[[#This Row],[their_ent_1]],Table1[[#This Row],[my_ent_1]])), 1, 0)</f>
        <v>1</v>
      </c>
      <c r="L819">
        <f>IF(ISNUMBER(SEARCH(Table1[[#This Row],[their_ent_2]],Table1[[#This Row],[my_ent_2]])), 1, 0)</f>
        <v>0</v>
      </c>
    </row>
    <row r="820" spans="1:12" hidden="1" x14ac:dyDescent="0.3">
      <c r="A820" t="s">
        <v>2510</v>
      </c>
      <c r="B820" t="s">
        <v>2511</v>
      </c>
      <c r="C820" t="s">
        <v>225</v>
      </c>
      <c r="D820" t="s">
        <v>2512</v>
      </c>
      <c r="E820" t="s">
        <v>199</v>
      </c>
      <c r="F820">
        <v>0</v>
      </c>
      <c r="G820">
        <v>818</v>
      </c>
      <c r="H820">
        <f>IF(Table1[[#This Row],[my_ent_1]]=Table1[[#This Row],[their_ent_1]], 1, 0)</f>
        <v>0</v>
      </c>
      <c r="I820">
        <f>IF(Table1[[#This Row],[my_ent_2]]=Table1[[#This Row],[their_ent_2]], 1, 0)</f>
        <v>0</v>
      </c>
      <c r="J820">
        <f>IF(Table1[[#This Row],[same_1]]=1 &amp; Table1[[#This Row],[same_2]]=1, 1, 0)</f>
        <v>0</v>
      </c>
      <c r="K820">
        <f>IF(ISNUMBER(SEARCH(Table1[[#This Row],[their_ent_1]],Table1[[#This Row],[my_ent_1]])), 1, 0)</f>
        <v>0</v>
      </c>
      <c r="L820">
        <f>IF(ISNUMBER(SEARCH(Table1[[#This Row],[their_ent_2]],Table1[[#This Row],[my_ent_2]])), 1, 0)</f>
        <v>0</v>
      </c>
    </row>
    <row r="821" spans="1:12" hidden="1" x14ac:dyDescent="0.3">
      <c r="A821" t="s">
        <v>2513</v>
      </c>
      <c r="B821" t="s">
        <v>2514</v>
      </c>
      <c r="C821" t="s">
        <v>2514</v>
      </c>
      <c r="D821" t="s">
        <v>2515</v>
      </c>
      <c r="E821" t="s">
        <v>148</v>
      </c>
      <c r="F821">
        <v>0</v>
      </c>
      <c r="G821">
        <v>819</v>
      </c>
      <c r="H821">
        <f>IF(Table1[[#This Row],[my_ent_1]]=Table1[[#This Row],[their_ent_1]], 1, 0)</f>
        <v>1</v>
      </c>
      <c r="I821">
        <f>IF(Table1[[#This Row],[my_ent_2]]=Table1[[#This Row],[their_ent_2]], 1, 0)</f>
        <v>0</v>
      </c>
      <c r="J821">
        <f>IF(Table1[[#This Row],[same_1]]=1 &amp; Table1[[#This Row],[same_2]]=1, 1, 0)</f>
        <v>0</v>
      </c>
      <c r="K821">
        <f>IF(ISNUMBER(SEARCH(Table1[[#This Row],[their_ent_1]],Table1[[#This Row],[my_ent_1]])), 1, 0)</f>
        <v>1</v>
      </c>
      <c r="L821">
        <f>IF(ISNUMBER(SEARCH(Table1[[#This Row],[their_ent_2]],Table1[[#This Row],[my_ent_2]])), 1, 0)</f>
        <v>0</v>
      </c>
    </row>
    <row r="822" spans="1:12" hidden="1" x14ac:dyDescent="0.3">
      <c r="A822" t="s">
        <v>2516</v>
      </c>
      <c r="B822" t="s">
        <v>200</v>
      </c>
      <c r="C822" t="s">
        <v>2351</v>
      </c>
      <c r="D822" t="s">
        <v>859</v>
      </c>
      <c r="E822" t="s">
        <v>860</v>
      </c>
      <c r="F822">
        <v>0</v>
      </c>
      <c r="G822">
        <v>820</v>
      </c>
      <c r="H822">
        <f>IF(Table1[[#This Row],[my_ent_1]]=Table1[[#This Row],[their_ent_1]], 1, 0)</f>
        <v>0</v>
      </c>
      <c r="I822">
        <f>IF(Table1[[#This Row],[my_ent_2]]=Table1[[#This Row],[their_ent_2]], 1, 0)</f>
        <v>0</v>
      </c>
      <c r="J822">
        <f>IF(Table1[[#This Row],[same_1]]=1 &amp; Table1[[#This Row],[same_2]]=1, 1, 0)</f>
        <v>0</v>
      </c>
      <c r="K822">
        <f>IF(ISNUMBER(SEARCH(Table1[[#This Row],[their_ent_1]],Table1[[#This Row],[my_ent_1]])), 1, 0)</f>
        <v>0</v>
      </c>
      <c r="L822">
        <f>IF(ISNUMBER(SEARCH(Table1[[#This Row],[their_ent_2]],Table1[[#This Row],[my_ent_2]])), 1, 0)</f>
        <v>1</v>
      </c>
    </row>
    <row r="823" spans="1:12" x14ac:dyDescent="0.3">
      <c r="A823" t="s">
        <v>2517</v>
      </c>
      <c r="B823" t="s">
        <v>992</v>
      </c>
      <c r="C823" t="s">
        <v>993</v>
      </c>
      <c r="D823" t="s">
        <v>2518</v>
      </c>
      <c r="E823" t="s">
        <v>2518</v>
      </c>
      <c r="F823">
        <v>0</v>
      </c>
      <c r="G823">
        <v>821</v>
      </c>
      <c r="H823">
        <f>IF(Table1[[#This Row],[my_ent_1]]=Table1[[#This Row],[their_ent_1]], 1, 0)</f>
        <v>0</v>
      </c>
      <c r="I823">
        <f>IF(Table1[[#This Row],[my_ent_2]]=Table1[[#This Row],[their_ent_2]], 1, 0)</f>
        <v>1</v>
      </c>
      <c r="J823">
        <f>IF(Table1[[#This Row],[same_1]]=1 &amp; Table1[[#This Row],[same_2]]=1, 1, 0)</f>
        <v>0</v>
      </c>
      <c r="K823">
        <f>IF(ISNUMBER(SEARCH(Table1[[#This Row],[their_ent_1]],Table1[[#This Row],[my_ent_1]])), 1, 0)</f>
        <v>1</v>
      </c>
      <c r="L823">
        <f>IF(ISNUMBER(SEARCH(Table1[[#This Row],[their_ent_2]],Table1[[#This Row],[my_ent_2]])), 1, 0)</f>
        <v>1</v>
      </c>
    </row>
    <row r="824" spans="1:12" hidden="1" x14ac:dyDescent="0.3">
      <c r="A824" t="s">
        <v>2519</v>
      </c>
      <c r="B824" t="s">
        <v>2520</v>
      </c>
      <c r="C824" t="s">
        <v>225</v>
      </c>
      <c r="D824" t="s">
        <v>2521</v>
      </c>
      <c r="E824" t="s">
        <v>2522</v>
      </c>
      <c r="F824">
        <v>0</v>
      </c>
      <c r="G824">
        <v>822</v>
      </c>
      <c r="H824">
        <f>IF(Table1[[#This Row],[my_ent_1]]=Table1[[#This Row],[their_ent_1]], 1, 0)</f>
        <v>0</v>
      </c>
      <c r="I824">
        <f>IF(Table1[[#This Row],[my_ent_2]]=Table1[[#This Row],[their_ent_2]], 1, 0)</f>
        <v>0</v>
      </c>
      <c r="J824">
        <f>IF(Table1[[#This Row],[same_1]]=1 &amp; Table1[[#This Row],[same_2]]=1, 1, 0)</f>
        <v>0</v>
      </c>
      <c r="K824">
        <f>IF(ISNUMBER(SEARCH(Table1[[#This Row],[their_ent_1]],Table1[[#This Row],[my_ent_1]])), 1, 0)</f>
        <v>0</v>
      </c>
      <c r="L824">
        <f>IF(ISNUMBER(SEARCH(Table1[[#This Row],[their_ent_2]],Table1[[#This Row],[my_ent_2]])), 1, 0)</f>
        <v>0</v>
      </c>
    </row>
    <row r="825" spans="1:12" hidden="1" x14ac:dyDescent="0.3">
      <c r="A825" t="s">
        <v>2523</v>
      </c>
      <c r="B825" t="s">
        <v>2524</v>
      </c>
      <c r="C825" t="s">
        <v>2525</v>
      </c>
      <c r="D825" t="s">
        <v>2526</v>
      </c>
      <c r="E825" t="s">
        <v>58</v>
      </c>
      <c r="F825">
        <v>0</v>
      </c>
      <c r="G825">
        <v>823</v>
      </c>
      <c r="H825">
        <f>IF(Table1[[#This Row],[my_ent_1]]=Table1[[#This Row],[their_ent_1]], 1, 0)</f>
        <v>0</v>
      </c>
      <c r="I825">
        <f>IF(Table1[[#This Row],[my_ent_2]]=Table1[[#This Row],[their_ent_2]], 1, 0)</f>
        <v>0</v>
      </c>
      <c r="J825">
        <f>IF(Table1[[#This Row],[same_1]]=1 &amp; Table1[[#This Row],[same_2]]=1, 1, 0)</f>
        <v>0</v>
      </c>
      <c r="K825">
        <f>IF(ISNUMBER(SEARCH(Table1[[#This Row],[their_ent_1]],Table1[[#This Row],[my_ent_1]])), 1, 0)</f>
        <v>0</v>
      </c>
      <c r="L825">
        <f>IF(ISNUMBER(SEARCH(Table1[[#This Row],[their_ent_2]],Table1[[#This Row],[my_ent_2]])), 1, 0)</f>
        <v>0</v>
      </c>
    </row>
    <row r="826" spans="1:12" hidden="1" x14ac:dyDescent="0.3">
      <c r="A826" t="s">
        <v>2527</v>
      </c>
      <c r="B826" t="s">
        <v>2528</v>
      </c>
      <c r="C826" t="s">
        <v>30</v>
      </c>
      <c r="D826" t="s">
        <v>1518</v>
      </c>
      <c r="E826" t="s">
        <v>196</v>
      </c>
      <c r="F826">
        <v>0</v>
      </c>
      <c r="G826">
        <v>824</v>
      </c>
      <c r="H826">
        <f>IF(Table1[[#This Row],[my_ent_1]]=Table1[[#This Row],[their_ent_1]], 1, 0)</f>
        <v>0</v>
      </c>
      <c r="I826">
        <f>IF(Table1[[#This Row],[my_ent_2]]=Table1[[#This Row],[their_ent_2]], 1, 0)</f>
        <v>0</v>
      </c>
      <c r="J826">
        <f>IF(Table1[[#This Row],[same_1]]=1 &amp; Table1[[#This Row],[same_2]]=1, 1, 0)</f>
        <v>0</v>
      </c>
      <c r="K826">
        <f>IF(ISNUMBER(SEARCH(Table1[[#This Row],[their_ent_1]],Table1[[#This Row],[my_ent_1]])), 1, 0)</f>
        <v>1</v>
      </c>
      <c r="L826">
        <f>IF(ISNUMBER(SEARCH(Table1[[#This Row],[their_ent_2]],Table1[[#This Row],[my_ent_2]])), 1, 0)</f>
        <v>0</v>
      </c>
    </row>
    <row r="827" spans="1:12" hidden="1" x14ac:dyDescent="0.3">
      <c r="A827" t="s">
        <v>2529</v>
      </c>
      <c r="B827" t="s">
        <v>2530</v>
      </c>
      <c r="C827" t="s">
        <v>2531</v>
      </c>
      <c r="D827" t="s">
        <v>62</v>
      </c>
      <c r="E827" t="s">
        <v>1241</v>
      </c>
      <c r="F827">
        <v>0</v>
      </c>
      <c r="G827">
        <v>825</v>
      </c>
      <c r="H827">
        <f>IF(Table1[[#This Row],[my_ent_1]]=Table1[[#This Row],[their_ent_1]], 1, 0)</f>
        <v>0</v>
      </c>
      <c r="I827">
        <f>IF(Table1[[#This Row],[my_ent_2]]=Table1[[#This Row],[their_ent_2]], 1, 0)</f>
        <v>0</v>
      </c>
      <c r="J827">
        <f>IF(Table1[[#This Row],[same_1]]=1 &amp; Table1[[#This Row],[same_2]]=1, 1, 0)</f>
        <v>0</v>
      </c>
      <c r="K827">
        <f>IF(ISNUMBER(SEARCH(Table1[[#This Row],[their_ent_1]],Table1[[#This Row],[my_ent_1]])), 1, 0)</f>
        <v>0</v>
      </c>
      <c r="L827">
        <f>IF(ISNUMBER(SEARCH(Table1[[#This Row],[their_ent_2]],Table1[[#This Row],[my_ent_2]])), 1, 0)</f>
        <v>0</v>
      </c>
    </row>
    <row r="828" spans="1:12" hidden="1" x14ac:dyDescent="0.3">
      <c r="A828" t="s">
        <v>787</v>
      </c>
      <c r="B828" t="s">
        <v>54</v>
      </c>
      <c r="C828" t="s">
        <v>80</v>
      </c>
      <c r="D828" t="s">
        <v>54</v>
      </c>
      <c r="E828" t="s">
        <v>788</v>
      </c>
      <c r="F828">
        <v>0</v>
      </c>
      <c r="G828">
        <v>826</v>
      </c>
      <c r="H828">
        <f>IF(Table1[[#This Row],[my_ent_1]]=Table1[[#This Row],[their_ent_1]], 1, 0)</f>
        <v>0</v>
      </c>
      <c r="I828">
        <f>IF(Table1[[#This Row],[my_ent_2]]=Table1[[#This Row],[their_ent_2]], 1, 0)</f>
        <v>0</v>
      </c>
      <c r="J828">
        <f>IF(Table1[[#This Row],[same_1]]=1 &amp; Table1[[#This Row],[same_2]]=1, 1, 0)</f>
        <v>0</v>
      </c>
      <c r="K828">
        <f>IF(ISNUMBER(SEARCH(Table1[[#This Row],[their_ent_1]],Table1[[#This Row],[my_ent_1]])), 1, 0)</f>
        <v>0</v>
      </c>
      <c r="L828">
        <f>IF(ISNUMBER(SEARCH(Table1[[#This Row],[their_ent_2]],Table1[[#This Row],[my_ent_2]])), 1, 0)</f>
        <v>0</v>
      </c>
    </row>
    <row r="829" spans="1:12" hidden="1" x14ac:dyDescent="0.3">
      <c r="A829" t="s">
        <v>2532</v>
      </c>
      <c r="B829" t="s">
        <v>212</v>
      </c>
      <c r="C829" t="s">
        <v>563</v>
      </c>
      <c r="D829" t="s">
        <v>432</v>
      </c>
      <c r="E829" t="s">
        <v>432</v>
      </c>
      <c r="F829">
        <v>0</v>
      </c>
      <c r="G829">
        <v>827</v>
      </c>
      <c r="H829">
        <f>IF(Table1[[#This Row],[my_ent_1]]=Table1[[#This Row],[their_ent_1]], 1, 0)</f>
        <v>0</v>
      </c>
      <c r="I829">
        <f>IF(Table1[[#This Row],[my_ent_2]]=Table1[[#This Row],[their_ent_2]], 1, 0)</f>
        <v>1</v>
      </c>
      <c r="J829">
        <f>IF(Table1[[#This Row],[same_1]]=1 &amp; Table1[[#This Row],[same_2]]=1, 1, 0)</f>
        <v>0</v>
      </c>
      <c r="K829">
        <f>IF(ISNUMBER(SEARCH(Table1[[#This Row],[their_ent_1]],Table1[[#This Row],[my_ent_1]])), 1, 0)</f>
        <v>0</v>
      </c>
      <c r="L829">
        <f>IF(ISNUMBER(SEARCH(Table1[[#This Row],[their_ent_2]],Table1[[#This Row],[my_ent_2]])), 1, 0)</f>
        <v>1</v>
      </c>
    </row>
    <row r="830" spans="1:12" hidden="1" x14ac:dyDescent="0.3">
      <c r="A830" t="s">
        <v>2533</v>
      </c>
      <c r="B830" t="s">
        <v>2534</v>
      </c>
      <c r="C830" t="s">
        <v>2535</v>
      </c>
      <c r="D830" t="s">
        <v>2536</v>
      </c>
      <c r="E830" t="s">
        <v>2536</v>
      </c>
      <c r="F830">
        <v>0</v>
      </c>
      <c r="G830">
        <v>828</v>
      </c>
      <c r="H830">
        <f>IF(Table1[[#This Row],[my_ent_1]]=Table1[[#This Row],[their_ent_1]], 1, 0)</f>
        <v>0</v>
      </c>
      <c r="I830">
        <f>IF(Table1[[#This Row],[my_ent_2]]=Table1[[#This Row],[their_ent_2]], 1, 0)</f>
        <v>1</v>
      </c>
      <c r="J830">
        <f>IF(Table1[[#This Row],[same_1]]=1 &amp; Table1[[#This Row],[same_2]]=1, 1, 0)</f>
        <v>0</v>
      </c>
      <c r="K830">
        <f>IF(ISNUMBER(SEARCH(Table1[[#This Row],[their_ent_1]],Table1[[#This Row],[my_ent_1]])), 1, 0)</f>
        <v>0</v>
      </c>
      <c r="L830">
        <f>IF(ISNUMBER(SEARCH(Table1[[#This Row],[their_ent_2]],Table1[[#This Row],[my_ent_2]])), 1, 0)</f>
        <v>1</v>
      </c>
    </row>
    <row r="831" spans="1:12" x14ac:dyDescent="0.3">
      <c r="A831" t="s">
        <v>2537</v>
      </c>
      <c r="B831" t="s">
        <v>126</v>
      </c>
      <c r="C831" t="s">
        <v>882</v>
      </c>
      <c r="D831" t="s">
        <v>2538</v>
      </c>
      <c r="E831" t="s">
        <v>883</v>
      </c>
      <c r="F831">
        <v>0</v>
      </c>
      <c r="G831">
        <v>829</v>
      </c>
      <c r="H831">
        <f>IF(Table1[[#This Row],[my_ent_1]]=Table1[[#This Row],[their_ent_1]], 1, 0)</f>
        <v>0</v>
      </c>
      <c r="I831">
        <f>IF(Table1[[#This Row],[my_ent_2]]=Table1[[#This Row],[their_ent_2]], 1, 0)</f>
        <v>0</v>
      </c>
      <c r="J831">
        <f>IF(Table1[[#This Row],[same_1]]=1 &amp; Table1[[#This Row],[same_2]]=1, 1, 0)</f>
        <v>0</v>
      </c>
      <c r="K831">
        <f>IF(ISNUMBER(SEARCH(Table1[[#This Row],[their_ent_1]],Table1[[#This Row],[my_ent_1]])), 1, 0)</f>
        <v>1</v>
      </c>
      <c r="L831">
        <f>IF(ISNUMBER(SEARCH(Table1[[#This Row],[their_ent_2]],Table1[[#This Row],[my_ent_2]])), 1, 0)</f>
        <v>1</v>
      </c>
    </row>
    <row r="832" spans="1:12" x14ac:dyDescent="0.3">
      <c r="A832" t="s">
        <v>2539</v>
      </c>
      <c r="B832" t="s">
        <v>1761</v>
      </c>
      <c r="C832" t="s">
        <v>121</v>
      </c>
      <c r="D832" t="s">
        <v>241</v>
      </c>
      <c r="E832" t="s">
        <v>34</v>
      </c>
      <c r="F832">
        <v>0</v>
      </c>
      <c r="G832">
        <v>830</v>
      </c>
      <c r="H832">
        <f>IF(Table1[[#This Row],[my_ent_1]]=Table1[[#This Row],[their_ent_1]], 1, 0)</f>
        <v>0</v>
      </c>
      <c r="I832">
        <f>IF(Table1[[#This Row],[my_ent_2]]=Table1[[#This Row],[their_ent_2]], 1, 0)</f>
        <v>0</v>
      </c>
      <c r="J832">
        <f>IF(Table1[[#This Row],[same_1]]=1 &amp; Table1[[#This Row],[same_2]]=1, 1, 0)</f>
        <v>0</v>
      </c>
      <c r="K832">
        <f>IF(ISNUMBER(SEARCH(Table1[[#This Row],[their_ent_1]],Table1[[#This Row],[my_ent_1]])), 1, 0)</f>
        <v>1</v>
      </c>
      <c r="L832">
        <f>IF(ISNUMBER(SEARCH(Table1[[#This Row],[their_ent_2]],Table1[[#This Row],[my_ent_2]])), 1, 0)</f>
        <v>1</v>
      </c>
    </row>
    <row r="833" spans="1:12" hidden="1" x14ac:dyDescent="0.3">
      <c r="A833" t="s">
        <v>2540</v>
      </c>
      <c r="B833" t="s">
        <v>2511</v>
      </c>
      <c r="C833" t="s">
        <v>2541</v>
      </c>
      <c r="D833" t="s">
        <v>58</v>
      </c>
      <c r="E833" t="s">
        <v>2542</v>
      </c>
      <c r="F833">
        <v>0</v>
      </c>
      <c r="G833">
        <v>831</v>
      </c>
      <c r="H833">
        <f>IF(Table1[[#This Row],[my_ent_1]]=Table1[[#This Row],[their_ent_1]], 1, 0)</f>
        <v>0</v>
      </c>
      <c r="I833">
        <f>IF(Table1[[#This Row],[my_ent_2]]=Table1[[#This Row],[their_ent_2]], 1, 0)</f>
        <v>0</v>
      </c>
      <c r="J833">
        <f>IF(Table1[[#This Row],[same_1]]=1 &amp; Table1[[#This Row],[same_2]]=1, 1, 0)</f>
        <v>0</v>
      </c>
      <c r="K833">
        <f>IF(ISNUMBER(SEARCH(Table1[[#This Row],[their_ent_1]],Table1[[#This Row],[my_ent_1]])), 1, 0)</f>
        <v>0</v>
      </c>
      <c r="L833">
        <f>IF(ISNUMBER(SEARCH(Table1[[#This Row],[their_ent_2]],Table1[[#This Row],[my_ent_2]])), 1, 0)</f>
        <v>0</v>
      </c>
    </row>
    <row r="834" spans="1:12" hidden="1" x14ac:dyDescent="0.3">
      <c r="A834" t="s">
        <v>2543</v>
      </c>
      <c r="B834" t="s">
        <v>2544</v>
      </c>
      <c r="C834" t="s">
        <v>2545</v>
      </c>
      <c r="D834" t="s">
        <v>2546</v>
      </c>
      <c r="E834" t="s">
        <v>2547</v>
      </c>
      <c r="F834">
        <v>0</v>
      </c>
      <c r="G834">
        <v>832</v>
      </c>
      <c r="H834">
        <f>IF(Table1[[#This Row],[my_ent_1]]=Table1[[#This Row],[their_ent_1]], 1, 0)</f>
        <v>0</v>
      </c>
      <c r="I834">
        <f>IF(Table1[[#This Row],[my_ent_2]]=Table1[[#This Row],[their_ent_2]], 1, 0)</f>
        <v>0</v>
      </c>
      <c r="J834">
        <f>IF(Table1[[#This Row],[same_1]]=1 &amp; Table1[[#This Row],[same_2]]=1, 1, 0)</f>
        <v>0</v>
      </c>
      <c r="K834">
        <f>IF(ISNUMBER(SEARCH(Table1[[#This Row],[their_ent_1]],Table1[[#This Row],[my_ent_1]])), 1, 0)</f>
        <v>0</v>
      </c>
      <c r="L834">
        <f>IF(ISNUMBER(SEARCH(Table1[[#This Row],[their_ent_2]],Table1[[#This Row],[my_ent_2]])), 1, 0)</f>
        <v>0</v>
      </c>
    </row>
    <row r="835" spans="1:12" hidden="1" x14ac:dyDescent="0.3">
      <c r="A835" t="s">
        <v>2548</v>
      </c>
      <c r="B835" t="s">
        <v>2549</v>
      </c>
      <c r="C835" t="s">
        <v>2550</v>
      </c>
      <c r="D835" t="s">
        <v>2550</v>
      </c>
      <c r="E835" t="s">
        <v>2551</v>
      </c>
      <c r="F835">
        <v>0</v>
      </c>
      <c r="G835">
        <v>833</v>
      </c>
      <c r="H835">
        <f>IF(Table1[[#This Row],[my_ent_1]]=Table1[[#This Row],[their_ent_1]], 1, 0)</f>
        <v>0</v>
      </c>
      <c r="I835">
        <f>IF(Table1[[#This Row],[my_ent_2]]=Table1[[#This Row],[their_ent_2]], 1, 0)</f>
        <v>0</v>
      </c>
      <c r="J835">
        <f>IF(Table1[[#This Row],[same_1]]=1 &amp; Table1[[#This Row],[same_2]]=1, 1, 0)</f>
        <v>0</v>
      </c>
      <c r="K835">
        <f>IF(ISNUMBER(SEARCH(Table1[[#This Row],[their_ent_1]],Table1[[#This Row],[my_ent_1]])), 1, 0)</f>
        <v>0</v>
      </c>
      <c r="L835">
        <f>IF(ISNUMBER(SEARCH(Table1[[#This Row],[their_ent_2]],Table1[[#This Row],[my_ent_2]])), 1, 0)</f>
        <v>0</v>
      </c>
    </row>
    <row r="836" spans="1:12" hidden="1" x14ac:dyDescent="0.3">
      <c r="A836" t="s">
        <v>2552</v>
      </c>
      <c r="B836" t="s">
        <v>2553</v>
      </c>
      <c r="C836" t="s">
        <v>2554</v>
      </c>
      <c r="D836" t="s">
        <v>2554</v>
      </c>
      <c r="E836" t="s">
        <v>34</v>
      </c>
      <c r="F836">
        <v>0</v>
      </c>
      <c r="G836">
        <v>834</v>
      </c>
      <c r="H836">
        <f>IF(Table1[[#This Row],[my_ent_1]]=Table1[[#This Row],[their_ent_1]], 1, 0)</f>
        <v>0</v>
      </c>
      <c r="I836">
        <f>IF(Table1[[#This Row],[my_ent_2]]=Table1[[#This Row],[their_ent_2]], 1, 0)</f>
        <v>0</v>
      </c>
      <c r="J836">
        <f>IF(Table1[[#This Row],[same_1]]=1 &amp; Table1[[#This Row],[same_2]]=1, 1, 0)</f>
        <v>0</v>
      </c>
      <c r="K836">
        <f>IF(ISNUMBER(SEARCH(Table1[[#This Row],[their_ent_1]],Table1[[#This Row],[my_ent_1]])), 1, 0)</f>
        <v>0</v>
      </c>
      <c r="L836">
        <f>IF(ISNUMBER(SEARCH(Table1[[#This Row],[their_ent_2]],Table1[[#This Row],[my_ent_2]])), 1, 0)</f>
        <v>0</v>
      </c>
    </row>
    <row r="837" spans="1:12" x14ac:dyDescent="0.3">
      <c r="A837" t="s">
        <v>2555</v>
      </c>
      <c r="B837" t="s">
        <v>654</v>
      </c>
      <c r="C837" t="s">
        <v>7</v>
      </c>
      <c r="D837" t="s">
        <v>1975</v>
      </c>
      <c r="E837" t="s">
        <v>1975</v>
      </c>
      <c r="F837">
        <v>0</v>
      </c>
      <c r="G837">
        <v>835</v>
      </c>
      <c r="H837">
        <f>IF(Table1[[#This Row],[my_ent_1]]=Table1[[#This Row],[their_ent_1]], 1, 0)</f>
        <v>0</v>
      </c>
      <c r="I837">
        <f>IF(Table1[[#This Row],[my_ent_2]]=Table1[[#This Row],[their_ent_2]], 1, 0)</f>
        <v>1</v>
      </c>
      <c r="J837">
        <f>IF(Table1[[#This Row],[same_1]]=1 &amp; Table1[[#This Row],[same_2]]=1, 1, 0)</f>
        <v>0</v>
      </c>
      <c r="K837">
        <f>IF(ISNUMBER(SEARCH(Table1[[#This Row],[their_ent_1]],Table1[[#This Row],[my_ent_1]])), 1, 0)</f>
        <v>1</v>
      </c>
      <c r="L837">
        <f>IF(ISNUMBER(SEARCH(Table1[[#This Row],[their_ent_2]],Table1[[#This Row],[my_ent_2]])), 1, 0)</f>
        <v>1</v>
      </c>
    </row>
    <row r="838" spans="1:12" hidden="1" x14ac:dyDescent="0.3">
      <c r="A838" t="s">
        <v>2556</v>
      </c>
      <c r="B838" t="s">
        <v>2490</v>
      </c>
      <c r="C838" t="s">
        <v>2489</v>
      </c>
      <c r="D838" t="s">
        <v>94</v>
      </c>
      <c r="E838" t="s">
        <v>2557</v>
      </c>
      <c r="F838">
        <v>0</v>
      </c>
      <c r="G838">
        <v>836</v>
      </c>
      <c r="H838">
        <f>IF(Table1[[#This Row],[my_ent_1]]=Table1[[#This Row],[their_ent_1]], 1, 0)</f>
        <v>0</v>
      </c>
      <c r="I838">
        <f>IF(Table1[[#This Row],[my_ent_2]]=Table1[[#This Row],[their_ent_2]], 1, 0)</f>
        <v>0</v>
      </c>
      <c r="J838">
        <f>IF(Table1[[#This Row],[same_1]]=1 &amp; Table1[[#This Row],[same_2]]=1, 1, 0)</f>
        <v>0</v>
      </c>
      <c r="K838">
        <f>IF(ISNUMBER(SEARCH(Table1[[#This Row],[their_ent_1]],Table1[[#This Row],[my_ent_1]])), 1, 0)</f>
        <v>0</v>
      </c>
      <c r="L838">
        <f>IF(ISNUMBER(SEARCH(Table1[[#This Row],[their_ent_2]],Table1[[#This Row],[my_ent_2]])), 1, 0)</f>
        <v>0</v>
      </c>
    </row>
    <row r="839" spans="1:12" hidden="1" x14ac:dyDescent="0.3">
      <c r="A839" t="s">
        <v>2558</v>
      </c>
      <c r="B839" t="s">
        <v>2559</v>
      </c>
      <c r="C839" t="s">
        <v>2560</v>
      </c>
      <c r="D839" t="s">
        <v>2561</v>
      </c>
      <c r="E839" t="s">
        <v>2562</v>
      </c>
      <c r="F839">
        <v>0</v>
      </c>
      <c r="G839">
        <v>837</v>
      </c>
      <c r="H839">
        <f>IF(Table1[[#This Row],[my_ent_1]]=Table1[[#This Row],[their_ent_1]], 1, 0)</f>
        <v>0</v>
      </c>
      <c r="I839">
        <f>IF(Table1[[#This Row],[my_ent_2]]=Table1[[#This Row],[their_ent_2]], 1, 0)</f>
        <v>0</v>
      </c>
      <c r="J839">
        <f>IF(Table1[[#This Row],[same_1]]=1 &amp; Table1[[#This Row],[same_2]]=1, 1, 0)</f>
        <v>0</v>
      </c>
      <c r="K839">
        <f>IF(ISNUMBER(SEARCH(Table1[[#This Row],[their_ent_1]],Table1[[#This Row],[my_ent_1]])), 1, 0)</f>
        <v>0</v>
      </c>
      <c r="L839">
        <f>IF(ISNUMBER(SEARCH(Table1[[#This Row],[their_ent_2]],Table1[[#This Row],[my_ent_2]])), 1, 0)</f>
        <v>0</v>
      </c>
    </row>
    <row r="840" spans="1:12" x14ac:dyDescent="0.3">
      <c r="A840" t="s">
        <v>2563</v>
      </c>
      <c r="B840" t="s">
        <v>2564</v>
      </c>
      <c r="C840" t="s">
        <v>2564</v>
      </c>
      <c r="D840" t="s">
        <v>28</v>
      </c>
      <c r="E840" t="s">
        <v>58</v>
      </c>
      <c r="F840">
        <v>0</v>
      </c>
      <c r="G840">
        <v>838</v>
      </c>
      <c r="H840">
        <f>IF(Table1[[#This Row],[my_ent_1]]=Table1[[#This Row],[their_ent_1]], 1, 0)</f>
        <v>1</v>
      </c>
      <c r="I840">
        <f>IF(Table1[[#This Row],[my_ent_2]]=Table1[[#This Row],[their_ent_2]], 1, 0)</f>
        <v>0</v>
      </c>
      <c r="J840">
        <f>IF(Table1[[#This Row],[same_1]]=1 &amp; Table1[[#This Row],[same_2]]=1, 1, 0)</f>
        <v>0</v>
      </c>
      <c r="K840">
        <f>IF(ISNUMBER(SEARCH(Table1[[#This Row],[their_ent_1]],Table1[[#This Row],[my_ent_1]])), 1, 0)</f>
        <v>1</v>
      </c>
      <c r="L840">
        <f>IF(ISNUMBER(SEARCH(Table1[[#This Row],[their_ent_2]],Table1[[#This Row],[my_ent_2]])), 1, 0)</f>
        <v>1</v>
      </c>
    </row>
    <row r="841" spans="1:12" hidden="1" x14ac:dyDescent="0.3">
      <c r="A841" t="s">
        <v>2565</v>
      </c>
      <c r="B841" t="s">
        <v>2566</v>
      </c>
      <c r="C841" t="s">
        <v>2567</v>
      </c>
      <c r="D841" t="s">
        <v>54</v>
      </c>
      <c r="E841" t="s">
        <v>2568</v>
      </c>
      <c r="F841">
        <v>1</v>
      </c>
      <c r="G841">
        <v>839</v>
      </c>
      <c r="H841">
        <f>IF(Table1[[#This Row],[my_ent_1]]=Table1[[#This Row],[their_ent_1]], 1, 0)</f>
        <v>0</v>
      </c>
      <c r="I841">
        <f>IF(Table1[[#This Row],[my_ent_2]]=Table1[[#This Row],[their_ent_2]], 1, 0)</f>
        <v>0</v>
      </c>
      <c r="J841">
        <f>IF(Table1[[#This Row],[same_1]]=1 &amp; Table1[[#This Row],[same_2]]=1, 1, 0)</f>
        <v>0</v>
      </c>
      <c r="K841">
        <f>IF(ISNUMBER(SEARCH(Table1[[#This Row],[their_ent_1]],Table1[[#This Row],[my_ent_1]])), 1, 0)</f>
        <v>0</v>
      </c>
      <c r="L841">
        <f>IF(ISNUMBER(SEARCH(Table1[[#This Row],[their_ent_2]],Table1[[#This Row],[my_ent_2]])), 1, 0)</f>
        <v>0</v>
      </c>
    </row>
    <row r="842" spans="1:12" hidden="1" x14ac:dyDescent="0.3">
      <c r="A842" t="s">
        <v>2569</v>
      </c>
      <c r="B842" t="s">
        <v>1046</v>
      </c>
      <c r="C842" t="s">
        <v>1046</v>
      </c>
      <c r="D842" t="s">
        <v>2570</v>
      </c>
      <c r="E842" t="s">
        <v>754</v>
      </c>
      <c r="F842">
        <v>1</v>
      </c>
      <c r="G842">
        <v>840</v>
      </c>
      <c r="H842">
        <f>IF(Table1[[#This Row],[my_ent_1]]=Table1[[#This Row],[their_ent_1]], 1, 0)</f>
        <v>1</v>
      </c>
      <c r="I842">
        <f>IF(Table1[[#This Row],[my_ent_2]]=Table1[[#This Row],[their_ent_2]], 1, 0)</f>
        <v>0</v>
      </c>
      <c r="J842">
        <f>IF(Table1[[#This Row],[same_1]]=1 &amp; Table1[[#This Row],[same_2]]=1, 1, 0)</f>
        <v>0</v>
      </c>
      <c r="K842">
        <f>IF(ISNUMBER(SEARCH(Table1[[#This Row],[their_ent_1]],Table1[[#This Row],[my_ent_1]])), 1, 0)</f>
        <v>1</v>
      </c>
      <c r="L842">
        <f>IF(ISNUMBER(SEARCH(Table1[[#This Row],[their_ent_2]],Table1[[#This Row],[my_ent_2]])), 1, 0)</f>
        <v>0</v>
      </c>
    </row>
    <row r="843" spans="1:12" x14ac:dyDescent="0.3">
      <c r="A843" t="s">
        <v>2571</v>
      </c>
      <c r="B843" t="s">
        <v>121</v>
      </c>
      <c r="C843" t="s">
        <v>121</v>
      </c>
      <c r="D843" t="s">
        <v>2572</v>
      </c>
      <c r="E843" t="s">
        <v>2573</v>
      </c>
      <c r="F843">
        <v>1</v>
      </c>
      <c r="G843">
        <v>841</v>
      </c>
      <c r="H843">
        <f>IF(Table1[[#This Row],[my_ent_1]]=Table1[[#This Row],[their_ent_1]], 1, 0)</f>
        <v>1</v>
      </c>
      <c r="I843">
        <f>IF(Table1[[#This Row],[my_ent_2]]=Table1[[#This Row],[their_ent_2]], 1, 0)</f>
        <v>0</v>
      </c>
      <c r="J843">
        <f>IF(Table1[[#This Row],[same_1]]=1 &amp; Table1[[#This Row],[same_2]]=1, 1, 0)</f>
        <v>0</v>
      </c>
      <c r="K843">
        <f>IF(ISNUMBER(SEARCH(Table1[[#This Row],[their_ent_1]],Table1[[#This Row],[my_ent_1]])), 1, 0)</f>
        <v>1</v>
      </c>
      <c r="L843">
        <f>IF(ISNUMBER(SEARCH(Table1[[#This Row],[their_ent_2]],Table1[[#This Row],[my_ent_2]])), 1, 0)</f>
        <v>1</v>
      </c>
    </row>
    <row r="844" spans="1:12" hidden="1" x14ac:dyDescent="0.3">
      <c r="A844" t="s">
        <v>2574</v>
      </c>
      <c r="B844" t="s">
        <v>2575</v>
      </c>
      <c r="C844" t="s">
        <v>2575</v>
      </c>
      <c r="D844" t="s">
        <v>2497</v>
      </c>
      <c r="E844" t="s">
        <v>2576</v>
      </c>
      <c r="F844">
        <v>1</v>
      </c>
      <c r="G844">
        <v>842</v>
      </c>
      <c r="H844">
        <f>IF(Table1[[#This Row],[my_ent_1]]=Table1[[#This Row],[their_ent_1]], 1, 0)</f>
        <v>1</v>
      </c>
      <c r="I844">
        <f>IF(Table1[[#This Row],[my_ent_2]]=Table1[[#This Row],[their_ent_2]], 1, 0)</f>
        <v>0</v>
      </c>
      <c r="J844">
        <f>IF(Table1[[#This Row],[same_1]]=1 &amp; Table1[[#This Row],[same_2]]=1, 1, 0)</f>
        <v>0</v>
      </c>
      <c r="K844">
        <f>IF(ISNUMBER(SEARCH(Table1[[#This Row],[their_ent_1]],Table1[[#This Row],[my_ent_1]])), 1, 0)</f>
        <v>1</v>
      </c>
      <c r="L844">
        <f>IF(ISNUMBER(SEARCH(Table1[[#This Row],[their_ent_2]],Table1[[#This Row],[my_ent_2]])), 1, 0)</f>
        <v>0</v>
      </c>
    </row>
    <row r="845" spans="1:12" x14ac:dyDescent="0.3">
      <c r="A845" t="s">
        <v>2577</v>
      </c>
      <c r="B845" t="s">
        <v>1024</v>
      </c>
      <c r="C845" t="s">
        <v>1025</v>
      </c>
      <c r="D845" t="s">
        <v>2578</v>
      </c>
      <c r="E845" t="s">
        <v>2579</v>
      </c>
      <c r="F845">
        <v>1</v>
      </c>
      <c r="G845">
        <v>843</v>
      </c>
      <c r="H845">
        <f>IF(Table1[[#This Row],[my_ent_1]]=Table1[[#This Row],[their_ent_1]], 1, 0)</f>
        <v>0</v>
      </c>
      <c r="I845">
        <f>IF(Table1[[#This Row],[my_ent_2]]=Table1[[#This Row],[their_ent_2]], 1, 0)</f>
        <v>0</v>
      </c>
      <c r="J845">
        <f>IF(Table1[[#This Row],[same_1]]=1 &amp; Table1[[#This Row],[same_2]]=1, 1, 0)</f>
        <v>0</v>
      </c>
      <c r="K845">
        <f>IF(ISNUMBER(SEARCH(Table1[[#This Row],[their_ent_1]],Table1[[#This Row],[my_ent_1]])), 1, 0)</f>
        <v>1</v>
      </c>
      <c r="L845">
        <f>IF(ISNUMBER(SEARCH(Table1[[#This Row],[their_ent_2]],Table1[[#This Row],[my_ent_2]])), 1, 0)</f>
        <v>1</v>
      </c>
    </row>
    <row r="846" spans="1:12" hidden="1" x14ac:dyDescent="0.3">
      <c r="A846" t="s">
        <v>2580</v>
      </c>
      <c r="B846" t="s">
        <v>54</v>
      </c>
      <c r="C846" t="s">
        <v>2581</v>
      </c>
      <c r="D846" t="s">
        <v>54</v>
      </c>
      <c r="E846" t="s">
        <v>2582</v>
      </c>
      <c r="F846">
        <v>1</v>
      </c>
      <c r="G846">
        <v>844</v>
      </c>
      <c r="H846">
        <f>IF(Table1[[#This Row],[my_ent_1]]=Table1[[#This Row],[their_ent_1]], 1, 0)</f>
        <v>0</v>
      </c>
      <c r="I846">
        <f>IF(Table1[[#This Row],[my_ent_2]]=Table1[[#This Row],[their_ent_2]], 1, 0)</f>
        <v>0</v>
      </c>
      <c r="J846">
        <f>IF(Table1[[#This Row],[same_1]]=1 &amp; Table1[[#This Row],[same_2]]=1, 1, 0)</f>
        <v>0</v>
      </c>
      <c r="K846">
        <f>IF(ISNUMBER(SEARCH(Table1[[#This Row],[their_ent_1]],Table1[[#This Row],[my_ent_1]])), 1, 0)</f>
        <v>0</v>
      </c>
      <c r="L846">
        <f>IF(ISNUMBER(SEARCH(Table1[[#This Row],[their_ent_2]],Table1[[#This Row],[my_ent_2]])), 1, 0)</f>
        <v>0</v>
      </c>
    </row>
    <row r="847" spans="1:12" hidden="1" x14ac:dyDescent="0.3">
      <c r="A847" t="s">
        <v>2583</v>
      </c>
      <c r="B847" t="s">
        <v>2584</v>
      </c>
      <c r="C847" t="s">
        <v>2585</v>
      </c>
      <c r="D847" t="s">
        <v>2585</v>
      </c>
      <c r="E847" t="s">
        <v>2586</v>
      </c>
      <c r="F847">
        <v>1</v>
      </c>
      <c r="G847">
        <v>845</v>
      </c>
      <c r="H847">
        <f>IF(Table1[[#This Row],[my_ent_1]]=Table1[[#This Row],[their_ent_1]], 1, 0)</f>
        <v>0</v>
      </c>
      <c r="I847">
        <f>IF(Table1[[#This Row],[my_ent_2]]=Table1[[#This Row],[their_ent_2]], 1, 0)</f>
        <v>0</v>
      </c>
      <c r="J847">
        <f>IF(Table1[[#This Row],[same_1]]=1 &amp; Table1[[#This Row],[same_2]]=1, 1, 0)</f>
        <v>0</v>
      </c>
      <c r="K847">
        <f>IF(ISNUMBER(SEARCH(Table1[[#This Row],[their_ent_1]],Table1[[#This Row],[my_ent_1]])), 1, 0)</f>
        <v>0</v>
      </c>
      <c r="L847">
        <f>IF(ISNUMBER(SEARCH(Table1[[#This Row],[their_ent_2]],Table1[[#This Row],[my_ent_2]])), 1, 0)</f>
        <v>0</v>
      </c>
    </row>
    <row r="848" spans="1:12" hidden="1" x14ac:dyDescent="0.3">
      <c r="A848" t="s">
        <v>2587</v>
      </c>
      <c r="B848" t="s">
        <v>2588</v>
      </c>
      <c r="C848" t="s">
        <v>2589</v>
      </c>
      <c r="D848" t="s">
        <v>2589</v>
      </c>
      <c r="E848" t="s">
        <v>525</v>
      </c>
      <c r="F848">
        <v>1</v>
      </c>
      <c r="G848">
        <v>846</v>
      </c>
      <c r="H848">
        <f>IF(Table1[[#This Row],[my_ent_1]]=Table1[[#This Row],[their_ent_1]], 1, 0)</f>
        <v>0</v>
      </c>
      <c r="I848">
        <f>IF(Table1[[#This Row],[my_ent_2]]=Table1[[#This Row],[their_ent_2]], 1, 0)</f>
        <v>0</v>
      </c>
      <c r="J848">
        <f>IF(Table1[[#This Row],[same_1]]=1 &amp; Table1[[#This Row],[same_2]]=1, 1, 0)</f>
        <v>0</v>
      </c>
      <c r="K848">
        <f>IF(ISNUMBER(SEARCH(Table1[[#This Row],[their_ent_1]],Table1[[#This Row],[my_ent_1]])), 1, 0)</f>
        <v>0</v>
      </c>
      <c r="L848">
        <f>IF(ISNUMBER(SEARCH(Table1[[#This Row],[their_ent_2]],Table1[[#This Row],[my_ent_2]])), 1, 0)</f>
        <v>0</v>
      </c>
    </row>
    <row r="849" spans="1:12" hidden="1" x14ac:dyDescent="0.3">
      <c r="A849" t="s">
        <v>2590</v>
      </c>
      <c r="B849" t="s">
        <v>2591</v>
      </c>
      <c r="C849" t="s">
        <v>2591</v>
      </c>
      <c r="D849" t="s">
        <v>2592</v>
      </c>
      <c r="E849" t="s">
        <v>2593</v>
      </c>
      <c r="F849">
        <v>1</v>
      </c>
      <c r="G849">
        <v>847</v>
      </c>
      <c r="H849">
        <f>IF(Table1[[#This Row],[my_ent_1]]=Table1[[#This Row],[their_ent_1]], 1, 0)</f>
        <v>1</v>
      </c>
      <c r="I849">
        <f>IF(Table1[[#This Row],[my_ent_2]]=Table1[[#This Row],[their_ent_2]], 1, 0)</f>
        <v>0</v>
      </c>
      <c r="J849">
        <f>IF(Table1[[#This Row],[same_1]]=1 &amp; Table1[[#This Row],[same_2]]=1, 1, 0)</f>
        <v>0</v>
      </c>
      <c r="K849">
        <f>IF(ISNUMBER(SEARCH(Table1[[#This Row],[their_ent_1]],Table1[[#This Row],[my_ent_1]])), 1, 0)</f>
        <v>1</v>
      </c>
      <c r="L849">
        <f>IF(ISNUMBER(SEARCH(Table1[[#This Row],[their_ent_2]],Table1[[#This Row],[my_ent_2]])), 1, 0)</f>
        <v>0</v>
      </c>
    </row>
    <row r="850" spans="1:12" hidden="1" x14ac:dyDescent="0.3">
      <c r="A850" t="s">
        <v>2594</v>
      </c>
      <c r="B850" t="s">
        <v>2595</v>
      </c>
      <c r="C850" t="s">
        <v>2595</v>
      </c>
      <c r="D850" t="s">
        <v>2596</v>
      </c>
      <c r="E850" t="s">
        <v>2597</v>
      </c>
      <c r="F850">
        <v>1</v>
      </c>
      <c r="G850">
        <v>848</v>
      </c>
      <c r="H850">
        <f>IF(Table1[[#This Row],[my_ent_1]]=Table1[[#This Row],[their_ent_1]], 1, 0)</f>
        <v>1</v>
      </c>
      <c r="I850">
        <f>IF(Table1[[#This Row],[my_ent_2]]=Table1[[#This Row],[their_ent_2]], 1, 0)</f>
        <v>0</v>
      </c>
      <c r="J850">
        <f>IF(Table1[[#This Row],[same_1]]=1 &amp; Table1[[#This Row],[same_2]]=1, 1, 0)</f>
        <v>0</v>
      </c>
      <c r="K850">
        <f>IF(ISNUMBER(SEARCH(Table1[[#This Row],[their_ent_1]],Table1[[#This Row],[my_ent_1]])), 1, 0)</f>
        <v>1</v>
      </c>
      <c r="L850">
        <f>IF(ISNUMBER(SEARCH(Table1[[#This Row],[their_ent_2]],Table1[[#This Row],[my_ent_2]])), 1, 0)</f>
        <v>0</v>
      </c>
    </row>
    <row r="851" spans="1:12" hidden="1" x14ac:dyDescent="0.3">
      <c r="A851" t="s">
        <v>2598</v>
      </c>
      <c r="B851" t="s">
        <v>267</v>
      </c>
      <c r="C851" t="s">
        <v>7</v>
      </c>
      <c r="D851" t="s">
        <v>2599</v>
      </c>
      <c r="E851" t="s">
        <v>404</v>
      </c>
      <c r="F851">
        <v>1</v>
      </c>
      <c r="G851">
        <v>849</v>
      </c>
      <c r="H851">
        <f>IF(Table1[[#This Row],[my_ent_1]]=Table1[[#This Row],[their_ent_1]], 1, 0)</f>
        <v>0</v>
      </c>
      <c r="I851">
        <f>IF(Table1[[#This Row],[my_ent_2]]=Table1[[#This Row],[their_ent_2]], 1, 0)</f>
        <v>0</v>
      </c>
      <c r="J851">
        <f>IF(Table1[[#This Row],[same_1]]=1 &amp; Table1[[#This Row],[same_2]]=1, 1, 0)</f>
        <v>0</v>
      </c>
      <c r="K851">
        <f>IF(ISNUMBER(SEARCH(Table1[[#This Row],[their_ent_1]],Table1[[#This Row],[my_ent_1]])), 1, 0)</f>
        <v>0</v>
      </c>
      <c r="L851">
        <f>IF(ISNUMBER(SEARCH(Table1[[#This Row],[their_ent_2]],Table1[[#This Row],[my_ent_2]])), 1, 0)</f>
        <v>0</v>
      </c>
    </row>
    <row r="852" spans="1:12" hidden="1" x14ac:dyDescent="0.3">
      <c r="A852" t="s">
        <v>2600</v>
      </c>
      <c r="B852" t="s">
        <v>2601</v>
      </c>
      <c r="C852" t="s">
        <v>2602</v>
      </c>
      <c r="D852" t="s">
        <v>138</v>
      </c>
      <c r="E852" t="s">
        <v>2601</v>
      </c>
      <c r="F852">
        <v>1</v>
      </c>
      <c r="G852">
        <v>850</v>
      </c>
      <c r="H852">
        <f>IF(Table1[[#This Row],[my_ent_1]]=Table1[[#This Row],[their_ent_1]], 1, 0)</f>
        <v>0</v>
      </c>
      <c r="I852">
        <f>IF(Table1[[#This Row],[my_ent_2]]=Table1[[#This Row],[their_ent_2]], 1, 0)</f>
        <v>0</v>
      </c>
      <c r="J852">
        <f>IF(Table1[[#This Row],[same_1]]=1 &amp; Table1[[#This Row],[same_2]]=1, 1, 0)</f>
        <v>0</v>
      </c>
      <c r="K852">
        <f>IF(ISNUMBER(SEARCH(Table1[[#This Row],[their_ent_1]],Table1[[#This Row],[my_ent_1]])), 1, 0)</f>
        <v>0</v>
      </c>
      <c r="L852">
        <f>IF(ISNUMBER(SEARCH(Table1[[#This Row],[their_ent_2]],Table1[[#This Row],[my_ent_2]])), 1, 0)</f>
        <v>0</v>
      </c>
    </row>
    <row r="853" spans="1:12" hidden="1" x14ac:dyDescent="0.3">
      <c r="A853" t="s">
        <v>2603</v>
      </c>
      <c r="B853" t="s">
        <v>7</v>
      </c>
      <c r="C853" t="s">
        <v>7</v>
      </c>
      <c r="D853" t="s">
        <v>49</v>
      </c>
      <c r="E853" t="s">
        <v>29</v>
      </c>
      <c r="F853">
        <v>1</v>
      </c>
      <c r="G853">
        <v>851</v>
      </c>
      <c r="H853">
        <f>IF(Table1[[#This Row],[my_ent_1]]=Table1[[#This Row],[their_ent_1]], 1, 0)</f>
        <v>1</v>
      </c>
      <c r="I853">
        <f>IF(Table1[[#This Row],[my_ent_2]]=Table1[[#This Row],[their_ent_2]], 1, 0)</f>
        <v>0</v>
      </c>
      <c r="J853">
        <f>IF(Table1[[#This Row],[same_1]]=1 &amp; Table1[[#This Row],[same_2]]=1, 1, 0)</f>
        <v>0</v>
      </c>
      <c r="K853">
        <f>IF(ISNUMBER(SEARCH(Table1[[#This Row],[their_ent_1]],Table1[[#This Row],[my_ent_1]])), 1, 0)</f>
        <v>1</v>
      </c>
      <c r="L853">
        <f>IF(ISNUMBER(SEARCH(Table1[[#This Row],[their_ent_2]],Table1[[#This Row],[my_ent_2]])), 1, 0)</f>
        <v>0</v>
      </c>
    </row>
    <row r="854" spans="1:12" hidden="1" x14ac:dyDescent="0.3">
      <c r="A854" t="s">
        <v>2604</v>
      </c>
      <c r="B854" t="s">
        <v>2605</v>
      </c>
      <c r="C854" t="s">
        <v>1918</v>
      </c>
      <c r="D854" t="s">
        <v>2606</v>
      </c>
      <c r="E854" t="s">
        <v>2606</v>
      </c>
      <c r="F854">
        <v>1</v>
      </c>
      <c r="G854">
        <v>852</v>
      </c>
      <c r="H854">
        <f>IF(Table1[[#This Row],[my_ent_1]]=Table1[[#This Row],[their_ent_1]], 1, 0)</f>
        <v>0</v>
      </c>
      <c r="I854">
        <f>IF(Table1[[#This Row],[my_ent_2]]=Table1[[#This Row],[their_ent_2]], 1, 0)</f>
        <v>1</v>
      </c>
      <c r="J854">
        <f>IF(Table1[[#This Row],[same_1]]=1 &amp; Table1[[#This Row],[same_2]]=1, 1, 0)</f>
        <v>0</v>
      </c>
      <c r="K854">
        <f>IF(ISNUMBER(SEARCH(Table1[[#This Row],[their_ent_1]],Table1[[#This Row],[my_ent_1]])), 1, 0)</f>
        <v>0</v>
      </c>
      <c r="L854">
        <f>IF(ISNUMBER(SEARCH(Table1[[#This Row],[their_ent_2]],Table1[[#This Row],[my_ent_2]])), 1, 0)</f>
        <v>1</v>
      </c>
    </row>
    <row r="855" spans="1:12" hidden="1" x14ac:dyDescent="0.3">
      <c r="A855" t="s">
        <v>2607</v>
      </c>
      <c r="B855" t="s">
        <v>2608</v>
      </c>
      <c r="C855" t="s">
        <v>2608</v>
      </c>
      <c r="D855" t="s">
        <v>49</v>
      </c>
      <c r="E855" t="s">
        <v>352</v>
      </c>
      <c r="F855">
        <v>1</v>
      </c>
      <c r="G855">
        <v>853</v>
      </c>
      <c r="H855">
        <f>IF(Table1[[#This Row],[my_ent_1]]=Table1[[#This Row],[their_ent_1]], 1, 0)</f>
        <v>1</v>
      </c>
      <c r="I855">
        <f>IF(Table1[[#This Row],[my_ent_2]]=Table1[[#This Row],[their_ent_2]], 1, 0)</f>
        <v>0</v>
      </c>
      <c r="J855">
        <f>IF(Table1[[#This Row],[same_1]]=1 &amp; Table1[[#This Row],[same_2]]=1, 1, 0)</f>
        <v>0</v>
      </c>
      <c r="K855">
        <f>IF(ISNUMBER(SEARCH(Table1[[#This Row],[their_ent_1]],Table1[[#This Row],[my_ent_1]])), 1, 0)</f>
        <v>1</v>
      </c>
      <c r="L855">
        <f>IF(ISNUMBER(SEARCH(Table1[[#This Row],[their_ent_2]],Table1[[#This Row],[my_ent_2]])), 1, 0)</f>
        <v>0</v>
      </c>
    </row>
    <row r="856" spans="1:12" hidden="1" x14ac:dyDescent="0.3">
      <c r="A856" t="s">
        <v>2609</v>
      </c>
      <c r="B856" t="s">
        <v>2610</v>
      </c>
      <c r="C856" t="s">
        <v>2610</v>
      </c>
      <c r="D856" t="s">
        <v>2611</v>
      </c>
      <c r="E856" t="s">
        <v>2612</v>
      </c>
      <c r="F856">
        <v>1</v>
      </c>
      <c r="G856">
        <v>854</v>
      </c>
      <c r="H856">
        <f>IF(Table1[[#This Row],[my_ent_1]]=Table1[[#This Row],[their_ent_1]], 1, 0)</f>
        <v>1</v>
      </c>
      <c r="I856">
        <f>IF(Table1[[#This Row],[my_ent_2]]=Table1[[#This Row],[their_ent_2]], 1, 0)</f>
        <v>0</v>
      </c>
      <c r="J856">
        <f>IF(Table1[[#This Row],[same_1]]=1 &amp; Table1[[#This Row],[same_2]]=1, 1, 0)</f>
        <v>0</v>
      </c>
      <c r="K856">
        <f>IF(ISNUMBER(SEARCH(Table1[[#This Row],[their_ent_1]],Table1[[#This Row],[my_ent_1]])), 1, 0)</f>
        <v>1</v>
      </c>
      <c r="L856">
        <f>IF(ISNUMBER(SEARCH(Table1[[#This Row],[their_ent_2]],Table1[[#This Row],[my_ent_2]])), 1, 0)</f>
        <v>0</v>
      </c>
    </row>
    <row r="857" spans="1:12" x14ac:dyDescent="0.3">
      <c r="A857" t="s">
        <v>2613</v>
      </c>
      <c r="B857" t="s">
        <v>1289</v>
      </c>
      <c r="C857" t="s">
        <v>1290</v>
      </c>
      <c r="D857" t="s">
        <v>904</v>
      </c>
      <c r="E857" t="s">
        <v>904</v>
      </c>
      <c r="F857">
        <v>1</v>
      </c>
      <c r="G857">
        <v>855</v>
      </c>
      <c r="H857">
        <f>IF(Table1[[#This Row],[my_ent_1]]=Table1[[#This Row],[their_ent_1]], 1, 0)</f>
        <v>0</v>
      </c>
      <c r="I857">
        <f>IF(Table1[[#This Row],[my_ent_2]]=Table1[[#This Row],[their_ent_2]], 1, 0)</f>
        <v>1</v>
      </c>
      <c r="J857">
        <f>IF(Table1[[#This Row],[same_1]]=1 &amp; Table1[[#This Row],[same_2]]=1, 1, 0)</f>
        <v>0</v>
      </c>
      <c r="K857">
        <f>IF(ISNUMBER(SEARCH(Table1[[#This Row],[their_ent_1]],Table1[[#This Row],[my_ent_1]])), 1, 0)</f>
        <v>1</v>
      </c>
      <c r="L857">
        <f>IF(ISNUMBER(SEARCH(Table1[[#This Row],[their_ent_2]],Table1[[#This Row],[my_ent_2]])), 1, 0)</f>
        <v>1</v>
      </c>
    </row>
    <row r="858" spans="1:12" hidden="1" x14ac:dyDescent="0.3">
      <c r="A858" t="s">
        <v>2614</v>
      </c>
      <c r="B858" t="s">
        <v>2615</v>
      </c>
      <c r="C858" t="s">
        <v>2615</v>
      </c>
      <c r="D858" t="s">
        <v>7</v>
      </c>
      <c r="E858" t="s">
        <v>58</v>
      </c>
      <c r="F858">
        <v>1</v>
      </c>
      <c r="G858">
        <v>856</v>
      </c>
      <c r="H858">
        <f>IF(Table1[[#This Row],[my_ent_1]]=Table1[[#This Row],[their_ent_1]], 1, 0)</f>
        <v>1</v>
      </c>
      <c r="I858">
        <f>IF(Table1[[#This Row],[my_ent_2]]=Table1[[#This Row],[their_ent_2]], 1, 0)</f>
        <v>0</v>
      </c>
      <c r="J858">
        <f>IF(Table1[[#This Row],[same_1]]=1 &amp; Table1[[#This Row],[same_2]]=1, 1, 0)</f>
        <v>0</v>
      </c>
      <c r="K858">
        <f>IF(ISNUMBER(SEARCH(Table1[[#This Row],[their_ent_1]],Table1[[#This Row],[my_ent_1]])), 1, 0)</f>
        <v>1</v>
      </c>
      <c r="L858">
        <f>IF(ISNUMBER(SEARCH(Table1[[#This Row],[their_ent_2]],Table1[[#This Row],[my_ent_2]])), 1, 0)</f>
        <v>0</v>
      </c>
    </row>
    <row r="859" spans="1:12" hidden="1" x14ac:dyDescent="0.3">
      <c r="A859" t="s">
        <v>2616</v>
      </c>
      <c r="B859" t="s">
        <v>2617</v>
      </c>
      <c r="C859" t="s">
        <v>2618</v>
      </c>
      <c r="D859" t="s">
        <v>2619</v>
      </c>
      <c r="E859" t="s">
        <v>200</v>
      </c>
      <c r="F859">
        <v>1</v>
      </c>
      <c r="G859">
        <v>857</v>
      </c>
      <c r="H859">
        <f>IF(Table1[[#This Row],[my_ent_1]]=Table1[[#This Row],[their_ent_1]], 1, 0)</f>
        <v>0</v>
      </c>
      <c r="I859">
        <f>IF(Table1[[#This Row],[my_ent_2]]=Table1[[#This Row],[their_ent_2]], 1, 0)</f>
        <v>0</v>
      </c>
      <c r="J859">
        <f>IF(Table1[[#This Row],[same_1]]=1 &amp; Table1[[#This Row],[same_2]]=1, 1, 0)</f>
        <v>0</v>
      </c>
      <c r="K859">
        <f>IF(ISNUMBER(SEARCH(Table1[[#This Row],[their_ent_1]],Table1[[#This Row],[my_ent_1]])), 1, 0)</f>
        <v>0</v>
      </c>
      <c r="L859">
        <f>IF(ISNUMBER(SEARCH(Table1[[#This Row],[their_ent_2]],Table1[[#This Row],[my_ent_2]])), 1, 0)</f>
        <v>0</v>
      </c>
    </row>
    <row r="860" spans="1:12" hidden="1" x14ac:dyDescent="0.3">
      <c r="A860" t="s">
        <v>2620</v>
      </c>
      <c r="B860" t="s">
        <v>7</v>
      </c>
      <c r="C860" t="s">
        <v>7</v>
      </c>
      <c r="D860" t="s">
        <v>354</v>
      </c>
      <c r="E860" t="s">
        <v>293</v>
      </c>
      <c r="F860">
        <v>1</v>
      </c>
      <c r="G860">
        <v>858</v>
      </c>
      <c r="H860">
        <f>IF(Table1[[#This Row],[my_ent_1]]=Table1[[#This Row],[their_ent_1]], 1, 0)</f>
        <v>1</v>
      </c>
      <c r="I860">
        <f>IF(Table1[[#This Row],[my_ent_2]]=Table1[[#This Row],[their_ent_2]], 1, 0)</f>
        <v>0</v>
      </c>
      <c r="J860">
        <f>IF(Table1[[#This Row],[same_1]]=1 &amp; Table1[[#This Row],[same_2]]=1, 1, 0)</f>
        <v>0</v>
      </c>
      <c r="K860">
        <f>IF(ISNUMBER(SEARCH(Table1[[#This Row],[their_ent_1]],Table1[[#This Row],[my_ent_1]])), 1, 0)</f>
        <v>1</v>
      </c>
      <c r="L860">
        <f>IF(ISNUMBER(SEARCH(Table1[[#This Row],[their_ent_2]],Table1[[#This Row],[my_ent_2]])), 1, 0)</f>
        <v>0</v>
      </c>
    </row>
    <row r="861" spans="1:12" hidden="1" x14ac:dyDescent="0.3">
      <c r="A861" t="s">
        <v>2621</v>
      </c>
      <c r="B861" t="s">
        <v>2622</v>
      </c>
      <c r="C861" t="s">
        <v>2622</v>
      </c>
      <c r="D861" t="s">
        <v>2623</v>
      </c>
      <c r="E861" t="s">
        <v>2624</v>
      </c>
      <c r="F861">
        <v>1</v>
      </c>
      <c r="G861">
        <v>859</v>
      </c>
      <c r="H861">
        <f>IF(Table1[[#This Row],[my_ent_1]]=Table1[[#This Row],[their_ent_1]], 1, 0)</f>
        <v>1</v>
      </c>
      <c r="I861">
        <f>IF(Table1[[#This Row],[my_ent_2]]=Table1[[#This Row],[their_ent_2]], 1, 0)</f>
        <v>0</v>
      </c>
      <c r="J861">
        <f>IF(Table1[[#This Row],[same_1]]=1 &amp; Table1[[#This Row],[same_2]]=1, 1, 0)</f>
        <v>0</v>
      </c>
      <c r="K861">
        <f>IF(ISNUMBER(SEARCH(Table1[[#This Row],[their_ent_1]],Table1[[#This Row],[my_ent_1]])), 1, 0)</f>
        <v>1</v>
      </c>
      <c r="L861">
        <f>IF(ISNUMBER(SEARCH(Table1[[#This Row],[their_ent_2]],Table1[[#This Row],[my_ent_2]])), 1, 0)</f>
        <v>0</v>
      </c>
    </row>
    <row r="862" spans="1:12" hidden="1" x14ac:dyDescent="0.3">
      <c r="A862" t="s">
        <v>2625</v>
      </c>
      <c r="B862" t="s">
        <v>138</v>
      </c>
      <c r="C862" t="s">
        <v>72</v>
      </c>
      <c r="D862" t="s">
        <v>28</v>
      </c>
      <c r="E862" t="s">
        <v>58</v>
      </c>
      <c r="F862">
        <v>3</v>
      </c>
      <c r="G862">
        <v>860</v>
      </c>
      <c r="H862">
        <f>IF(Table1[[#This Row],[my_ent_1]]=Table1[[#This Row],[their_ent_1]], 1, 0)</f>
        <v>0</v>
      </c>
      <c r="I862">
        <f>IF(Table1[[#This Row],[my_ent_2]]=Table1[[#This Row],[their_ent_2]], 1, 0)</f>
        <v>0</v>
      </c>
      <c r="J862">
        <f>IF(Table1[[#This Row],[same_1]]=1 &amp; Table1[[#This Row],[same_2]]=1, 1, 0)</f>
        <v>0</v>
      </c>
      <c r="K862">
        <f>IF(ISNUMBER(SEARCH(Table1[[#This Row],[their_ent_1]],Table1[[#This Row],[my_ent_1]])), 1, 0)</f>
        <v>0</v>
      </c>
      <c r="L862">
        <f>IF(ISNUMBER(SEARCH(Table1[[#This Row],[their_ent_2]],Table1[[#This Row],[my_ent_2]])), 1, 0)</f>
        <v>1</v>
      </c>
    </row>
    <row r="863" spans="1:12" hidden="1" x14ac:dyDescent="0.3">
      <c r="A863" t="s">
        <v>2626</v>
      </c>
      <c r="B863" t="s">
        <v>344</v>
      </c>
      <c r="C863" t="s">
        <v>344</v>
      </c>
      <c r="D863" t="s">
        <v>2627</v>
      </c>
      <c r="E863" t="s">
        <v>1798</v>
      </c>
      <c r="F863">
        <v>3</v>
      </c>
      <c r="G863">
        <v>861</v>
      </c>
      <c r="H863">
        <f>IF(Table1[[#This Row],[my_ent_1]]=Table1[[#This Row],[their_ent_1]], 1, 0)</f>
        <v>1</v>
      </c>
      <c r="I863">
        <f>IF(Table1[[#This Row],[my_ent_2]]=Table1[[#This Row],[their_ent_2]], 1, 0)</f>
        <v>0</v>
      </c>
      <c r="J863">
        <f>IF(Table1[[#This Row],[same_1]]=1 &amp; Table1[[#This Row],[same_2]]=1, 1, 0)</f>
        <v>0</v>
      </c>
      <c r="K863">
        <f>IF(ISNUMBER(SEARCH(Table1[[#This Row],[their_ent_1]],Table1[[#This Row],[my_ent_1]])), 1, 0)</f>
        <v>1</v>
      </c>
      <c r="L863">
        <f>IF(ISNUMBER(SEARCH(Table1[[#This Row],[their_ent_2]],Table1[[#This Row],[my_ent_2]])), 1, 0)</f>
        <v>0</v>
      </c>
    </row>
    <row r="864" spans="1:12" hidden="1" x14ac:dyDescent="0.3">
      <c r="A864" t="s">
        <v>2628</v>
      </c>
      <c r="B864" t="s">
        <v>7</v>
      </c>
      <c r="C864" t="s">
        <v>7</v>
      </c>
      <c r="D864" t="s">
        <v>293</v>
      </c>
      <c r="E864" t="s">
        <v>2629</v>
      </c>
      <c r="F864">
        <v>3</v>
      </c>
      <c r="G864">
        <v>862</v>
      </c>
      <c r="H864">
        <f>IF(Table1[[#This Row],[my_ent_1]]=Table1[[#This Row],[their_ent_1]], 1, 0)</f>
        <v>1</v>
      </c>
      <c r="I864">
        <f>IF(Table1[[#This Row],[my_ent_2]]=Table1[[#This Row],[their_ent_2]], 1, 0)</f>
        <v>0</v>
      </c>
      <c r="J864">
        <f>IF(Table1[[#This Row],[same_1]]=1 &amp; Table1[[#This Row],[same_2]]=1, 1, 0)</f>
        <v>0</v>
      </c>
      <c r="K864">
        <f>IF(ISNUMBER(SEARCH(Table1[[#This Row],[their_ent_1]],Table1[[#This Row],[my_ent_1]])), 1, 0)</f>
        <v>1</v>
      </c>
      <c r="L864">
        <f>IF(ISNUMBER(SEARCH(Table1[[#This Row],[their_ent_2]],Table1[[#This Row],[my_ent_2]])), 1, 0)</f>
        <v>0</v>
      </c>
    </row>
    <row r="865" spans="1:12" hidden="1" x14ac:dyDescent="0.3">
      <c r="A865" t="s">
        <v>2630</v>
      </c>
      <c r="B865" t="s">
        <v>2631</v>
      </c>
      <c r="C865" t="s">
        <v>30</v>
      </c>
      <c r="D865" t="s">
        <v>7</v>
      </c>
      <c r="E865" t="s">
        <v>165</v>
      </c>
      <c r="F865">
        <v>3</v>
      </c>
      <c r="G865">
        <v>863</v>
      </c>
      <c r="H865">
        <f>IF(Table1[[#This Row],[my_ent_1]]=Table1[[#This Row],[their_ent_1]], 1, 0)</f>
        <v>0</v>
      </c>
      <c r="I865">
        <f>IF(Table1[[#This Row],[my_ent_2]]=Table1[[#This Row],[their_ent_2]], 1, 0)</f>
        <v>0</v>
      </c>
      <c r="J865">
        <f>IF(Table1[[#This Row],[same_1]]=1 &amp; Table1[[#This Row],[same_2]]=1, 1, 0)</f>
        <v>0</v>
      </c>
      <c r="K865">
        <f>IF(ISNUMBER(SEARCH(Table1[[#This Row],[their_ent_1]],Table1[[#This Row],[my_ent_1]])), 1, 0)</f>
        <v>0</v>
      </c>
      <c r="L865">
        <f>IF(ISNUMBER(SEARCH(Table1[[#This Row],[their_ent_2]],Table1[[#This Row],[my_ent_2]])), 1, 0)</f>
        <v>0</v>
      </c>
    </row>
    <row r="866" spans="1:12" hidden="1" x14ac:dyDescent="0.3">
      <c r="A866" t="s">
        <v>2632</v>
      </c>
      <c r="B866" t="s">
        <v>2633</v>
      </c>
      <c r="C866" t="s">
        <v>2633</v>
      </c>
      <c r="D866" t="s">
        <v>1297</v>
      </c>
      <c r="E866" t="s">
        <v>2634</v>
      </c>
      <c r="F866">
        <v>3</v>
      </c>
      <c r="G866">
        <v>864</v>
      </c>
      <c r="H866">
        <f>IF(Table1[[#This Row],[my_ent_1]]=Table1[[#This Row],[their_ent_1]], 1, 0)</f>
        <v>1</v>
      </c>
      <c r="I866">
        <f>IF(Table1[[#This Row],[my_ent_2]]=Table1[[#This Row],[their_ent_2]], 1, 0)</f>
        <v>0</v>
      </c>
      <c r="J866">
        <f>IF(Table1[[#This Row],[same_1]]=1 &amp; Table1[[#This Row],[same_2]]=1, 1, 0)</f>
        <v>0</v>
      </c>
      <c r="K866">
        <f>IF(ISNUMBER(SEARCH(Table1[[#This Row],[their_ent_1]],Table1[[#This Row],[my_ent_1]])), 1, 0)</f>
        <v>1</v>
      </c>
      <c r="L866">
        <f>IF(ISNUMBER(SEARCH(Table1[[#This Row],[their_ent_2]],Table1[[#This Row],[my_ent_2]])), 1, 0)</f>
        <v>0</v>
      </c>
    </row>
    <row r="867" spans="1:12" hidden="1" x14ac:dyDescent="0.3">
      <c r="A867" t="s">
        <v>2635</v>
      </c>
      <c r="B867" t="s">
        <v>7</v>
      </c>
      <c r="C867" t="s">
        <v>7</v>
      </c>
      <c r="D867" t="s">
        <v>106</v>
      </c>
      <c r="E867" t="s">
        <v>352</v>
      </c>
      <c r="F867">
        <v>3</v>
      </c>
      <c r="G867">
        <v>865</v>
      </c>
      <c r="H867">
        <f>IF(Table1[[#This Row],[my_ent_1]]=Table1[[#This Row],[their_ent_1]], 1, 0)</f>
        <v>1</v>
      </c>
      <c r="I867">
        <f>IF(Table1[[#This Row],[my_ent_2]]=Table1[[#This Row],[their_ent_2]], 1, 0)</f>
        <v>0</v>
      </c>
      <c r="J867">
        <f>IF(Table1[[#This Row],[same_1]]=1 &amp; Table1[[#This Row],[same_2]]=1, 1, 0)</f>
        <v>0</v>
      </c>
      <c r="K867">
        <f>IF(ISNUMBER(SEARCH(Table1[[#This Row],[their_ent_1]],Table1[[#This Row],[my_ent_1]])), 1, 0)</f>
        <v>1</v>
      </c>
      <c r="L867">
        <f>IF(ISNUMBER(SEARCH(Table1[[#This Row],[their_ent_2]],Table1[[#This Row],[my_ent_2]])), 1, 0)</f>
        <v>0</v>
      </c>
    </row>
    <row r="868" spans="1:12" x14ac:dyDescent="0.3">
      <c r="A868" t="s">
        <v>2636</v>
      </c>
      <c r="B868" t="s">
        <v>2637</v>
      </c>
      <c r="C868" t="s">
        <v>2637</v>
      </c>
      <c r="D868" t="s">
        <v>2638</v>
      </c>
      <c r="E868" t="s">
        <v>2639</v>
      </c>
      <c r="F868">
        <v>3</v>
      </c>
      <c r="G868">
        <v>866</v>
      </c>
      <c r="H868">
        <f>IF(Table1[[#This Row],[my_ent_1]]=Table1[[#This Row],[their_ent_1]], 1, 0)</f>
        <v>1</v>
      </c>
      <c r="I868">
        <f>IF(Table1[[#This Row],[my_ent_2]]=Table1[[#This Row],[their_ent_2]], 1, 0)</f>
        <v>0</v>
      </c>
      <c r="J868">
        <f>IF(Table1[[#This Row],[same_1]]=1 &amp; Table1[[#This Row],[same_2]]=1, 1, 0)</f>
        <v>0</v>
      </c>
      <c r="K868">
        <f>IF(ISNUMBER(SEARCH(Table1[[#This Row],[their_ent_1]],Table1[[#This Row],[my_ent_1]])), 1, 0)</f>
        <v>1</v>
      </c>
      <c r="L868">
        <f>IF(ISNUMBER(SEARCH(Table1[[#This Row],[their_ent_2]],Table1[[#This Row],[my_ent_2]])), 1, 0)</f>
        <v>1</v>
      </c>
    </row>
    <row r="869" spans="1:12" hidden="1" x14ac:dyDescent="0.3">
      <c r="A869" t="s">
        <v>2640</v>
      </c>
      <c r="B869" t="s">
        <v>2641</v>
      </c>
      <c r="C869" t="s">
        <v>2641</v>
      </c>
      <c r="D869" t="s">
        <v>263</v>
      </c>
      <c r="E869" t="s">
        <v>800</v>
      </c>
      <c r="F869">
        <v>3</v>
      </c>
      <c r="G869">
        <v>867</v>
      </c>
      <c r="H869">
        <f>IF(Table1[[#This Row],[my_ent_1]]=Table1[[#This Row],[their_ent_1]], 1, 0)</f>
        <v>1</v>
      </c>
      <c r="I869">
        <f>IF(Table1[[#This Row],[my_ent_2]]=Table1[[#This Row],[their_ent_2]], 1, 0)</f>
        <v>0</v>
      </c>
      <c r="J869">
        <f>IF(Table1[[#This Row],[same_1]]=1 &amp; Table1[[#This Row],[same_2]]=1, 1, 0)</f>
        <v>0</v>
      </c>
      <c r="K869">
        <f>IF(ISNUMBER(SEARCH(Table1[[#This Row],[their_ent_1]],Table1[[#This Row],[my_ent_1]])), 1, 0)</f>
        <v>1</v>
      </c>
      <c r="L869">
        <f>IF(ISNUMBER(SEARCH(Table1[[#This Row],[their_ent_2]],Table1[[#This Row],[my_ent_2]])), 1, 0)</f>
        <v>0</v>
      </c>
    </row>
    <row r="870" spans="1:12" x14ac:dyDescent="0.3">
      <c r="A870" t="s">
        <v>2642</v>
      </c>
      <c r="B870" t="s">
        <v>2643</v>
      </c>
      <c r="C870" t="s">
        <v>2644</v>
      </c>
      <c r="D870" t="s">
        <v>7</v>
      </c>
      <c r="E870" t="s">
        <v>7</v>
      </c>
      <c r="F870">
        <v>3</v>
      </c>
      <c r="G870">
        <v>868</v>
      </c>
      <c r="H870">
        <f>IF(Table1[[#This Row],[my_ent_1]]=Table1[[#This Row],[their_ent_1]], 1, 0)</f>
        <v>0</v>
      </c>
      <c r="I870">
        <f>IF(Table1[[#This Row],[my_ent_2]]=Table1[[#This Row],[their_ent_2]], 1, 0)</f>
        <v>1</v>
      </c>
      <c r="J870">
        <f>IF(Table1[[#This Row],[same_1]]=1 &amp; Table1[[#This Row],[same_2]]=1, 1, 0)</f>
        <v>0</v>
      </c>
      <c r="K870">
        <f>IF(ISNUMBER(SEARCH(Table1[[#This Row],[their_ent_1]],Table1[[#This Row],[my_ent_1]])), 1, 0)</f>
        <v>1</v>
      </c>
      <c r="L870">
        <f>IF(ISNUMBER(SEARCH(Table1[[#This Row],[their_ent_2]],Table1[[#This Row],[my_ent_2]])), 1, 0)</f>
        <v>1</v>
      </c>
    </row>
    <row r="871" spans="1:12" hidden="1" x14ac:dyDescent="0.3">
      <c r="A871" t="s">
        <v>2645</v>
      </c>
      <c r="B871" t="s">
        <v>7</v>
      </c>
      <c r="C871" t="s">
        <v>7</v>
      </c>
      <c r="D871" t="s">
        <v>1192</v>
      </c>
      <c r="E871" t="s">
        <v>2274</v>
      </c>
      <c r="F871">
        <v>3</v>
      </c>
      <c r="G871">
        <v>869</v>
      </c>
      <c r="H871">
        <f>IF(Table1[[#This Row],[my_ent_1]]=Table1[[#This Row],[their_ent_1]], 1, 0)</f>
        <v>1</v>
      </c>
      <c r="I871">
        <f>IF(Table1[[#This Row],[my_ent_2]]=Table1[[#This Row],[their_ent_2]], 1, 0)</f>
        <v>0</v>
      </c>
      <c r="J871">
        <f>IF(Table1[[#This Row],[same_1]]=1 &amp; Table1[[#This Row],[same_2]]=1, 1, 0)</f>
        <v>0</v>
      </c>
      <c r="K871">
        <f>IF(ISNUMBER(SEARCH(Table1[[#This Row],[their_ent_1]],Table1[[#This Row],[my_ent_1]])), 1, 0)</f>
        <v>1</v>
      </c>
      <c r="L871">
        <f>IF(ISNUMBER(SEARCH(Table1[[#This Row],[their_ent_2]],Table1[[#This Row],[my_ent_2]])), 1, 0)</f>
        <v>0</v>
      </c>
    </row>
    <row r="872" spans="1:12" hidden="1" x14ac:dyDescent="0.3">
      <c r="A872" t="s">
        <v>2646</v>
      </c>
      <c r="B872" t="s">
        <v>292</v>
      </c>
      <c r="C872" t="s">
        <v>292</v>
      </c>
      <c r="D872" t="s">
        <v>51</v>
      </c>
      <c r="E872" t="s">
        <v>2647</v>
      </c>
      <c r="F872">
        <v>3</v>
      </c>
      <c r="G872">
        <v>870</v>
      </c>
      <c r="H872">
        <f>IF(Table1[[#This Row],[my_ent_1]]=Table1[[#This Row],[their_ent_1]], 1, 0)</f>
        <v>1</v>
      </c>
      <c r="I872">
        <f>IF(Table1[[#This Row],[my_ent_2]]=Table1[[#This Row],[their_ent_2]], 1, 0)</f>
        <v>0</v>
      </c>
      <c r="J872">
        <f>IF(Table1[[#This Row],[same_1]]=1 &amp; Table1[[#This Row],[same_2]]=1, 1, 0)</f>
        <v>0</v>
      </c>
      <c r="K872">
        <f>IF(ISNUMBER(SEARCH(Table1[[#This Row],[their_ent_1]],Table1[[#This Row],[my_ent_1]])), 1, 0)</f>
        <v>1</v>
      </c>
      <c r="L872">
        <f>IF(ISNUMBER(SEARCH(Table1[[#This Row],[their_ent_2]],Table1[[#This Row],[my_ent_2]])), 1, 0)</f>
        <v>0</v>
      </c>
    </row>
    <row r="873" spans="1:12" x14ac:dyDescent="0.3">
      <c r="A873" t="s">
        <v>2648</v>
      </c>
      <c r="B873" t="s">
        <v>2649</v>
      </c>
      <c r="C873" t="s">
        <v>600</v>
      </c>
      <c r="D873" t="s">
        <v>1284</v>
      </c>
      <c r="E873" t="s">
        <v>1284</v>
      </c>
      <c r="F873">
        <v>3</v>
      </c>
      <c r="G873">
        <v>871</v>
      </c>
      <c r="H873">
        <f>IF(Table1[[#This Row],[my_ent_1]]=Table1[[#This Row],[their_ent_1]], 1, 0)</f>
        <v>0</v>
      </c>
      <c r="I873">
        <f>IF(Table1[[#This Row],[my_ent_2]]=Table1[[#This Row],[their_ent_2]], 1, 0)</f>
        <v>1</v>
      </c>
      <c r="J873">
        <f>IF(Table1[[#This Row],[same_1]]=1 &amp; Table1[[#This Row],[same_2]]=1, 1, 0)</f>
        <v>0</v>
      </c>
      <c r="K873">
        <f>IF(ISNUMBER(SEARCH(Table1[[#This Row],[their_ent_1]],Table1[[#This Row],[my_ent_1]])), 1, 0)</f>
        <v>1</v>
      </c>
      <c r="L873">
        <f>IF(ISNUMBER(SEARCH(Table1[[#This Row],[their_ent_2]],Table1[[#This Row],[my_ent_2]])), 1, 0)</f>
        <v>1</v>
      </c>
    </row>
    <row r="874" spans="1:12" hidden="1" x14ac:dyDescent="0.3">
      <c r="A874" t="s">
        <v>2650</v>
      </c>
      <c r="B874" t="s">
        <v>2651</v>
      </c>
      <c r="C874" t="s">
        <v>2651</v>
      </c>
      <c r="D874" t="s">
        <v>263</v>
      </c>
      <c r="E874" t="s">
        <v>2652</v>
      </c>
      <c r="F874">
        <v>3</v>
      </c>
      <c r="G874">
        <v>872</v>
      </c>
      <c r="H874">
        <f>IF(Table1[[#This Row],[my_ent_1]]=Table1[[#This Row],[their_ent_1]], 1, 0)</f>
        <v>1</v>
      </c>
      <c r="I874">
        <f>IF(Table1[[#This Row],[my_ent_2]]=Table1[[#This Row],[their_ent_2]], 1, 0)</f>
        <v>0</v>
      </c>
      <c r="J874">
        <f>IF(Table1[[#This Row],[same_1]]=1 &amp; Table1[[#This Row],[same_2]]=1, 1, 0)</f>
        <v>0</v>
      </c>
      <c r="K874">
        <f>IF(ISNUMBER(SEARCH(Table1[[#This Row],[their_ent_1]],Table1[[#This Row],[my_ent_1]])), 1, 0)</f>
        <v>1</v>
      </c>
      <c r="L874">
        <f>IF(ISNUMBER(SEARCH(Table1[[#This Row],[their_ent_2]],Table1[[#This Row],[my_ent_2]])), 1, 0)</f>
        <v>0</v>
      </c>
    </row>
    <row r="875" spans="1:12" hidden="1" x14ac:dyDescent="0.3">
      <c r="A875" t="s">
        <v>2653</v>
      </c>
      <c r="B875" t="s">
        <v>200</v>
      </c>
      <c r="C875" t="s">
        <v>200</v>
      </c>
      <c r="D875" t="s">
        <v>525</v>
      </c>
      <c r="E875" t="s">
        <v>165</v>
      </c>
      <c r="F875">
        <v>3</v>
      </c>
      <c r="G875">
        <v>873</v>
      </c>
      <c r="H875">
        <f>IF(Table1[[#This Row],[my_ent_1]]=Table1[[#This Row],[their_ent_1]], 1, 0)</f>
        <v>1</v>
      </c>
      <c r="I875">
        <f>IF(Table1[[#This Row],[my_ent_2]]=Table1[[#This Row],[their_ent_2]], 1, 0)</f>
        <v>0</v>
      </c>
      <c r="J875">
        <f>IF(Table1[[#This Row],[same_1]]=1 &amp; Table1[[#This Row],[same_2]]=1, 1, 0)</f>
        <v>0</v>
      </c>
      <c r="K875">
        <f>IF(ISNUMBER(SEARCH(Table1[[#This Row],[their_ent_1]],Table1[[#This Row],[my_ent_1]])), 1, 0)</f>
        <v>1</v>
      </c>
      <c r="L875">
        <f>IF(ISNUMBER(SEARCH(Table1[[#This Row],[their_ent_2]],Table1[[#This Row],[my_ent_2]])), 1, 0)</f>
        <v>0</v>
      </c>
    </row>
    <row r="876" spans="1:12" hidden="1" x14ac:dyDescent="0.3">
      <c r="A876" t="s">
        <v>2654</v>
      </c>
      <c r="B876" t="s">
        <v>73</v>
      </c>
      <c r="C876" t="s">
        <v>2655</v>
      </c>
      <c r="D876" t="s">
        <v>2656</v>
      </c>
      <c r="E876" t="s">
        <v>324</v>
      </c>
      <c r="F876">
        <v>3</v>
      </c>
      <c r="G876">
        <v>874</v>
      </c>
      <c r="H876">
        <f>IF(Table1[[#This Row],[my_ent_1]]=Table1[[#This Row],[their_ent_1]], 1, 0)</f>
        <v>0</v>
      </c>
      <c r="I876">
        <f>IF(Table1[[#This Row],[my_ent_2]]=Table1[[#This Row],[their_ent_2]], 1, 0)</f>
        <v>0</v>
      </c>
      <c r="J876">
        <f>IF(Table1[[#This Row],[same_1]]=1 &amp; Table1[[#This Row],[same_2]]=1, 1, 0)</f>
        <v>0</v>
      </c>
      <c r="K876">
        <f>IF(ISNUMBER(SEARCH(Table1[[#This Row],[their_ent_1]],Table1[[#This Row],[my_ent_1]])), 1, 0)</f>
        <v>0</v>
      </c>
      <c r="L876">
        <f>IF(ISNUMBER(SEARCH(Table1[[#This Row],[their_ent_2]],Table1[[#This Row],[my_ent_2]])), 1, 0)</f>
        <v>0</v>
      </c>
    </row>
    <row r="877" spans="1:12" x14ac:dyDescent="0.3">
      <c r="A877" t="s">
        <v>2657</v>
      </c>
      <c r="B877" t="s">
        <v>30</v>
      </c>
      <c r="C877" t="s">
        <v>30</v>
      </c>
      <c r="D877" t="s">
        <v>2658</v>
      </c>
      <c r="E877" t="s">
        <v>183</v>
      </c>
      <c r="F877">
        <v>3</v>
      </c>
      <c r="G877">
        <v>875</v>
      </c>
      <c r="H877">
        <f>IF(Table1[[#This Row],[my_ent_1]]=Table1[[#This Row],[their_ent_1]], 1, 0)</f>
        <v>1</v>
      </c>
      <c r="I877">
        <f>IF(Table1[[#This Row],[my_ent_2]]=Table1[[#This Row],[their_ent_2]], 1, 0)</f>
        <v>0</v>
      </c>
      <c r="J877">
        <f>IF(Table1[[#This Row],[same_1]]=1 &amp; Table1[[#This Row],[same_2]]=1, 1, 0)</f>
        <v>0</v>
      </c>
      <c r="K877">
        <f>IF(ISNUMBER(SEARCH(Table1[[#This Row],[their_ent_1]],Table1[[#This Row],[my_ent_1]])), 1, 0)</f>
        <v>1</v>
      </c>
      <c r="L877">
        <f>IF(ISNUMBER(SEARCH(Table1[[#This Row],[their_ent_2]],Table1[[#This Row],[my_ent_2]])), 1, 0)</f>
        <v>1</v>
      </c>
    </row>
    <row r="878" spans="1:12" hidden="1" x14ac:dyDescent="0.3">
      <c r="A878" t="s">
        <v>2659</v>
      </c>
      <c r="B878" t="s">
        <v>2660</v>
      </c>
      <c r="C878" t="s">
        <v>2660</v>
      </c>
      <c r="D878" t="s">
        <v>2661</v>
      </c>
      <c r="E878" t="s">
        <v>7</v>
      </c>
      <c r="F878">
        <v>3</v>
      </c>
      <c r="G878">
        <v>876</v>
      </c>
      <c r="H878">
        <f>IF(Table1[[#This Row],[my_ent_1]]=Table1[[#This Row],[their_ent_1]], 1, 0)</f>
        <v>1</v>
      </c>
      <c r="I878">
        <f>IF(Table1[[#This Row],[my_ent_2]]=Table1[[#This Row],[their_ent_2]], 1, 0)</f>
        <v>0</v>
      </c>
      <c r="J878">
        <f>IF(Table1[[#This Row],[same_1]]=1 &amp; Table1[[#This Row],[same_2]]=1, 1, 0)</f>
        <v>0</v>
      </c>
      <c r="K878">
        <f>IF(ISNUMBER(SEARCH(Table1[[#This Row],[their_ent_1]],Table1[[#This Row],[my_ent_1]])), 1, 0)</f>
        <v>1</v>
      </c>
      <c r="L878">
        <f>IF(ISNUMBER(SEARCH(Table1[[#This Row],[their_ent_2]],Table1[[#This Row],[my_ent_2]])), 1, 0)</f>
        <v>0</v>
      </c>
    </row>
    <row r="879" spans="1:12" hidden="1" x14ac:dyDescent="0.3">
      <c r="A879" t="s">
        <v>2662</v>
      </c>
      <c r="B879" t="s">
        <v>2663</v>
      </c>
      <c r="C879" t="s">
        <v>2664</v>
      </c>
      <c r="D879" t="s">
        <v>539</v>
      </c>
      <c r="E879" t="s">
        <v>2665</v>
      </c>
      <c r="F879">
        <v>3</v>
      </c>
      <c r="G879">
        <v>877</v>
      </c>
      <c r="H879">
        <f>IF(Table1[[#This Row],[my_ent_1]]=Table1[[#This Row],[their_ent_1]], 1, 0)</f>
        <v>0</v>
      </c>
      <c r="I879">
        <f>IF(Table1[[#This Row],[my_ent_2]]=Table1[[#This Row],[their_ent_2]], 1, 0)</f>
        <v>0</v>
      </c>
      <c r="J879">
        <f>IF(Table1[[#This Row],[same_1]]=1 &amp; Table1[[#This Row],[same_2]]=1, 1, 0)</f>
        <v>0</v>
      </c>
      <c r="K879">
        <f>IF(ISNUMBER(SEARCH(Table1[[#This Row],[their_ent_1]],Table1[[#This Row],[my_ent_1]])), 1, 0)</f>
        <v>1</v>
      </c>
      <c r="L879">
        <f>IF(ISNUMBER(SEARCH(Table1[[#This Row],[their_ent_2]],Table1[[#This Row],[my_ent_2]])), 1, 0)</f>
        <v>0</v>
      </c>
    </row>
    <row r="880" spans="1:12" hidden="1" x14ac:dyDescent="0.3">
      <c r="A880" t="s">
        <v>2666</v>
      </c>
      <c r="B880" t="s">
        <v>2667</v>
      </c>
      <c r="C880" t="s">
        <v>2668</v>
      </c>
      <c r="D880" t="s">
        <v>7</v>
      </c>
      <c r="E880" t="s">
        <v>7</v>
      </c>
      <c r="F880">
        <v>3</v>
      </c>
      <c r="G880">
        <v>878</v>
      </c>
      <c r="H880">
        <f>IF(Table1[[#This Row],[my_ent_1]]=Table1[[#This Row],[their_ent_1]], 1, 0)</f>
        <v>0</v>
      </c>
      <c r="I880">
        <f>IF(Table1[[#This Row],[my_ent_2]]=Table1[[#This Row],[their_ent_2]], 1, 0)</f>
        <v>1</v>
      </c>
      <c r="J880">
        <f>IF(Table1[[#This Row],[same_1]]=1 &amp; Table1[[#This Row],[same_2]]=1, 1, 0)</f>
        <v>0</v>
      </c>
      <c r="K880">
        <f>IF(ISNUMBER(SEARCH(Table1[[#This Row],[their_ent_1]],Table1[[#This Row],[my_ent_1]])), 1, 0)</f>
        <v>0</v>
      </c>
      <c r="L880">
        <f>IF(ISNUMBER(SEARCH(Table1[[#This Row],[their_ent_2]],Table1[[#This Row],[my_ent_2]])), 1, 0)</f>
        <v>1</v>
      </c>
    </row>
    <row r="881" spans="1:12" x14ac:dyDescent="0.3">
      <c r="A881" t="s">
        <v>2669</v>
      </c>
      <c r="B881" t="s">
        <v>2670</v>
      </c>
      <c r="C881" t="s">
        <v>30</v>
      </c>
      <c r="D881" t="s">
        <v>2406</v>
      </c>
      <c r="E881" t="s">
        <v>2406</v>
      </c>
      <c r="F881">
        <v>3</v>
      </c>
      <c r="G881">
        <v>879</v>
      </c>
      <c r="H881">
        <f>IF(Table1[[#This Row],[my_ent_1]]=Table1[[#This Row],[their_ent_1]], 1, 0)</f>
        <v>0</v>
      </c>
      <c r="I881">
        <f>IF(Table1[[#This Row],[my_ent_2]]=Table1[[#This Row],[their_ent_2]], 1, 0)</f>
        <v>1</v>
      </c>
      <c r="J881">
        <f>IF(Table1[[#This Row],[same_1]]=1 &amp; Table1[[#This Row],[same_2]]=1, 1, 0)</f>
        <v>0</v>
      </c>
      <c r="K881">
        <f>IF(ISNUMBER(SEARCH(Table1[[#This Row],[their_ent_1]],Table1[[#This Row],[my_ent_1]])), 1, 0)</f>
        <v>1</v>
      </c>
      <c r="L881">
        <f>IF(ISNUMBER(SEARCH(Table1[[#This Row],[their_ent_2]],Table1[[#This Row],[my_ent_2]])), 1, 0)</f>
        <v>1</v>
      </c>
    </row>
    <row r="882" spans="1:12" hidden="1" x14ac:dyDescent="0.3">
      <c r="A882" t="s">
        <v>2671</v>
      </c>
      <c r="B882" t="s">
        <v>2672</v>
      </c>
      <c r="C882" t="s">
        <v>699</v>
      </c>
      <c r="D882" t="s">
        <v>699</v>
      </c>
      <c r="E882" t="s">
        <v>2673</v>
      </c>
      <c r="F882">
        <v>3</v>
      </c>
      <c r="G882">
        <v>880</v>
      </c>
      <c r="H882">
        <f>IF(Table1[[#This Row],[my_ent_1]]=Table1[[#This Row],[their_ent_1]], 1, 0)</f>
        <v>0</v>
      </c>
      <c r="I882">
        <f>IF(Table1[[#This Row],[my_ent_2]]=Table1[[#This Row],[their_ent_2]], 1, 0)</f>
        <v>0</v>
      </c>
      <c r="J882">
        <f>IF(Table1[[#This Row],[same_1]]=1 &amp; Table1[[#This Row],[same_2]]=1, 1, 0)</f>
        <v>0</v>
      </c>
      <c r="K882">
        <f>IF(ISNUMBER(SEARCH(Table1[[#This Row],[their_ent_1]],Table1[[#This Row],[my_ent_1]])), 1, 0)</f>
        <v>0</v>
      </c>
      <c r="L882">
        <f>IF(ISNUMBER(SEARCH(Table1[[#This Row],[their_ent_2]],Table1[[#This Row],[my_ent_2]])), 1, 0)</f>
        <v>0</v>
      </c>
    </row>
    <row r="883" spans="1:12" x14ac:dyDescent="0.3">
      <c r="A883" t="s">
        <v>2674</v>
      </c>
      <c r="B883" t="s">
        <v>7</v>
      </c>
      <c r="C883" t="s">
        <v>7</v>
      </c>
      <c r="D883" t="s">
        <v>920</v>
      </c>
      <c r="E883" t="s">
        <v>1219</v>
      </c>
      <c r="F883">
        <v>3</v>
      </c>
      <c r="G883">
        <v>881</v>
      </c>
      <c r="H883">
        <f>IF(Table1[[#This Row],[my_ent_1]]=Table1[[#This Row],[their_ent_1]], 1, 0)</f>
        <v>1</v>
      </c>
      <c r="I883">
        <f>IF(Table1[[#This Row],[my_ent_2]]=Table1[[#This Row],[their_ent_2]], 1, 0)</f>
        <v>0</v>
      </c>
      <c r="J883">
        <f>IF(Table1[[#This Row],[same_1]]=1 &amp; Table1[[#This Row],[same_2]]=1, 1, 0)</f>
        <v>0</v>
      </c>
      <c r="K883">
        <f>IF(ISNUMBER(SEARCH(Table1[[#This Row],[their_ent_1]],Table1[[#This Row],[my_ent_1]])), 1, 0)</f>
        <v>1</v>
      </c>
      <c r="L883">
        <f>IF(ISNUMBER(SEARCH(Table1[[#This Row],[their_ent_2]],Table1[[#This Row],[my_ent_2]])), 1, 0)</f>
        <v>1</v>
      </c>
    </row>
    <row r="884" spans="1:12" hidden="1" x14ac:dyDescent="0.3">
      <c r="A884" t="s">
        <v>2675</v>
      </c>
      <c r="B884" t="s">
        <v>2676</v>
      </c>
      <c r="C884" t="s">
        <v>2676</v>
      </c>
      <c r="D884" t="s">
        <v>2677</v>
      </c>
      <c r="E884" t="s">
        <v>58</v>
      </c>
      <c r="F884">
        <v>3</v>
      </c>
      <c r="G884">
        <v>882</v>
      </c>
      <c r="H884">
        <f>IF(Table1[[#This Row],[my_ent_1]]=Table1[[#This Row],[their_ent_1]], 1, 0)</f>
        <v>1</v>
      </c>
      <c r="I884">
        <f>IF(Table1[[#This Row],[my_ent_2]]=Table1[[#This Row],[their_ent_2]], 1, 0)</f>
        <v>0</v>
      </c>
      <c r="J884">
        <f>IF(Table1[[#This Row],[same_1]]=1 &amp; Table1[[#This Row],[same_2]]=1, 1, 0)</f>
        <v>0</v>
      </c>
      <c r="K884">
        <f>IF(ISNUMBER(SEARCH(Table1[[#This Row],[their_ent_1]],Table1[[#This Row],[my_ent_1]])), 1, 0)</f>
        <v>1</v>
      </c>
      <c r="L884">
        <f>IF(ISNUMBER(SEARCH(Table1[[#This Row],[their_ent_2]],Table1[[#This Row],[my_ent_2]])), 1, 0)</f>
        <v>0</v>
      </c>
    </row>
    <row r="885" spans="1:12" hidden="1" x14ac:dyDescent="0.3">
      <c r="A885" t="s">
        <v>2678</v>
      </c>
      <c r="B885" t="s">
        <v>2679</v>
      </c>
      <c r="C885" t="s">
        <v>2680</v>
      </c>
      <c r="D885" t="s">
        <v>51</v>
      </c>
      <c r="E885" t="s">
        <v>2681</v>
      </c>
      <c r="F885">
        <v>3</v>
      </c>
      <c r="G885">
        <v>883</v>
      </c>
      <c r="H885">
        <f>IF(Table1[[#This Row],[my_ent_1]]=Table1[[#This Row],[their_ent_1]], 1, 0)</f>
        <v>0</v>
      </c>
      <c r="I885">
        <f>IF(Table1[[#This Row],[my_ent_2]]=Table1[[#This Row],[their_ent_2]], 1, 0)</f>
        <v>0</v>
      </c>
      <c r="J885">
        <f>IF(Table1[[#This Row],[same_1]]=1 &amp; Table1[[#This Row],[same_2]]=1, 1, 0)</f>
        <v>0</v>
      </c>
      <c r="K885">
        <f>IF(ISNUMBER(SEARCH(Table1[[#This Row],[their_ent_1]],Table1[[#This Row],[my_ent_1]])), 1, 0)</f>
        <v>1</v>
      </c>
      <c r="L885">
        <f>IF(ISNUMBER(SEARCH(Table1[[#This Row],[their_ent_2]],Table1[[#This Row],[my_ent_2]])), 1, 0)</f>
        <v>0</v>
      </c>
    </row>
    <row r="886" spans="1:12" hidden="1" x14ac:dyDescent="0.3">
      <c r="A886" t="s">
        <v>2682</v>
      </c>
      <c r="B886" t="s">
        <v>58</v>
      </c>
      <c r="C886" t="s">
        <v>58</v>
      </c>
      <c r="D886" t="s">
        <v>121</v>
      </c>
      <c r="E886" t="s">
        <v>2683</v>
      </c>
      <c r="F886">
        <v>3</v>
      </c>
      <c r="G886">
        <v>884</v>
      </c>
      <c r="H886">
        <f>IF(Table1[[#This Row],[my_ent_1]]=Table1[[#This Row],[their_ent_1]], 1, 0)</f>
        <v>1</v>
      </c>
      <c r="I886">
        <f>IF(Table1[[#This Row],[my_ent_2]]=Table1[[#This Row],[their_ent_2]], 1, 0)</f>
        <v>0</v>
      </c>
      <c r="J886">
        <f>IF(Table1[[#This Row],[same_1]]=1 &amp; Table1[[#This Row],[same_2]]=1, 1, 0)</f>
        <v>0</v>
      </c>
      <c r="K886">
        <f>IF(ISNUMBER(SEARCH(Table1[[#This Row],[their_ent_1]],Table1[[#This Row],[my_ent_1]])), 1, 0)</f>
        <v>1</v>
      </c>
      <c r="L886">
        <f>IF(ISNUMBER(SEARCH(Table1[[#This Row],[their_ent_2]],Table1[[#This Row],[my_ent_2]])), 1, 0)</f>
        <v>0</v>
      </c>
    </row>
    <row r="887" spans="1:12" hidden="1" x14ac:dyDescent="0.3">
      <c r="A887" t="s">
        <v>2684</v>
      </c>
      <c r="B887" t="s">
        <v>2685</v>
      </c>
      <c r="C887" t="s">
        <v>2686</v>
      </c>
      <c r="D887" t="s">
        <v>7</v>
      </c>
      <c r="E887" t="s">
        <v>165</v>
      </c>
      <c r="F887">
        <v>3</v>
      </c>
      <c r="G887">
        <v>885</v>
      </c>
      <c r="H887">
        <f>IF(Table1[[#This Row],[my_ent_1]]=Table1[[#This Row],[their_ent_1]], 1, 0)</f>
        <v>0</v>
      </c>
      <c r="I887">
        <f>IF(Table1[[#This Row],[my_ent_2]]=Table1[[#This Row],[their_ent_2]], 1, 0)</f>
        <v>0</v>
      </c>
      <c r="J887">
        <f>IF(Table1[[#This Row],[same_1]]=1 &amp; Table1[[#This Row],[same_2]]=1, 1, 0)</f>
        <v>0</v>
      </c>
      <c r="K887">
        <f>IF(ISNUMBER(SEARCH(Table1[[#This Row],[their_ent_1]],Table1[[#This Row],[my_ent_1]])), 1, 0)</f>
        <v>0</v>
      </c>
      <c r="L887">
        <f>IF(ISNUMBER(SEARCH(Table1[[#This Row],[their_ent_2]],Table1[[#This Row],[my_ent_2]])), 1, 0)</f>
        <v>0</v>
      </c>
    </row>
    <row r="888" spans="1:12" hidden="1" x14ac:dyDescent="0.3">
      <c r="A888" t="s">
        <v>2687</v>
      </c>
      <c r="B888" t="s">
        <v>263</v>
      </c>
      <c r="C888" t="s">
        <v>1284</v>
      </c>
      <c r="D888" t="s">
        <v>1658</v>
      </c>
      <c r="E888" t="s">
        <v>2688</v>
      </c>
      <c r="F888">
        <v>3</v>
      </c>
      <c r="G888">
        <v>886</v>
      </c>
      <c r="H888">
        <f>IF(Table1[[#This Row],[my_ent_1]]=Table1[[#This Row],[their_ent_1]], 1, 0)</f>
        <v>0</v>
      </c>
      <c r="I888">
        <f>IF(Table1[[#This Row],[my_ent_2]]=Table1[[#This Row],[their_ent_2]], 1, 0)</f>
        <v>0</v>
      </c>
      <c r="J888">
        <f>IF(Table1[[#This Row],[same_1]]=1 &amp; Table1[[#This Row],[same_2]]=1, 1, 0)</f>
        <v>0</v>
      </c>
      <c r="K888">
        <f>IF(ISNUMBER(SEARCH(Table1[[#This Row],[their_ent_1]],Table1[[#This Row],[my_ent_1]])), 1, 0)</f>
        <v>0</v>
      </c>
      <c r="L888">
        <f>IF(ISNUMBER(SEARCH(Table1[[#This Row],[their_ent_2]],Table1[[#This Row],[my_ent_2]])), 1, 0)</f>
        <v>0</v>
      </c>
    </row>
    <row r="889" spans="1:12" hidden="1" x14ac:dyDescent="0.3">
      <c r="A889" t="s">
        <v>2689</v>
      </c>
      <c r="B889" t="s">
        <v>2690</v>
      </c>
      <c r="C889" t="s">
        <v>2691</v>
      </c>
      <c r="D889" t="s">
        <v>2692</v>
      </c>
      <c r="E889" t="s">
        <v>2692</v>
      </c>
      <c r="F889">
        <v>3</v>
      </c>
      <c r="G889">
        <v>887</v>
      </c>
      <c r="H889">
        <f>IF(Table1[[#This Row],[my_ent_1]]=Table1[[#This Row],[their_ent_1]], 1, 0)</f>
        <v>0</v>
      </c>
      <c r="I889">
        <f>IF(Table1[[#This Row],[my_ent_2]]=Table1[[#This Row],[their_ent_2]], 1, 0)</f>
        <v>1</v>
      </c>
      <c r="J889">
        <f>IF(Table1[[#This Row],[same_1]]=1 &amp; Table1[[#This Row],[same_2]]=1, 1, 0)</f>
        <v>0</v>
      </c>
      <c r="K889">
        <f>IF(ISNUMBER(SEARCH(Table1[[#This Row],[their_ent_1]],Table1[[#This Row],[my_ent_1]])), 1, 0)</f>
        <v>0</v>
      </c>
      <c r="L889">
        <f>IF(ISNUMBER(SEARCH(Table1[[#This Row],[their_ent_2]],Table1[[#This Row],[my_ent_2]])), 1, 0)</f>
        <v>1</v>
      </c>
    </row>
    <row r="890" spans="1:12" hidden="1" x14ac:dyDescent="0.3">
      <c r="A890" t="s">
        <v>2693</v>
      </c>
      <c r="B890" t="s">
        <v>2694</v>
      </c>
      <c r="C890" t="s">
        <v>2694</v>
      </c>
      <c r="D890" t="s">
        <v>2695</v>
      </c>
      <c r="E890" t="s">
        <v>2696</v>
      </c>
      <c r="F890">
        <v>3</v>
      </c>
      <c r="G890">
        <v>888</v>
      </c>
      <c r="H890">
        <f>IF(Table1[[#This Row],[my_ent_1]]=Table1[[#This Row],[their_ent_1]], 1, 0)</f>
        <v>1</v>
      </c>
      <c r="I890">
        <f>IF(Table1[[#This Row],[my_ent_2]]=Table1[[#This Row],[their_ent_2]], 1, 0)</f>
        <v>0</v>
      </c>
      <c r="J890">
        <f>IF(Table1[[#This Row],[same_1]]=1 &amp; Table1[[#This Row],[same_2]]=1, 1, 0)</f>
        <v>0</v>
      </c>
      <c r="K890">
        <f>IF(ISNUMBER(SEARCH(Table1[[#This Row],[their_ent_1]],Table1[[#This Row],[my_ent_1]])), 1, 0)</f>
        <v>1</v>
      </c>
      <c r="L890">
        <f>IF(ISNUMBER(SEARCH(Table1[[#This Row],[their_ent_2]],Table1[[#This Row],[my_ent_2]])), 1, 0)</f>
        <v>0</v>
      </c>
    </row>
    <row r="891" spans="1:12" x14ac:dyDescent="0.3">
      <c r="A891" t="s">
        <v>2697</v>
      </c>
      <c r="B891" t="s">
        <v>401</v>
      </c>
      <c r="C891" t="s">
        <v>30</v>
      </c>
      <c r="D891" t="s">
        <v>7</v>
      </c>
      <c r="E891" t="s">
        <v>7</v>
      </c>
      <c r="F891">
        <v>3</v>
      </c>
      <c r="G891">
        <v>889</v>
      </c>
      <c r="H891">
        <f>IF(Table1[[#This Row],[my_ent_1]]=Table1[[#This Row],[their_ent_1]], 1, 0)</f>
        <v>0</v>
      </c>
      <c r="I891">
        <f>IF(Table1[[#This Row],[my_ent_2]]=Table1[[#This Row],[their_ent_2]], 1, 0)</f>
        <v>1</v>
      </c>
      <c r="J891">
        <f>IF(Table1[[#This Row],[same_1]]=1 &amp; Table1[[#This Row],[same_2]]=1, 1, 0)</f>
        <v>0</v>
      </c>
      <c r="K891">
        <f>IF(ISNUMBER(SEARCH(Table1[[#This Row],[their_ent_1]],Table1[[#This Row],[my_ent_1]])), 1, 0)</f>
        <v>1</v>
      </c>
      <c r="L891">
        <f>IF(ISNUMBER(SEARCH(Table1[[#This Row],[their_ent_2]],Table1[[#This Row],[my_ent_2]])), 1, 0)</f>
        <v>1</v>
      </c>
    </row>
    <row r="892" spans="1:12" x14ac:dyDescent="0.3">
      <c r="A892" t="s">
        <v>2698</v>
      </c>
      <c r="B892" t="s">
        <v>904</v>
      </c>
      <c r="C892" t="s">
        <v>904</v>
      </c>
      <c r="D892" t="s">
        <v>2210</v>
      </c>
      <c r="E892" t="s">
        <v>903</v>
      </c>
      <c r="F892">
        <v>3</v>
      </c>
      <c r="G892">
        <v>890</v>
      </c>
      <c r="H892">
        <f>IF(Table1[[#This Row],[my_ent_1]]=Table1[[#This Row],[their_ent_1]], 1, 0)</f>
        <v>1</v>
      </c>
      <c r="I892">
        <f>IF(Table1[[#This Row],[my_ent_2]]=Table1[[#This Row],[their_ent_2]], 1, 0)</f>
        <v>0</v>
      </c>
      <c r="J892">
        <f>IF(Table1[[#This Row],[same_1]]=1 &amp; Table1[[#This Row],[same_2]]=1, 1, 0)</f>
        <v>0</v>
      </c>
      <c r="K892">
        <f>IF(ISNUMBER(SEARCH(Table1[[#This Row],[their_ent_1]],Table1[[#This Row],[my_ent_1]])), 1, 0)</f>
        <v>1</v>
      </c>
      <c r="L892">
        <f>IF(ISNUMBER(SEARCH(Table1[[#This Row],[their_ent_2]],Table1[[#This Row],[my_ent_2]])), 1, 0)</f>
        <v>1</v>
      </c>
    </row>
    <row r="893" spans="1:12" x14ac:dyDescent="0.3">
      <c r="A893" t="s">
        <v>2699</v>
      </c>
      <c r="B893" t="s">
        <v>401</v>
      </c>
      <c r="C893" t="s">
        <v>30</v>
      </c>
      <c r="D893" t="s">
        <v>525</v>
      </c>
      <c r="E893" t="s">
        <v>525</v>
      </c>
      <c r="F893">
        <v>3</v>
      </c>
      <c r="G893">
        <v>891</v>
      </c>
      <c r="H893">
        <f>IF(Table1[[#This Row],[my_ent_1]]=Table1[[#This Row],[their_ent_1]], 1, 0)</f>
        <v>0</v>
      </c>
      <c r="I893">
        <f>IF(Table1[[#This Row],[my_ent_2]]=Table1[[#This Row],[their_ent_2]], 1, 0)</f>
        <v>1</v>
      </c>
      <c r="J893">
        <f>IF(Table1[[#This Row],[same_1]]=1 &amp; Table1[[#This Row],[same_2]]=1, 1, 0)</f>
        <v>0</v>
      </c>
      <c r="K893">
        <f>IF(ISNUMBER(SEARCH(Table1[[#This Row],[their_ent_1]],Table1[[#This Row],[my_ent_1]])), 1, 0)</f>
        <v>1</v>
      </c>
      <c r="L893">
        <f>IF(ISNUMBER(SEARCH(Table1[[#This Row],[their_ent_2]],Table1[[#This Row],[my_ent_2]])), 1, 0)</f>
        <v>1</v>
      </c>
    </row>
    <row r="894" spans="1:12" hidden="1" x14ac:dyDescent="0.3">
      <c r="A894" t="s">
        <v>2700</v>
      </c>
      <c r="B894" t="s">
        <v>2701</v>
      </c>
      <c r="C894" t="s">
        <v>2702</v>
      </c>
      <c r="D894" t="s">
        <v>2703</v>
      </c>
      <c r="E894" t="s">
        <v>680</v>
      </c>
      <c r="F894">
        <v>3</v>
      </c>
      <c r="G894">
        <v>892</v>
      </c>
      <c r="H894">
        <f>IF(Table1[[#This Row],[my_ent_1]]=Table1[[#This Row],[their_ent_1]], 1, 0)</f>
        <v>0</v>
      </c>
      <c r="I894">
        <f>IF(Table1[[#This Row],[my_ent_2]]=Table1[[#This Row],[their_ent_2]], 1, 0)</f>
        <v>0</v>
      </c>
      <c r="J894">
        <f>IF(Table1[[#This Row],[same_1]]=1 &amp; Table1[[#This Row],[same_2]]=1, 1, 0)</f>
        <v>0</v>
      </c>
      <c r="K894">
        <f>IF(ISNUMBER(SEARCH(Table1[[#This Row],[their_ent_1]],Table1[[#This Row],[my_ent_1]])), 1, 0)</f>
        <v>0</v>
      </c>
      <c r="L894">
        <f>IF(ISNUMBER(SEARCH(Table1[[#This Row],[their_ent_2]],Table1[[#This Row],[my_ent_2]])), 1, 0)</f>
        <v>0</v>
      </c>
    </row>
    <row r="895" spans="1:12" hidden="1" x14ac:dyDescent="0.3">
      <c r="A895" t="s">
        <v>2704</v>
      </c>
      <c r="B895" t="s">
        <v>7</v>
      </c>
      <c r="C895" t="s">
        <v>2031</v>
      </c>
      <c r="D895" t="s">
        <v>267</v>
      </c>
      <c r="E895" t="s">
        <v>7</v>
      </c>
      <c r="F895">
        <v>3</v>
      </c>
      <c r="G895">
        <v>893</v>
      </c>
      <c r="H895">
        <f>IF(Table1[[#This Row],[my_ent_1]]=Table1[[#This Row],[their_ent_1]], 1, 0)</f>
        <v>0</v>
      </c>
      <c r="I895">
        <f>IF(Table1[[#This Row],[my_ent_2]]=Table1[[#This Row],[their_ent_2]], 1, 0)</f>
        <v>0</v>
      </c>
      <c r="J895">
        <f>IF(Table1[[#This Row],[same_1]]=1 &amp; Table1[[#This Row],[same_2]]=1, 1, 0)</f>
        <v>0</v>
      </c>
      <c r="K895">
        <f>IF(ISNUMBER(SEARCH(Table1[[#This Row],[their_ent_1]],Table1[[#This Row],[my_ent_1]])), 1, 0)</f>
        <v>0</v>
      </c>
      <c r="L895">
        <f>IF(ISNUMBER(SEARCH(Table1[[#This Row],[their_ent_2]],Table1[[#This Row],[my_ent_2]])), 1, 0)</f>
        <v>0</v>
      </c>
    </row>
    <row r="896" spans="1:12" hidden="1" x14ac:dyDescent="0.3">
      <c r="A896" t="s">
        <v>2705</v>
      </c>
      <c r="B896" t="s">
        <v>1798</v>
      </c>
      <c r="C896" t="s">
        <v>2706</v>
      </c>
      <c r="D896" t="s">
        <v>2707</v>
      </c>
      <c r="E896" t="s">
        <v>2707</v>
      </c>
      <c r="F896">
        <v>3</v>
      </c>
      <c r="G896">
        <v>894</v>
      </c>
      <c r="H896">
        <f>IF(Table1[[#This Row],[my_ent_1]]=Table1[[#This Row],[their_ent_1]], 1, 0)</f>
        <v>0</v>
      </c>
      <c r="I896">
        <f>IF(Table1[[#This Row],[my_ent_2]]=Table1[[#This Row],[their_ent_2]], 1, 0)</f>
        <v>1</v>
      </c>
      <c r="J896">
        <f>IF(Table1[[#This Row],[same_1]]=1 &amp; Table1[[#This Row],[same_2]]=1, 1, 0)</f>
        <v>0</v>
      </c>
      <c r="K896">
        <f>IF(ISNUMBER(SEARCH(Table1[[#This Row],[their_ent_1]],Table1[[#This Row],[my_ent_1]])), 1, 0)</f>
        <v>0</v>
      </c>
      <c r="L896">
        <f>IF(ISNUMBER(SEARCH(Table1[[#This Row],[their_ent_2]],Table1[[#This Row],[my_ent_2]])), 1, 0)</f>
        <v>1</v>
      </c>
    </row>
    <row r="897" spans="1:12" x14ac:dyDescent="0.3">
      <c r="A897" t="s">
        <v>2708</v>
      </c>
      <c r="B897" t="s">
        <v>401</v>
      </c>
      <c r="C897" t="s">
        <v>30</v>
      </c>
      <c r="D897" t="s">
        <v>631</v>
      </c>
      <c r="E897" t="s">
        <v>94</v>
      </c>
      <c r="F897">
        <v>3</v>
      </c>
      <c r="G897">
        <v>895</v>
      </c>
      <c r="H897">
        <f>IF(Table1[[#This Row],[my_ent_1]]=Table1[[#This Row],[their_ent_1]], 1, 0)</f>
        <v>0</v>
      </c>
      <c r="I897">
        <f>IF(Table1[[#This Row],[my_ent_2]]=Table1[[#This Row],[their_ent_2]], 1, 0)</f>
        <v>0</v>
      </c>
      <c r="J897">
        <f>IF(Table1[[#This Row],[same_1]]=1 &amp; Table1[[#This Row],[same_2]]=1, 1, 0)</f>
        <v>0</v>
      </c>
      <c r="K897">
        <f>IF(ISNUMBER(SEARCH(Table1[[#This Row],[their_ent_1]],Table1[[#This Row],[my_ent_1]])), 1, 0)</f>
        <v>1</v>
      </c>
      <c r="L897">
        <f>IF(ISNUMBER(SEARCH(Table1[[#This Row],[their_ent_2]],Table1[[#This Row],[my_ent_2]])), 1, 0)</f>
        <v>1</v>
      </c>
    </row>
    <row r="898" spans="1:12" hidden="1" x14ac:dyDescent="0.3">
      <c r="A898" t="s">
        <v>2709</v>
      </c>
      <c r="B898" t="s">
        <v>2710</v>
      </c>
      <c r="C898" t="s">
        <v>2711</v>
      </c>
      <c r="D898" t="s">
        <v>708</v>
      </c>
      <c r="E898" t="s">
        <v>708</v>
      </c>
      <c r="F898">
        <v>3</v>
      </c>
      <c r="G898">
        <v>896</v>
      </c>
      <c r="H898">
        <f>IF(Table1[[#This Row],[my_ent_1]]=Table1[[#This Row],[their_ent_1]], 1, 0)</f>
        <v>0</v>
      </c>
      <c r="I898">
        <f>IF(Table1[[#This Row],[my_ent_2]]=Table1[[#This Row],[their_ent_2]], 1, 0)</f>
        <v>1</v>
      </c>
      <c r="J898">
        <f>IF(Table1[[#This Row],[same_1]]=1 &amp; Table1[[#This Row],[same_2]]=1, 1, 0)</f>
        <v>0</v>
      </c>
      <c r="K898">
        <f>IF(ISNUMBER(SEARCH(Table1[[#This Row],[their_ent_1]],Table1[[#This Row],[my_ent_1]])), 1, 0)</f>
        <v>0</v>
      </c>
      <c r="L898">
        <f>IF(ISNUMBER(SEARCH(Table1[[#This Row],[their_ent_2]],Table1[[#This Row],[my_ent_2]])), 1, 0)</f>
        <v>1</v>
      </c>
    </row>
    <row r="899" spans="1:12" hidden="1" x14ac:dyDescent="0.3">
      <c r="A899" t="s">
        <v>2712</v>
      </c>
      <c r="B899" t="s">
        <v>2713</v>
      </c>
      <c r="C899" t="s">
        <v>2714</v>
      </c>
      <c r="D899" t="s">
        <v>2715</v>
      </c>
      <c r="E899" t="s">
        <v>2716</v>
      </c>
      <c r="F899">
        <v>3</v>
      </c>
      <c r="G899">
        <v>897</v>
      </c>
      <c r="H899">
        <f>IF(Table1[[#This Row],[my_ent_1]]=Table1[[#This Row],[their_ent_1]], 1, 0)</f>
        <v>0</v>
      </c>
      <c r="I899">
        <f>IF(Table1[[#This Row],[my_ent_2]]=Table1[[#This Row],[their_ent_2]], 1, 0)</f>
        <v>0</v>
      </c>
      <c r="J899">
        <f>IF(Table1[[#This Row],[same_1]]=1 &amp; Table1[[#This Row],[same_2]]=1, 1, 0)</f>
        <v>0</v>
      </c>
      <c r="K899">
        <f>IF(ISNUMBER(SEARCH(Table1[[#This Row],[their_ent_1]],Table1[[#This Row],[my_ent_1]])), 1, 0)</f>
        <v>1</v>
      </c>
      <c r="L899">
        <f>IF(ISNUMBER(SEARCH(Table1[[#This Row],[their_ent_2]],Table1[[#This Row],[my_ent_2]])), 1, 0)</f>
        <v>0</v>
      </c>
    </row>
    <row r="900" spans="1:12" hidden="1" x14ac:dyDescent="0.3">
      <c r="A900" t="s">
        <v>2717</v>
      </c>
      <c r="B900" t="s">
        <v>845</v>
      </c>
      <c r="C900" t="s">
        <v>1007</v>
      </c>
      <c r="D900" t="s">
        <v>920</v>
      </c>
      <c r="E900" t="s">
        <v>1219</v>
      </c>
      <c r="F900">
        <v>3</v>
      </c>
      <c r="G900">
        <v>898</v>
      </c>
      <c r="H900">
        <f>IF(Table1[[#This Row],[my_ent_1]]=Table1[[#This Row],[their_ent_1]], 1, 0)</f>
        <v>0</v>
      </c>
      <c r="I900">
        <f>IF(Table1[[#This Row],[my_ent_2]]=Table1[[#This Row],[their_ent_2]], 1, 0)</f>
        <v>0</v>
      </c>
      <c r="J900">
        <f>IF(Table1[[#This Row],[same_1]]=1 &amp; Table1[[#This Row],[same_2]]=1, 1, 0)</f>
        <v>0</v>
      </c>
      <c r="K900">
        <f>IF(ISNUMBER(SEARCH(Table1[[#This Row],[their_ent_1]],Table1[[#This Row],[my_ent_1]])), 1, 0)</f>
        <v>0</v>
      </c>
      <c r="L900">
        <f>IF(ISNUMBER(SEARCH(Table1[[#This Row],[their_ent_2]],Table1[[#This Row],[my_ent_2]])), 1, 0)</f>
        <v>1</v>
      </c>
    </row>
    <row r="901" spans="1:12" hidden="1" x14ac:dyDescent="0.3">
      <c r="A901" t="s">
        <v>2718</v>
      </c>
      <c r="B901" t="s">
        <v>2719</v>
      </c>
      <c r="C901" t="s">
        <v>2719</v>
      </c>
      <c r="D901" t="s">
        <v>2720</v>
      </c>
      <c r="E901" t="s">
        <v>2721</v>
      </c>
      <c r="F901">
        <v>3</v>
      </c>
      <c r="G901">
        <v>899</v>
      </c>
      <c r="H901">
        <f>IF(Table1[[#This Row],[my_ent_1]]=Table1[[#This Row],[their_ent_1]], 1, 0)</f>
        <v>1</v>
      </c>
      <c r="I901">
        <f>IF(Table1[[#This Row],[my_ent_2]]=Table1[[#This Row],[their_ent_2]], 1, 0)</f>
        <v>0</v>
      </c>
      <c r="J901">
        <f>IF(Table1[[#This Row],[same_1]]=1 &amp; Table1[[#This Row],[same_2]]=1, 1, 0)</f>
        <v>0</v>
      </c>
      <c r="K901">
        <f>IF(ISNUMBER(SEARCH(Table1[[#This Row],[their_ent_1]],Table1[[#This Row],[my_ent_1]])), 1, 0)</f>
        <v>1</v>
      </c>
      <c r="L901">
        <f>IF(ISNUMBER(SEARCH(Table1[[#This Row],[their_ent_2]],Table1[[#This Row],[my_ent_2]])), 1, 0)</f>
        <v>0</v>
      </c>
    </row>
    <row r="902" spans="1:12" hidden="1" x14ac:dyDescent="0.3">
      <c r="A902" t="s">
        <v>2722</v>
      </c>
      <c r="B902" t="s">
        <v>1332</v>
      </c>
      <c r="C902" t="s">
        <v>1332</v>
      </c>
      <c r="D902" t="s">
        <v>953</v>
      </c>
      <c r="E902" t="s">
        <v>957</v>
      </c>
      <c r="F902">
        <v>3</v>
      </c>
      <c r="G902">
        <v>900</v>
      </c>
      <c r="H902">
        <f>IF(Table1[[#This Row],[my_ent_1]]=Table1[[#This Row],[their_ent_1]], 1, 0)</f>
        <v>1</v>
      </c>
      <c r="I902">
        <f>IF(Table1[[#This Row],[my_ent_2]]=Table1[[#This Row],[their_ent_2]], 1, 0)</f>
        <v>0</v>
      </c>
      <c r="J902">
        <f>IF(Table1[[#This Row],[same_1]]=1 &amp; Table1[[#This Row],[same_2]]=1, 1, 0)</f>
        <v>0</v>
      </c>
      <c r="K902">
        <f>IF(ISNUMBER(SEARCH(Table1[[#This Row],[their_ent_1]],Table1[[#This Row],[my_ent_1]])), 1, 0)</f>
        <v>1</v>
      </c>
      <c r="L902">
        <f>IF(ISNUMBER(SEARCH(Table1[[#This Row],[their_ent_2]],Table1[[#This Row],[my_ent_2]])), 1, 0)</f>
        <v>0</v>
      </c>
    </row>
    <row r="903" spans="1:12" hidden="1" x14ac:dyDescent="0.3">
      <c r="A903" t="s">
        <v>2723</v>
      </c>
      <c r="B903" t="s">
        <v>58</v>
      </c>
      <c r="C903" t="s">
        <v>58</v>
      </c>
      <c r="D903" t="s">
        <v>106</v>
      </c>
      <c r="E903" t="s">
        <v>1884</v>
      </c>
      <c r="F903">
        <v>3</v>
      </c>
      <c r="G903">
        <v>901</v>
      </c>
      <c r="H903">
        <f>IF(Table1[[#This Row],[my_ent_1]]=Table1[[#This Row],[their_ent_1]], 1, 0)</f>
        <v>1</v>
      </c>
      <c r="I903">
        <f>IF(Table1[[#This Row],[my_ent_2]]=Table1[[#This Row],[their_ent_2]], 1, 0)</f>
        <v>0</v>
      </c>
      <c r="J903">
        <f>IF(Table1[[#This Row],[same_1]]=1 &amp; Table1[[#This Row],[same_2]]=1, 1, 0)</f>
        <v>0</v>
      </c>
      <c r="K903">
        <f>IF(ISNUMBER(SEARCH(Table1[[#This Row],[their_ent_1]],Table1[[#This Row],[my_ent_1]])), 1, 0)</f>
        <v>1</v>
      </c>
      <c r="L903">
        <f>IF(ISNUMBER(SEARCH(Table1[[#This Row],[their_ent_2]],Table1[[#This Row],[my_ent_2]])), 1, 0)</f>
        <v>0</v>
      </c>
    </row>
    <row r="904" spans="1:12" hidden="1" x14ac:dyDescent="0.3">
      <c r="A904" t="s">
        <v>2724</v>
      </c>
      <c r="B904" t="s">
        <v>2725</v>
      </c>
      <c r="C904" t="s">
        <v>2726</v>
      </c>
      <c r="D904" t="s">
        <v>7</v>
      </c>
      <c r="E904" t="s">
        <v>869</v>
      </c>
      <c r="F904">
        <v>3</v>
      </c>
      <c r="G904">
        <v>902</v>
      </c>
      <c r="H904">
        <f>IF(Table1[[#This Row],[my_ent_1]]=Table1[[#This Row],[their_ent_1]], 1, 0)</f>
        <v>0</v>
      </c>
      <c r="I904">
        <f>IF(Table1[[#This Row],[my_ent_2]]=Table1[[#This Row],[their_ent_2]], 1, 0)</f>
        <v>0</v>
      </c>
      <c r="J904">
        <f>IF(Table1[[#This Row],[same_1]]=1 &amp; Table1[[#This Row],[same_2]]=1, 1, 0)</f>
        <v>0</v>
      </c>
      <c r="K904">
        <f>IF(ISNUMBER(SEARCH(Table1[[#This Row],[their_ent_1]],Table1[[#This Row],[my_ent_1]])), 1, 0)</f>
        <v>0</v>
      </c>
      <c r="L904">
        <f>IF(ISNUMBER(SEARCH(Table1[[#This Row],[their_ent_2]],Table1[[#This Row],[my_ent_2]])), 1, 0)</f>
        <v>0</v>
      </c>
    </row>
    <row r="905" spans="1:12" hidden="1" x14ac:dyDescent="0.3">
      <c r="A905" t="s">
        <v>2727</v>
      </c>
      <c r="B905" t="s">
        <v>7</v>
      </c>
      <c r="C905" t="s">
        <v>165</v>
      </c>
      <c r="D905" t="s">
        <v>94</v>
      </c>
      <c r="E905" t="s">
        <v>94</v>
      </c>
      <c r="F905">
        <v>3</v>
      </c>
      <c r="G905">
        <v>903</v>
      </c>
      <c r="H905">
        <f>IF(Table1[[#This Row],[my_ent_1]]=Table1[[#This Row],[their_ent_1]], 1, 0)</f>
        <v>0</v>
      </c>
      <c r="I905">
        <f>IF(Table1[[#This Row],[my_ent_2]]=Table1[[#This Row],[their_ent_2]], 1, 0)</f>
        <v>1</v>
      </c>
      <c r="J905">
        <f>IF(Table1[[#This Row],[same_1]]=1 &amp; Table1[[#This Row],[same_2]]=1, 1, 0)</f>
        <v>0</v>
      </c>
      <c r="K905">
        <f>IF(ISNUMBER(SEARCH(Table1[[#This Row],[their_ent_1]],Table1[[#This Row],[my_ent_1]])), 1, 0)</f>
        <v>0</v>
      </c>
      <c r="L905">
        <f>IF(ISNUMBER(SEARCH(Table1[[#This Row],[their_ent_2]],Table1[[#This Row],[my_ent_2]])), 1, 0)</f>
        <v>1</v>
      </c>
    </row>
    <row r="906" spans="1:12" hidden="1" x14ac:dyDescent="0.3">
      <c r="A906" t="s">
        <v>2728</v>
      </c>
      <c r="B906" t="s">
        <v>58</v>
      </c>
      <c r="C906" t="s">
        <v>58</v>
      </c>
      <c r="D906" t="s">
        <v>1206</v>
      </c>
      <c r="E906" t="s">
        <v>98</v>
      </c>
      <c r="F906">
        <v>3</v>
      </c>
      <c r="G906">
        <v>904</v>
      </c>
      <c r="H906">
        <f>IF(Table1[[#This Row],[my_ent_1]]=Table1[[#This Row],[their_ent_1]], 1, 0)</f>
        <v>1</v>
      </c>
      <c r="I906">
        <f>IF(Table1[[#This Row],[my_ent_2]]=Table1[[#This Row],[their_ent_2]], 1, 0)</f>
        <v>0</v>
      </c>
      <c r="J906">
        <f>IF(Table1[[#This Row],[same_1]]=1 &amp; Table1[[#This Row],[same_2]]=1, 1, 0)</f>
        <v>0</v>
      </c>
      <c r="K906">
        <f>IF(ISNUMBER(SEARCH(Table1[[#This Row],[their_ent_1]],Table1[[#This Row],[my_ent_1]])), 1, 0)</f>
        <v>1</v>
      </c>
      <c r="L906">
        <f>IF(ISNUMBER(SEARCH(Table1[[#This Row],[their_ent_2]],Table1[[#This Row],[my_ent_2]])), 1, 0)</f>
        <v>0</v>
      </c>
    </row>
    <row r="907" spans="1:12" hidden="1" x14ac:dyDescent="0.3">
      <c r="A907" t="s">
        <v>2729</v>
      </c>
      <c r="B907" t="s">
        <v>2652</v>
      </c>
      <c r="C907" t="s">
        <v>2652</v>
      </c>
      <c r="D907" t="s">
        <v>2730</v>
      </c>
      <c r="E907" t="s">
        <v>324</v>
      </c>
      <c r="F907">
        <v>3</v>
      </c>
      <c r="G907">
        <v>905</v>
      </c>
      <c r="H907">
        <f>IF(Table1[[#This Row],[my_ent_1]]=Table1[[#This Row],[their_ent_1]], 1, 0)</f>
        <v>1</v>
      </c>
      <c r="I907">
        <f>IF(Table1[[#This Row],[my_ent_2]]=Table1[[#This Row],[their_ent_2]], 1, 0)</f>
        <v>0</v>
      </c>
      <c r="J907">
        <f>IF(Table1[[#This Row],[same_1]]=1 &amp; Table1[[#This Row],[same_2]]=1, 1, 0)</f>
        <v>0</v>
      </c>
      <c r="K907">
        <f>IF(ISNUMBER(SEARCH(Table1[[#This Row],[their_ent_1]],Table1[[#This Row],[my_ent_1]])), 1, 0)</f>
        <v>1</v>
      </c>
      <c r="L907">
        <f>IF(ISNUMBER(SEARCH(Table1[[#This Row],[their_ent_2]],Table1[[#This Row],[my_ent_2]])), 1, 0)</f>
        <v>0</v>
      </c>
    </row>
    <row r="908" spans="1:12" hidden="1" x14ac:dyDescent="0.3">
      <c r="A908" t="s">
        <v>2731</v>
      </c>
      <c r="B908" t="s">
        <v>2732</v>
      </c>
      <c r="C908" t="s">
        <v>2733</v>
      </c>
      <c r="D908" t="s">
        <v>1297</v>
      </c>
      <c r="E908" t="s">
        <v>2732</v>
      </c>
      <c r="F908">
        <v>3</v>
      </c>
      <c r="G908">
        <v>906</v>
      </c>
      <c r="H908">
        <f>IF(Table1[[#This Row],[my_ent_1]]=Table1[[#This Row],[their_ent_1]], 1, 0)</f>
        <v>0</v>
      </c>
      <c r="I908">
        <f>IF(Table1[[#This Row],[my_ent_2]]=Table1[[#This Row],[their_ent_2]], 1, 0)</f>
        <v>0</v>
      </c>
      <c r="J908">
        <f>IF(Table1[[#This Row],[same_1]]=1 &amp; Table1[[#This Row],[same_2]]=1, 1, 0)</f>
        <v>0</v>
      </c>
      <c r="K908">
        <f>IF(ISNUMBER(SEARCH(Table1[[#This Row],[their_ent_1]],Table1[[#This Row],[my_ent_1]])), 1, 0)</f>
        <v>0</v>
      </c>
      <c r="L908">
        <f>IF(ISNUMBER(SEARCH(Table1[[#This Row],[their_ent_2]],Table1[[#This Row],[my_ent_2]])), 1, 0)</f>
        <v>0</v>
      </c>
    </row>
    <row r="909" spans="1:12" hidden="1" x14ac:dyDescent="0.3">
      <c r="A909" t="s">
        <v>2734</v>
      </c>
      <c r="B909" t="s">
        <v>2735</v>
      </c>
      <c r="C909" t="s">
        <v>2736</v>
      </c>
      <c r="D909" t="s">
        <v>2736</v>
      </c>
      <c r="E909" t="s">
        <v>597</v>
      </c>
      <c r="F909">
        <v>3</v>
      </c>
      <c r="G909">
        <v>907</v>
      </c>
      <c r="H909">
        <f>IF(Table1[[#This Row],[my_ent_1]]=Table1[[#This Row],[their_ent_1]], 1, 0)</f>
        <v>0</v>
      </c>
      <c r="I909">
        <f>IF(Table1[[#This Row],[my_ent_2]]=Table1[[#This Row],[their_ent_2]], 1, 0)</f>
        <v>0</v>
      </c>
      <c r="J909">
        <f>IF(Table1[[#This Row],[same_1]]=1 &amp; Table1[[#This Row],[same_2]]=1, 1, 0)</f>
        <v>0</v>
      </c>
      <c r="K909">
        <f>IF(ISNUMBER(SEARCH(Table1[[#This Row],[their_ent_1]],Table1[[#This Row],[my_ent_1]])), 1, 0)</f>
        <v>0</v>
      </c>
      <c r="L909">
        <f>IF(ISNUMBER(SEARCH(Table1[[#This Row],[their_ent_2]],Table1[[#This Row],[my_ent_2]])), 1, 0)</f>
        <v>0</v>
      </c>
    </row>
    <row r="910" spans="1:12" hidden="1" x14ac:dyDescent="0.3">
      <c r="A910" t="s">
        <v>2737</v>
      </c>
      <c r="B910" t="s">
        <v>1975</v>
      </c>
      <c r="C910" t="s">
        <v>1975</v>
      </c>
      <c r="D910" t="s">
        <v>2738</v>
      </c>
      <c r="E910" t="s">
        <v>2739</v>
      </c>
      <c r="F910">
        <v>3</v>
      </c>
      <c r="G910">
        <v>908</v>
      </c>
      <c r="H910">
        <f>IF(Table1[[#This Row],[my_ent_1]]=Table1[[#This Row],[their_ent_1]], 1, 0)</f>
        <v>1</v>
      </c>
      <c r="I910">
        <f>IF(Table1[[#This Row],[my_ent_2]]=Table1[[#This Row],[their_ent_2]], 1, 0)</f>
        <v>0</v>
      </c>
      <c r="J910">
        <f>IF(Table1[[#This Row],[same_1]]=1 &amp; Table1[[#This Row],[same_2]]=1, 1, 0)</f>
        <v>0</v>
      </c>
      <c r="K910">
        <f>IF(ISNUMBER(SEARCH(Table1[[#This Row],[their_ent_1]],Table1[[#This Row],[my_ent_1]])), 1, 0)</f>
        <v>1</v>
      </c>
      <c r="L910">
        <f>IF(ISNUMBER(SEARCH(Table1[[#This Row],[their_ent_2]],Table1[[#This Row],[my_ent_2]])), 1, 0)</f>
        <v>0</v>
      </c>
    </row>
    <row r="911" spans="1:12" x14ac:dyDescent="0.3">
      <c r="A911" t="s">
        <v>2740</v>
      </c>
      <c r="B911" t="s">
        <v>2741</v>
      </c>
      <c r="C911" t="s">
        <v>2742</v>
      </c>
      <c r="D911" t="s">
        <v>845</v>
      </c>
      <c r="E911" t="s">
        <v>845</v>
      </c>
      <c r="F911">
        <v>3</v>
      </c>
      <c r="G911">
        <v>909</v>
      </c>
      <c r="H911">
        <f>IF(Table1[[#This Row],[my_ent_1]]=Table1[[#This Row],[their_ent_1]], 1, 0)</f>
        <v>0</v>
      </c>
      <c r="I911">
        <f>IF(Table1[[#This Row],[my_ent_2]]=Table1[[#This Row],[their_ent_2]], 1, 0)</f>
        <v>1</v>
      </c>
      <c r="J911">
        <f>IF(Table1[[#This Row],[same_1]]=1 &amp; Table1[[#This Row],[same_2]]=1, 1, 0)</f>
        <v>0</v>
      </c>
      <c r="K911">
        <f>IF(ISNUMBER(SEARCH(Table1[[#This Row],[their_ent_1]],Table1[[#This Row],[my_ent_1]])), 1, 0)</f>
        <v>1</v>
      </c>
      <c r="L911">
        <f>IF(ISNUMBER(SEARCH(Table1[[#This Row],[their_ent_2]],Table1[[#This Row],[my_ent_2]])), 1, 0)</f>
        <v>1</v>
      </c>
    </row>
    <row r="912" spans="1:12" hidden="1" x14ac:dyDescent="0.3">
      <c r="A912" t="s">
        <v>2743</v>
      </c>
      <c r="B912" t="s">
        <v>267</v>
      </c>
      <c r="C912" t="s">
        <v>2744</v>
      </c>
      <c r="D912" t="s">
        <v>30</v>
      </c>
      <c r="E912" t="s">
        <v>7</v>
      </c>
      <c r="F912">
        <v>3</v>
      </c>
      <c r="G912">
        <v>910</v>
      </c>
      <c r="H912">
        <f>IF(Table1[[#This Row],[my_ent_1]]=Table1[[#This Row],[their_ent_1]], 1, 0)</f>
        <v>0</v>
      </c>
      <c r="I912">
        <f>IF(Table1[[#This Row],[my_ent_2]]=Table1[[#This Row],[their_ent_2]], 1, 0)</f>
        <v>0</v>
      </c>
      <c r="J912">
        <f>IF(Table1[[#This Row],[same_1]]=1 &amp; Table1[[#This Row],[same_2]]=1, 1, 0)</f>
        <v>0</v>
      </c>
      <c r="K912">
        <f>IF(ISNUMBER(SEARCH(Table1[[#This Row],[their_ent_1]],Table1[[#This Row],[my_ent_1]])), 1, 0)</f>
        <v>0</v>
      </c>
      <c r="L912">
        <f>IF(ISNUMBER(SEARCH(Table1[[#This Row],[their_ent_2]],Table1[[#This Row],[my_ent_2]])), 1, 0)</f>
        <v>0</v>
      </c>
    </row>
    <row r="913" spans="1:12" x14ac:dyDescent="0.3">
      <c r="A913" t="s">
        <v>2745</v>
      </c>
      <c r="B913" t="s">
        <v>58</v>
      </c>
      <c r="C913" t="s">
        <v>58</v>
      </c>
      <c r="D913" t="s">
        <v>149</v>
      </c>
      <c r="E913" t="s">
        <v>150</v>
      </c>
      <c r="F913">
        <v>3</v>
      </c>
      <c r="G913">
        <v>911</v>
      </c>
      <c r="H913">
        <f>IF(Table1[[#This Row],[my_ent_1]]=Table1[[#This Row],[their_ent_1]], 1, 0)</f>
        <v>1</v>
      </c>
      <c r="I913">
        <f>IF(Table1[[#This Row],[my_ent_2]]=Table1[[#This Row],[their_ent_2]], 1, 0)</f>
        <v>0</v>
      </c>
      <c r="J913">
        <f>IF(Table1[[#This Row],[same_1]]=1 &amp; Table1[[#This Row],[same_2]]=1, 1, 0)</f>
        <v>0</v>
      </c>
      <c r="K913">
        <f>IF(ISNUMBER(SEARCH(Table1[[#This Row],[their_ent_1]],Table1[[#This Row],[my_ent_1]])), 1, 0)</f>
        <v>1</v>
      </c>
      <c r="L913">
        <f>IF(ISNUMBER(SEARCH(Table1[[#This Row],[their_ent_2]],Table1[[#This Row],[my_ent_2]])), 1, 0)</f>
        <v>1</v>
      </c>
    </row>
    <row r="914" spans="1:12" x14ac:dyDescent="0.3">
      <c r="A914" t="s">
        <v>2746</v>
      </c>
      <c r="B914" t="s">
        <v>2747</v>
      </c>
      <c r="C914" t="s">
        <v>2747</v>
      </c>
      <c r="D914" t="s">
        <v>2748</v>
      </c>
      <c r="E914" t="s">
        <v>2749</v>
      </c>
      <c r="F914">
        <v>4</v>
      </c>
      <c r="G914">
        <v>912</v>
      </c>
      <c r="H914">
        <f>IF(Table1[[#This Row],[my_ent_1]]=Table1[[#This Row],[their_ent_1]], 1, 0)</f>
        <v>1</v>
      </c>
      <c r="I914">
        <f>IF(Table1[[#This Row],[my_ent_2]]=Table1[[#This Row],[their_ent_2]], 1, 0)</f>
        <v>0</v>
      </c>
      <c r="J914">
        <f>IF(Table1[[#This Row],[same_1]]=1 &amp; Table1[[#This Row],[same_2]]=1, 1, 0)</f>
        <v>0</v>
      </c>
      <c r="K914">
        <f>IF(ISNUMBER(SEARCH(Table1[[#This Row],[their_ent_1]],Table1[[#This Row],[my_ent_1]])), 1, 0)</f>
        <v>1</v>
      </c>
      <c r="L914">
        <f>IF(ISNUMBER(SEARCH(Table1[[#This Row],[their_ent_2]],Table1[[#This Row],[my_ent_2]])), 1, 0)</f>
        <v>1</v>
      </c>
    </row>
    <row r="915" spans="1:12" hidden="1" x14ac:dyDescent="0.3">
      <c r="A915" t="s">
        <v>2750</v>
      </c>
      <c r="B915" t="s">
        <v>7</v>
      </c>
      <c r="C915" t="s">
        <v>7</v>
      </c>
      <c r="D915" t="s">
        <v>2751</v>
      </c>
      <c r="E915" t="s">
        <v>2752</v>
      </c>
      <c r="F915">
        <v>4</v>
      </c>
      <c r="G915">
        <v>913</v>
      </c>
      <c r="H915">
        <f>IF(Table1[[#This Row],[my_ent_1]]=Table1[[#This Row],[their_ent_1]], 1, 0)</f>
        <v>1</v>
      </c>
      <c r="I915">
        <f>IF(Table1[[#This Row],[my_ent_2]]=Table1[[#This Row],[their_ent_2]], 1, 0)</f>
        <v>0</v>
      </c>
      <c r="J915">
        <f>IF(Table1[[#This Row],[same_1]]=1 &amp; Table1[[#This Row],[same_2]]=1, 1, 0)</f>
        <v>0</v>
      </c>
      <c r="K915">
        <f>IF(ISNUMBER(SEARCH(Table1[[#This Row],[their_ent_1]],Table1[[#This Row],[my_ent_1]])), 1, 0)</f>
        <v>1</v>
      </c>
      <c r="L915">
        <f>IF(ISNUMBER(SEARCH(Table1[[#This Row],[their_ent_2]],Table1[[#This Row],[my_ent_2]])), 1, 0)</f>
        <v>0</v>
      </c>
    </row>
    <row r="916" spans="1:12" hidden="1" x14ac:dyDescent="0.3">
      <c r="A916" t="s">
        <v>2753</v>
      </c>
      <c r="B916" t="s">
        <v>2754</v>
      </c>
      <c r="C916" t="s">
        <v>2754</v>
      </c>
      <c r="D916" t="s">
        <v>1115</v>
      </c>
      <c r="E916" t="s">
        <v>34</v>
      </c>
      <c r="F916">
        <v>4</v>
      </c>
      <c r="G916">
        <v>914</v>
      </c>
      <c r="H916">
        <f>IF(Table1[[#This Row],[my_ent_1]]=Table1[[#This Row],[their_ent_1]], 1, 0)</f>
        <v>1</v>
      </c>
      <c r="I916">
        <f>IF(Table1[[#This Row],[my_ent_2]]=Table1[[#This Row],[their_ent_2]], 1, 0)</f>
        <v>0</v>
      </c>
      <c r="J916">
        <f>IF(Table1[[#This Row],[same_1]]=1 &amp; Table1[[#This Row],[same_2]]=1, 1, 0)</f>
        <v>0</v>
      </c>
      <c r="K916">
        <f>IF(ISNUMBER(SEARCH(Table1[[#This Row],[their_ent_1]],Table1[[#This Row],[my_ent_1]])), 1, 0)</f>
        <v>1</v>
      </c>
      <c r="L916">
        <f>IF(ISNUMBER(SEARCH(Table1[[#This Row],[their_ent_2]],Table1[[#This Row],[my_ent_2]])), 1, 0)</f>
        <v>0</v>
      </c>
    </row>
    <row r="917" spans="1:12" x14ac:dyDescent="0.3">
      <c r="A917" t="s">
        <v>2755</v>
      </c>
      <c r="B917" t="s">
        <v>2756</v>
      </c>
      <c r="C917" t="s">
        <v>72</v>
      </c>
      <c r="D917" t="s">
        <v>2757</v>
      </c>
      <c r="E917" t="s">
        <v>2757</v>
      </c>
      <c r="F917">
        <v>4</v>
      </c>
      <c r="G917">
        <v>915</v>
      </c>
      <c r="H917">
        <f>IF(Table1[[#This Row],[my_ent_1]]=Table1[[#This Row],[their_ent_1]], 1, 0)</f>
        <v>0</v>
      </c>
      <c r="I917">
        <f>IF(Table1[[#This Row],[my_ent_2]]=Table1[[#This Row],[their_ent_2]], 1, 0)</f>
        <v>1</v>
      </c>
      <c r="J917">
        <f>IF(Table1[[#This Row],[same_1]]=1 &amp; Table1[[#This Row],[same_2]]=1, 1, 0)</f>
        <v>0</v>
      </c>
      <c r="K917">
        <f>IF(ISNUMBER(SEARCH(Table1[[#This Row],[their_ent_1]],Table1[[#This Row],[my_ent_1]])), 1, 0)</f>
        <v>1</v>
      </c>
      <c r="L917">
        <f>IF(ISNUMBER(SEARCH(Table1[[#This Row],[their_ent_2]],Table1[[#This Row],[my_ent_2]])), 1, 0)</f>
        <v>1</v>
      </c>
    </row>
    <row r="918" spans="1:12" hidden="1" x14ac:dyDescent="0.3">
      <c r="A918" t="s">
        <v>2758</v>
      </c>
      <c r="B918" t="s">
        <v>525</v>
      </c>
      <c r="C918" t="s">
        <v>525</v>
      </c>
      <c r="D918" t="s">
        <v>58</v>
      </c>
      <c r="E918" t="s">
        <v>30</v>
      </c>
      <c r="F918">
        <v>4</v>
      </c>
      <c r="G918">
        <v>916</v>
      </c>
      <c r="H918">
        <f>IF(Table1[[#This Row],[my_ent_1]]=Table1[[#This Row],[their_ent_1]], 1, 0)</f>
        <v>1</v>
      </c>
      <c r="I918">
        <f>IF(Table1[[#This Row],[my_ent_2]]=Table1[[#This Row],[their_ent_2]], 1, 0)</f>
        <v>0</v>
      </c>
      <c r="J918">
        <f>IF(Table1[[#This Row],[same_1]]=1 &amp; Table1[[#This Row],[same_2]]=1, 1, 0)</f>
        <v>0</v>
      </c>
      <c r="K918">
        <f>IF(ISNUMBER(SEARCH(Table1[[#This Row],[their_ent_1]],Table1[[#This Row],[my_ent_1]])), 1, 0)</f>
        <v>1</v>
      </c>
      <c r="L918">
        <f>IF(ISNUMBER(SEARCH(Table1[[#This Row],[their_ent_2]],Table1[[#This Row],[my_ent_2]])), 1, 0)</f>
        <v>0</v>
      </c>
    </row>
    <row r="919" spans="1:12" x14ac:dyDescent="0.3">
      <c r="A919" t="s">
        <v>2759</v>
      </c>
      <c r="B919" t="s">
        <v>2760</v>
      </c>
      <c r="C919" t="s">
        <v>2761</v>
      </c>
      <c r="D919" t="s">
        <v>2762</v>
      </c>
      <c r="E919" t="s">
        <v>2762</v>
      </c>
      <c r="F919">
        <v>3</v>
      </c>
      <c r="G919">
        <v>917</v>
      </c>
      <c r="H919">
        <f>IF(Table1[[#This Row],[my_ent_1]]=Table1[[#This Row],[their_ent_1]], 1, 0)</f>
        <v>0</v>
      </c>
      <c r="I919">
        <f>IF(Table1[[#This Row],[my_ent_2]]=Table1[[#This Row],[their_ent_2]], 1, 0)</f>
        <v>1</v>
      </c>
      <c r="J919">
        <f>IF(Table1[[#This Row],[same_1]]=1 &amp; Table1[[#This Row],[same_2]]=1, 1, 0)</f>
        <v>0</v>
      </c>
      <c r="K919">
        <f>IF(ISNUMBER(SEARCH(Table1[[#This Row],[their_ent_1]],Table1[[#This Row],[my_ent_1]])), 1, 0)</f>
        <v>1</v>
      </c>
      <c r="L919">
        <f>IF(ISNUMBER(SEARCH(Table1[[#This Row],[their_ent_2]],Table1[[#This Row],[my_ent_2]])), 1, 0)</f>
        <v>1</v>
      </c>
    </row>
    <row r="920" spans="1:12" hidden="1" x14ac:dyDescent="0.3">
      <c r="A920" t="s">
        <v>2763</v>
      </c>
      <c r="B920" t="s">
        <v>2764</v>
      </c>
      <c r="C920" t="s">
        <v>993</v>
      </c>
      <c r="D920" t="s">
        <v>2765</v>
      </c>
      <c r="E920" t="s">
        <v>1284</v>
      </c>
      <c r="F920">
        <v>3</v>
      </c>
      <c r="G920">
        <v>918</v>
      </c>
      <c r="H920">
        <f>IF(Table1[[#This Row],[my_ent_1]]=Table1[[#This Row],[their_ent_1]], 1, 0)</f>
        <v>0</v>
      </c>
      <c r="I920">
        <f>IF(Table1[[#This Row],[my_ent_2]]=Table1[[#This Row],[their_ent_2]], 1, 0)</f>
        <v>0</v>
      </c>
      <c r="J920">
        <f>IF(Table1[[#This Row],[same_1]]=1 &amp; Table1[[#This Row],[same_2]]=1, 1, 0)</f>
        <v>0</v>
      </c>
      <c r="K920">
        <f>IF(ISNUMBER(SEARCH(Table1[[#This Row],[their_ent_1]],Table1[[#This Row],[my_ent_1]])), 1, 0)</f>
        <v>0</v>
      </c>
      <c r="L920">
        <f>IF(ISNUMBER(SEARCH(Table1[[#This Row],[their_ent_2]],Table1[[#This Row],[my_ent_2]])), 1, 0)</f>
        <v>0</v>
      </c>
    </row>
    <row r="921" spans="1:12" hidden="1" x14ac:dyDescent="0.3">
      <c r="A921" t="s">
        <v>2766</v>
      </c>
      <c r="B921" t="s">
        <v>2767</v>
      </c>
      <c r="C921" t="s">
        <v>2767</v>
      </c>
      <c r="D921" t="s">
        <v>2500</v>
      </c>
      <c r="E921" t="s">
        <v>2768</v>
      </c>
      <c r="F921">
        <v>3</v>
      </c>
      <c r="G921">
        <v>919</v>
      </c>
      <c r="H921">
        <f>IF(Table1[[#This Row],[my_ent_1]]=Table1[[#This Row],[their_ent_1]], 1, 0)</f>
        <v>1</v>
      </c>
      <c r="I921">
        <f>IF(Table1[[#This Row],[my_ent_2]]=Table1[[#This Row],[their_ent_2]], 1, 0)</f>
        <v>0</v>
      </c>
      <c r="J921">
        <f>IF(Table1[[#This Row],[same_1]]=1 &amp; Table1[[#This Row],[same_2]]=1, 1, 0)</f>
        <v>0</v>
      </c>
      <c r="K921">
        <f>IF(ISNUMBER(SEARCH(Table1[[#This Row],[their_ent_1]],Table1[[#This Row],[my_ent_1]])), 1, 0)</f>
        <v>1</v>
      </c>
      <c r="L921">
        <f>IF(ISNUMBER(SEARCH(Table1[[#This Row],[their_ent_2]],Table1[[#This Row],[my_ent_2]])), 1, 0)</f>
        <v>0</v>
      </c>
    </row>
    <row r="922" spans="1:12" hidden="1" x14ac:dyDescent="0.3">
      <c r="A922" t="s">
        <v>2769</v>
      </c>
      <c r="B922" t="s">
        <v>2770</v>
      </c>
      <c r="C922" t="s">
        <v>2771</v>
      </c>
      <c r="D922" t="s">
        <v>7</v>
      </c>
      <c r="E922" t="s">
        <v>165</v>
      </c>
      <c r="F922">
        <v>3</v>
      </c>
      <c r="G922">
        <v>920</v>
      </c>
      <c r="H922">
        <f>IF(Table1[[#This Row],[my_ent_1]]=Table1[[#This Row],[their_ent_1]], 1, 0)</f>
        <v>0</v>
      </c>
      <c r="I922">
        <f>IF(Table1[[#This Row],[my_ent_2]]=Table1[[#This Row],[their_ent_2]], 1, 0)</f>
        <v>0</v>
      </c>
      <c r="J922">
        <f>IF(Table1[[#This Row],[same_1]]=1 &amp; Table1[[#This Row],[same_2]]=1, 1, 0)</f>
        <v>0</v>
      </c>
      <c r="K922">
        <f>IF(ISNUMBER(SEARCH(Table1[[#This Row],[their_ent_1]],Table1[[#This Row],[my_ent_1]])), 1, 0)</f>
        <v>0</v>
      </c>
      <c r="L922">
        <f>IF(ISNUMBER(SEARCH(Table1[[#This Row],[their_ent_2]],Table1[[#This Row],[my_ent_2]])), 1, 0)</f>
        <v>0</v>
      </c>
    </row>
    <row r="923" spans="1:12" x14ac:dyDescent="0.3">
      <c r="A923" t="s">
        <v>2772</v>
      </c>
      <c r="B923" t="s">
        <v>1761</v>
      </c>
      <c r="C923" t="s">
        <v>121</v>
      </c>
      <c r="D923" t="s">
        <v>30</v>
      </c>
      <c r="E923" t="s">
        <v>30</v>
      </c>
      <c r="F923">
        <v>3</v>
      </c>
      <c r="G923">
        <v>921</v>
      </c>
      <c r="H923">
        <f>IF(Table1[[#This Row],[my_ent_1]]=Table1[[#This Row],[their_ent_1]], 1, 0)</f>
        <v>0</v>
      </c>
      <c r="I923">
        <f>IF(Table1[[#This Row],[my_ent_2]]=Table1[[#This Row],[their_ent_2]], 1, 0)</f>
        <v>1</v>
      </c>
      <c r="J923">
        <f>IF(Table1[[#This Row],[same_1]]=1 &amp; Table1[[#This Row],[same_2]]=1, 1, 0)</f>
        <v>0</v>
      </c>
      <c r="K923">
        <f>IF(ISNUMBER(SEARCH(Table1[[#This Row],[their_ent_1]],Table1[[#This Row],[my_ent_1]])), 1, 0)</f>
        <v>1</v>
      </c>
      <c r="L923">
        <f>IF(ISNUMBER(SEARCH(Table1[[#This Row],[their_ent_2]],Table1[[#This Row],[my_ent_2]])), 1, 0)</f>
        <v>1</v>
      </c>
    </row>
    <row r="924" spans="1:12" hidden="1" x14ac:dyDescent="0.3">
      <c r="A924" t="s">
        <v>2773</v>
      </c>
      <c r="B924" t="s">
        <v>2774</v>
      </c>
      <c r="C924" t="s">
        <v>2774</v>
      </c>
      <c r="D924" t="s">
        <v>2775</v>
      </c>
      <c r="E924" t="s">
        <v>2776</v>
      </c>
      <c r="F924">
        <v>1</v>
      </c>
      <c r="G924">
        <v>922</v>
      </c>
      <c r="H924">
        <f>IF(Table1[[#This Row],[my_ent_1]]=Table1[[#This Row],[their_ent_1]], 1, 0)</f>
        <v>1</v>
      </c>
      <c r="I924">
        <f>IF(Table1[[#This Row],[my_ent_2]]=Table1[[#This Row],[their_ent_2]], 1, 0)</f>
        <v>0</v>
      </c>
      <c r="J924">
        <f>IF(Table1[[#This Row],[same_1]]=1 &amp; Table1[[#This Row],[same_2]]=1, 1, 0)</f>
        <v>0</v>
      </c>
      <c r="K924">
        <f>IF(ISNUMBER(SEARCH(Table1[[#This Row],[their_ent_1]],Table1[[#This Row],[my_ent_1]])), 1, 0)</f>
        <v>1</v>
      </c>
      <c r="L924">
        <f>IF(ISNUMBER(SEARCH(Table1[[#This Row],[their_ent_2]],Table1[[#This Row],[my_ent_2]])), 1, 0)</f>
        <v>0</v>
      </c>
    </row>
    <row r="925" spans="1:12" hidden="1" x14ac:dyDescent="0.3">
      <c r="A925" t="s">
        <v>2777</v>
      </c>
      <c r="B925" t="s">
        <v>2778</v>
      </c>
      <c r="C925" t="s">
        <v>2779</v>
      </c>
      <c r="D925" t="s">
        <v>2780</v>
      </c>
      <c r="E925" t="s">
        <v>2781</v>
      </c>
      <c r="F925">
        <v>3</v>
      </c>
      <c r="G925">
        <v>923</v>
      </c>
      <c r="H925">
        <f>IF(Table1[[#This Row],[my_ent_1]]=Table1[[#This Row],[their_ent_1]], 1, 0)</f>
        <v>0</v>
      </c>
      <c r="I925">
        <f>IF(Table1[[#This Row],[my_ent_2]]=Table1[[#This Row],[their_ent_2]], 1, 0)</f>
        <v>0</v>
      </c>
      <c r="J925">
        <f>IF(Table1[[#This Row],[same_1]]=1 &amp; Table1[[#This Row],[same_2]]=1, 1, 0)</f>
        <v>0</v>
      </c>
      <c r="K925">
        <f>IF(ISNUMBER(SEARCH(Table1[[#This Row],[their_ent_1]],Table1[[#This Row],[my_ent_1]])), 1, 0)</f>
        <v>0</v>
      </c>
      <c r="L925">
        <f>IF(ISNUMBER(SEARCH(Table1[[#This Row],[their_ent_2]],Table1[[#This Row],[my_ent_2]])), 1, 0)</f>
        <v>0</v>
      </c>
    </row>
    <row r="926" spans="1:12" hidden="1" x14ac:dyDescent="0.3">
      <c r="A926" t="s">
        <v>2782</v>
      </c>
      <c r="B926" t="s">
        <v>2783</v>
      </c>
      <c r="C926" t="s">
        <v>2784</v>
      </c>
      <c r="D926" t="s">
        <v>2785</v>
      </c>
      <c r="E926" t="s">
        <v>2783</v>
      </c>
      <c r="F926">
        <v>1</v>
      </c>
      <c r="G926">
        <v>924</v>
      </c>
      <c r="H926">
        <f>IF(Table1[[#This Row],[my_ent_1]]=Table1[[#This Row],[their_ent_1]], 1, 0)</f>
        <v>0</v>
      </c>
      <c r="I926">
        <f>IF(Table1[[#This Row],[my_ent_2]]=Table1[[#This Row],[their_ent_2]], 1, 0)</f>
        <v>0</v>
      </c>
      <c r="J926">
        <f>IF(Table1[[#This Row],[same_1]]=1 &amp; Table1[[#This Row],[same_2]]=1, 1, 0)</f>
        <v>0</v>
      </c>
      <c r="K926">
        <f>IF(ISNUMBER(SEARCH(Table1[[#This Row],[their_ent_1]],Table1[[#This Row],[my_ent_1]])), 1, 0)</f>
        <v>0</v>
      </c>
      <c r="L926">
        <f>IF(ISNUMBER(SEARCH(Table1[[#This Row],[their_ent_2]],Table1[[#This Row],[my_ent_2]])), 1, 0)</f>
        <v>0</v>
      </c>
    </row>
    <row r="927" spans="1:12" hidden="1" x14ac:dyDescent="0.3">
      <c r="A927" t="s">
        <v>2786</v>
      </c>
      <c r="B927" t="s">
        <v>525</v>
      </c>
      <c r="C927" t="s">
        <v>525</v>
      </c>
      <c r="D927" t="s">
        <v>1284</v>
      </c>
      <c r="E927" t="s">
        <v>2787</v>
      </c>
      <c r="F927">
        <v>3</v>
      </c>
      <c r="G927">
        <v>925</v>
      </c>
      <c r="H927">
        <f>IF(Table1[[#This Row],[my_ent_1]]=Table1[[#This Row],[their_ent_1]], 1, 0)</f>
        <v>1</v>
      </c>
      <c r="I927">
        <f>IF(Table1[[#This Row],[my_ent_2]]=Table1[[#This Row],[their_ent_2]], 1, 0)</f>
        <v>0</v>
      </c>
      <c r="J927">
        <f>IF(Table1[[#This Row],[same_1]]=1 &amp; Table1[[#This Row],[same_2]]=1, 1, 0)</f>
        <v>0</v>
      </c>
      <c r="K927">
        <f>IF(ISNUMBER(SEARCH(Table1[[#This Row],[their_ent_1]],Table1[[#This Row],[my_ent_1]])), 1, 0)</f>
        <v>1</v>
      </c>
      <c r="L927">
        <f>IF(ISNUMBER(SEARCH(Table1[[#This Row],[their_ent_2]],Table1[[#This Row],[my_ent_2]])), 1, 0)</f>
        <v>0</v>
      </c>
    </row>
    <row r="928" spans="1:12" hidden="1" x14ac:dyDescent="0.3">
      <c r="A928" t="s">
        <v>2788</v>
      </c>
      <c r="B928" t="s">
        <v>2789</v>
      </c>
      <c r="C928" t="s">
        <v>2790</v>
      </c>
      <c r="D928" t="s">
        <v>2791</v>
      </c>
      <c r="E928" t="s">
        <v>2791</v>
      </c>
      <c r="F928">
        <v>3</v>
      </c>
      <c r="G928">
        <v>926</v>
      </c>
      <c r="H928">
        <f>IF(Table1[[#This Row],[my_ent_1]]=Table1[[#This Row],[their_ent_1]], 1, 0)</f>
        <v>0</v>
      </c>
      <c r="I928">
        <f>IF(Table1[[#This Row],[my_ent_2]]=Table1[[#This Row],[their_ent_2]], 1, 0)</f>
        <v>1</v>
      </c>
      <c r="J928">
        <f>IF(Table1[[#This Row],[same_1]]=1 &amp; Table1[[#This Row],[same_2]]=1, 1, 0)</f>
        <v>0</v>
      </c>
      <c r="K928">
        <f>IF(ISNUMBER(SEARCH(Table1[[#This Row],[their_ent_1]],Table1[[#This Row],[my_ent_1]])), 1, 0)</f>
        <v>0</v>
      </c>
      <c r="L928">
        <f>IF(ISNUMBER(SEARCH(Table1[[#This Row],[their_ent_2]],Table1[[#This Row],[my_ent_2]])), 1, 0)</f>
        <v>1</v>
      </c>
    </row>
    <row r="929" spans="1:12" x14ac:dyDescent="0.3">
      <c r="A929" t="s">
        <v>2792</v>
      </c>
      <c r="B929" t="s">
        <v>1350</v>
      </c>
      <c r="C929" t="s">
        <v>2793</v>
      </c>
      <c r="D929" t="s">
        <v>523</v>
      </c>
      <c r="E929" t="s">
        <v>523</v>
      </c>
      <c r="F929">
        <v>1</v>
      </c>
      <c r="G929">
        <v>927</v>
      </c>
      <c r="H929">
        <f>IF(Table1[[#This Row],[my_ent_1]]=Table1[[#This Row],[their_ent_1]], 1, 0)</f>
        <v>0</v>
      </c>
      <c r="I929">
        <f>IF(Table1[[#This Row],[my_ent_2]]=Table1[[#This Row],[their_ent_2]], 1, 0)</f>
        <v>1</v>
      </c>
      <c r="J929">
        <f>IF(Table1[[#This Row],[same_1]]=1 &amp; Table1[[#This Row],[same_2]]=1, 1, 0)</f>
        <v>0</v>
      </c>
      <c r="K929">
        <f>IF(ISNUMBER(SEARCH(Table1[[#This Row],[their_ent_1]],Table1[[#This Row],[my_ent_1]])), 1, 0)</f>
        <v>1</v>
      </c>
      <c r="L929">
        <f>IF(ISNUMBER(SEARCH(Table1[[#This Row],[their_ent_2]],Table1[[#This Row],[my_ent_2]])), 1, 0)</f>
        <v>1</v>
      </c>
    </row>
    <row r="930" spans="1:12" x14ac:dyDescent="0.3">
      <c r="A930" t="s">
        <v>2794</v>
      </c>
      <c r="B930" t="s">
        <v>2795</v>
      </c>
      <c r="C930" t="s">
        <v>2795</v>
      </c>
      <c r="D930" t="s">
        <v>401</v>
      </c>
      <c r="E930" t="s">
        <v>30</v>
      </c>
      <c r="F930">
        <v>3</v>
      </c>
      <c r="G930">
        <v>928</v>
      </c>
      <c r="H930">
        <f>IF(Table1[[#This Row],[my_ent_1]]=Table1[[#This Row],[their_ent_1]], 1, 0)</f>
        <v>1</v>
      </c>
      <c r="I930">
        <f>IF(Table1[[#This Row],[my_ent_2]]=Table1[[#This Row],[their_ent_2]], 1, 0)</f>
        <v>0</v>
      </c>
      <c r="J930">
        <f>IF(Table1[[#This Row],[same_1]]=1 &amp; Table1[[#This Row],[same_2]]=1, 1, 0)</f>
        <v>0</v>
      </c>
      <c r="K930">
        <f>IF(ISNUMBER(SEARCH(Table1[[#This Row],[their_ent_1]],Table1[[#This Row],[my_ent_1]])), 1, 0)</f>
        <v>1</v>
      </c>
      <c r="L930">
        <f>IF(ISNUMBER(SEARCH(Table1[[#This Row],[their_ent_2]],Table1[[#This Row],[my_ent_2]])), 1, 0)</f>
        <v>1</v>
      </c>
    </row>
    <row r="931" spans="1:12" hidden="1" x14ac:dyDescent="0.3">
      <c r="A931" t="s">
        <v>2796</v>
      </c>
      <c r="B931" t="s">
        <v>2797</v>
      </c>
      <c r="C931" t="s">
        <v>2797</v>
      </c>
      <c r="D931" t="s">
        <v>2798</v>
      </c>
      <c r="E931" t="s">
        <v>2799</v>
      </c>
      <c r="F931">
        <v>4</v>
      </c>
      <c r="G931">
        <v>929</v>
      </c>
      <c r="H931">
        <f>IF(Table1[[#This Row],[my_ent_1]]=Table1[[#This Row],[their_ent_1]], 1, 0)</f>
        <v>1</v>
      </c>
      <c r="I931">
        <f>IF(Table1[[#This Row],[my_ent_2]]=Table1[[#This Row],[their_ent_2]], 1, 0)</f>
        <v>0</v>
      </c>
      <c r="J931">
        <f>IF(Table1[[#This Row],[same_1]]=1 &amp; Table1[[#This Row],[same_2]]=1, 1, 0)</f>
        <v>0</v>
      </c>
      <c r="K931">
        <f>IF(ISNUMBER(SEARCH(Table1[[#This Row],[their_ent_1]],Table1[[#This Row],[my_ent_1]])), 1, 0)</f>
        <v>1</v>
      </c>
      <c r="L931">
        <f>IF(ISNUMBER(SEARCH(Table1[[#This Row],[their_ent_2]],Table1[[#This Row],[my_ent_2]])), 1, 0)</f>
        <v>0</v>
      </c>
    </row>
    <row r="932" spans="1:12" hidden="1" x14ac:dyDescent="0.3">
      <c r="A932" t="s">
        <v>2800</v>
      </c>
      <c r="B932" t="s">
        <v>886</v>
      </c>
      <c r="C932" t="s">
        <v>886</v>
      </c>
      <c r="D932" t="s">
        <v>2801</v>
      </c>
      <c r="E932" t="s">
        <v>695</v>
      </c>
      <c r="F932">
        <v>4</v>
      </c>
      <c r="G932">
        <v>930</v>
      </c>
      <c r="H932">
        <f>IF(Table1[[#This Row],[my_ent_1]]=Table1[[#This Row],[their_ent_1]], 1, 0)</f>
        <v>1</v>
      </c>
      <c r="I932">
        <f>IF(Table1[[#This Row],[my_ent_2]]=Table1[[#This Row],[their_ent_2]], 1, 0)</f>
        <v>0</v>
      </c>
      <c r="J932">
        <f>IF(Table1[[#This Row],[same_1]]=1 &amp; Table1[[#This Row],[same_2]]=1, 1, 0)</f>
        <v>0</v>
      </c>
      <c r="K932">
        <f>IF(ISNUMBER(SEARCH(Table1[[#This Row],[their_ent_1]],Table1[[#This Row],[my_ent_1]])), 1, 0)</f>
        <v>1</v>
      </c>
      <c r="L932">
        <f>IF(ISNUMBER(SEARCH(Table1[[#This Row],[their_ent_2]],Table1[[#This Row],[my_ent_2]])), 1, 0)</f>
        <v>0</v>
      </c>
    </row>
    <row r="933" spans="1:12" x14ac:dyDescent="0.3">
      <c r="A933" t="s">
        <v>2802</v>
      </c>
      <c r="B933" t="s">
        <v>137</v>
      </c>
      <c r="C933" t="s">
        <v>138</v>
      </c>
      <c r="D933" t="s">
        <v>1798</v>
      </c>
      <c r="E933" t="s">
        <v>1798</v>
      </c>
      <c r="F933">
        <v>3</v>
      </c>
      <c r="G933">
        <v>931</v>
      </c>
      <c r="H933">
        <f>IF(Table1[[#This Row],[my_ent_1]]=Table1[[#This Row],[their_ent_1]], 1, 0)</f>
        <v>0</v>
      </c>
      <c r="I933">
        <f>IF(Table1[[#This Row],[my_ent_2]]=Table1[[#This Row],[their_ent_2]], 1, 0)</f>
        <v>1</v>
      </c>
      <c r="J933">
        <f>IF(Table1[[#This Row],[same_1]]=1 &amp; Table1[[#This Row],[same_2]]=1, 1, 0)</f>
        <v>0</v>
      </c>
      <c r="K933">
        <f>IF(ISNUMBER(SEARCH(Table1[[#This Row],[their_ent_1]],Table1[[#This Row],[my_ent_1]])), 1, 0)</f>
        <v>1</v>
      </c>
      <c r="L933">
        <f>IF(ISNUMBER(SEARCH(Table1[[#This Row],[their_ent_2]],Table1[[#This Row],[my_ent_2]])), 1, 0)</f>
        <v>1</v>
      </c>
    </row>
    <row r="934" spans="1:12" hidden="1" x14ac:dyDescent="0.3">
      <c r="A934" t="s">
        <v>2803</v>
      </c>
      <c r="B934" t="s">
        <v>2804</v>
      </c>
      <c r="C934" t="s">
        <v>2805</v>
      </c>
      <c r="D934" t="s">
        <v>2806</v>
      </c>
      <c r="E934" t="s">
        <v>2807</v>
      </c>
      <c r="F934">
        <v>1</v>
      </c>
      <c r="G934">
        <v>932</v>
      </c>
      <c r="H934">
        <f>IF(Table1[[#This Row],[my_ent_1]]=Table1[[#This Row],[their_ent_1]], 1, 0)</f>
        <v>0</v>
      </c>
      <c r="I934">
        <f>IF(Table1[[#This Row],[my_ent_2]]=Table1[[#This Row],[their_ent_2]], 1, 0)</f>
        <v>0</v>
      </c>
      <c r="J934">
        <f>IF(Table1[[#This Row],[same_1]]=1 &amp; Table1[[#This Row],[same_2]]=1, 1, 0)</f>
        <v>0</v>
      </c>
      <c r="K934">
        <f>IF(ISNUMBER(SEARCH(Table1[[#This Row],[their_ent_1]],Table1[[#This Row],[my_ent_1]])), 1, 0)</f>
        <v>1</v>
      </c>
      <c r="L934">
        <f>IF(ISNUMBER(SEARCH(Table1[[#This Row],[their_ent_2]],Table1[[#This Row],[my_ent_2]])), 1, 0)</f>
        <v>0</v>
      </c>
    </row>
    <row r="935" spans="1:12" x14ac:dyDescent="0.3">
      <c r="A935" t="s">
        <v>2808</v>
      </c>
      <c r="B935" t="s">
        <v>2809</v>
      </c>
      <c r="C935" t="s">
        <v>2810</v>
      </c>
      <c r="D935" t="s">
        <v>2811</v>
      </c>
      <c r="E935" t="s">
        <v>2812</v>
      </c>
      <c r="F935">
        <v>3</v>
      </c>
      <c r="G935">
        <v>933</v>
      </c>
      <c r="H935">
        <f>IF(Table1[[#This Row],[my_ent_1]]=Table1[[#This Row],[their_ent_1]], 1, 0)</f>
        <v>0</v>
      </c>
      <c r="I935">
        <f>IF(Table1[[#This Row],[my_ent_2]]=Table1[[#This Row],[their_ent_2]], 1, 0)</f>
        <v>0</v>
      </c>
      <c r="J935">
        <f>IF(Table1[[#This Row],[same_1]]=1 &amp; Table1[[#This Row],[same_2]]=1, 1, 0)</f>
        <v>0</v>
      </c>
      <c r="K935">
        <f>IF(ISNUMBER(SEARCH(Table1[[#This Row],[their_ent_1]],Table1[[#This Row],[my_ent_1]])), 1, 0)</f>
        <v>1</v>
      </c>
      <c r="L935">
        <f>IF(ISNUMBER(SEARCH(Table1[[#This Row],[their_ent_2]],Table1[[#This Row],[my_ent_2]])), 1, 0)</f>
        <v>1</v>
      </c>
    </row>
    <row r="936" spans="1:12" hidden="1" x14ac:dyDescent="0.3">
      <c r="A936" t="s">
        <v>2813</v>
      </c>
      <c r="B936" t="s">
        <v>2814</v>
      </c>
      <c r="C936" t="s">
        <v>2815</v>
      </c>
      <c r="D936" t="s">
        <v>525</v>
      </c>
      <c r="E936" t="s">
        <v>30</v>
      </c>
      <c r="F936">
        <v>4</v>
      </c>
      <c r="G936">
        <v>934</v>
      </c>
      <c r="H936">
        <f>IF(Table1[[#This Row],[my_ent_1]]=Table1[[#This Row],[their_ent_1]], 1, 0)</f>
        <v>0</v>
      </c>
      <c r="I936">
        <f>IF(Table1[[#This Row],[my_ent_2]]=Table1[[#This Row],[their_ent_2]], 1, 0)</f>
        <v>0</v>
      </c>
      <c r="J936">
        <f>IF(Table1[[#This Row],[same_1]]=1 &amp; Table1[[#This Row],[same_2]]=1, 1, 0)</f>
        <v>0</v>
      </c>
      <c r="K936">
        <f>IF(ISNUMBER(SEARCH(Table1[[#This Row],[their_ent_1]],Table1[[#This Row],[my_ent_1]])), 1, 0)</f>
        <v>1</v>
      </c>
      <c r="L936">
        <f>IF(ISNUMBER(SEARCH(Table1[[#This Row],[their_ent_2]],Table1[[#This Row],[my_ent_2]])), 1, 0)</f>
        <v>0</v>
      </c>
    </row>
    <row r="937" spans="1:12" hidden="1" x14ac:dyDescent="0.3">
      <c r="A937" t="s">
        <v>2816</v>
      </c>
      <c r="B937" t="s">
        <v>2817</v>
      </c>
      <c r="C937" t="s">
        <v>2818</v>
      </c>
      <c r="D937" t="s">
        <v>2028</v>
      </c>
      <c r="E937" t="s">
        <v>2028</v>
      </c>
      <c r="F937">
        <v>1</v>
      </c>
      <c r="G937">
        <v>935</v>
      </c>
      <c r="H937">
        <f>IF(Table1[[#This Row],[my_ent_1]]=Table1[[#This Row],[their_ent_1]], 1, 0)</f>
        <v>0</v>
      </c>
      <c r="I937">
        <f>IF(Table1[[#This Row],[my_ent_2]]=Table1[[#This Row],[their_ent_2]], 1, 0)</f>
        <v>1</v>
      </c>
      <c r="J937">
        <f>IF(Table1[[#This Row],[same_1]]=1 &amp; Table1[[#This Row],[same_2]]=1, 1, 0)</f>
        <v>0</v>
      </c>
      <c r="K937">
        <f>IF(ISNUMBER(SEARCH(Table1[[#This Row],[their_ent_1]],Table1[[#This Row],[my_ent_1]])), 1, 0)</f>
        <v>0</v>
      </c>
      <c r="L937">
        <f>IF(ISNUMBER(SEARCH(Table1[[#This Row],[their_ent_2]],Table1[[#This Row],[my_ent_2]])), 1, 0)</f>
        <v>1</v>
      </c>
    </row>
    <row r="938" spans="1:12" hidden="1" x14ac:dyDescent="0.3">
      <c r="A938" t="s">
        <v>2819</v>
      </c>
      <c r="B938" t="s">
        <v>2820</v>
      </c>
      <c r="C938" t="s">
        <v>2820</v>
      </c>
      <c r="D938" t="s">
        <v>352</v>
      </c>
      <c r="E938" t="s">
        <v>2821</v>
      </c>
      <c r="F938">
        <v>3</v>
      </c>
      <c r="G938">
        <v>936</v>
      </c>
      <c r="H938">
        <f>IF(Table1[[#This Row],[my_ent_1]]=Table1[[#This Row],[their_ent_1]], 1, 0)</f>
        <v>1</v>
      </c>
      <c r="I938">
        <f>IF(Table1[[#This Row],[my_ent_2]]=Table1[[#This Row],[their_ent_2]], 1, 0)</f>
        <v>0</v>
      </c>
      <c r="J938">
        <f>IF(Table1[[#This Row],[same_1]]=1 &amp; Table1[[#This Row],[same_2]]=1, 1, 0)</f>
        <v>0</v>
      </c>
      <c r="K938">
        <f>IF(ISNUMBER(SEARCH(Table1[[#This Row],[their_ent_1]],Table1[[#This Row],[my_ent_1]])), 1, 0)</f>
        <v>1</v>
      </c>
      <c r="L938">
        <f>IF(ISNUMBER(SEARCH(Table1[[#This Row],[their_ent_2]],Table1[[#This Row],[my_ent_2]])), 1, 0)</f>
        <v>0</v>
      </c>
    </row>
    <row r="939" spans="1:12" hidden="1" x14ac:dyDescent="0.3">
      <c r="A939" t="s">
        <v>2822</v>
      </c>
      <c r="B939" t="s">
        <v>1017</v>
      </c>
      <c r="C939" t="s">
        <v>2823</v>
      </c>
      <c r="D939" t="s">
        <v>2824</v>
      </c>
      <c r="E939" t="s">
        <v>2824</v>
      </c>
      <c r="F939">
        <v>2</v>
      </c>
      <c r="G939">
        <v>937</v>
      </c>
      <c r="H939">
        <f>IF(Table1[[#This Row],[my_ent_1]]=Table1[[#This Row],[their_ent_1]], 1, 0)</f>
        <v>0</v>
      </c>
      <c r="I939">
        <f>IF(Table1[[#This Row],[my_ent_2]]=Table1[[#This Row],[their_ent_2]], 1, 0)</f>
        <v>1</v>
      </c>
      <c r="J939">
        <f>IF(Table1[[#This Row],[same_1]]=1 &amp; Table1[[#This Row],[same_2]]=1, 1, 0)</f>
        <v>0</v>
      </c>
      <c r="K939">
        <f>IF(ISNUMBER(SEARCH(Table1[[#This Row],[their_ent_1]],Table1[[#This Row],[my_ent_1]])), 1, 0)</f>
        <v>0</v>
      </c>
      <c r="L939">
        <f>IF(ISNUMBER(SEARCH(Table1[[#This Row],[their_ent_2]],Table1[[#This Row],[my_ent_2]])), 1, 0)</f>
        <v>1</v>
      </c>
    </row>
    <row r="940" spans="1:12" hidden="1" x14ac:dyDescent="0.3">
      <c r="A940" t="s">
        <v>2825</v>
      </c>
      <c r="B940" t="s">
        <v>1477</v>
      </c>
      <c r="C940" t="s">
        <v>1477</v>
      </c>
      <c r="D940" t="s">
        <v>54</v>
      </c>
      <c r="E940" t="s">
        <v>2826</v>
      </c>
      <c r="F940">
        <v>1</v>
      </c>
      <c r="G940">
        <v>938</v>
      </c>
      <c r="H940">
        <f>IF(Table1[[#This Row],[my_ent_1]]=Table1[[#This Row],[their_ent_1]], 1, 0)</f>
        <v>1</v>
      </c>
      <c r="I940">
        <f>IF(Table1[[#This Row],[my_ent_2]]=Table1[[#This Row],[their_ent_2]], 1, 0)</f>
        <v>0</v>
      </c>
      <c r="J940">
        <f>IF(Table1[[#This Row],[same_1]]=1 &amp; Table1[[#This Row],[same_2]]=1, 1, 0)</f>
        <v>0</v>
      </c>
      <c r="K940">
        <f>IF(ISNUMBER(SEARCH(Table1[[#This Row],[their_ent_1]],Table1[[#This Row],[my_ent_1]])), 1, 0)</f>
        <v>1</v>
      </c>
      <c r="L940">
        <f>IF(ISNUMBER(SEARCH(Table1[[#This Row],[their_ent_2]],Table1[[#This Row],[my_ent_2]])), 1, 0)</f>
        <v>0</v>
      </c>
    </row>
    <row r="941" spans="1:12" hidden="1" x14ac:dyDescent="0.3">
      <c r="A941" t="s">
        <v>2827</v>
      </c>
      <c r="B941" t="s">
        <v>2828</v>
      </c>
      <c r="C941" t="s">
        <v>2829</v>
      </c>
      <c r="D941" t="s">
        <v>2829</v>
      </c>
      <c r="E941" t="s">
        <v>2830</v>
      </c>
      <c r="F941">
        <v>3</v>
      </c>
      <c r="G941">
        <v>939</v>
      </c>
      <c r="H941">
        <f>IF(Table1[[#This Row],[my_ent_1]]=Table1[[#This Row],[their_ent_1]], 1, 0)</f>
        <v>0</v>
      </c>
      <c r="I941">
        <f>IF(Table1[[#This Row],[my_ent_2]]=Table1[[#This Row],[their_ent_2]], 1, 0)</f>
        <v>0</v>
      </c>
      <c r="J941">
        <f>IF(Table1[[#This Row],[same_1]]=1 &amp; Table1[[#This Row],[same_2]]=1, 1, 0)</f>
        <v>0</v>
      </c>
      <c r="K941">
        <f>IF(ISNUMBER(SEARCH(Table1[[#This Row],[their_ent_1]],Table1[[#This Row],[my_ent_1]])), 1, 0)</f>
        <v>0</v>
      </c>
      <c r="L941">
        <f>IF(ISNUMBER(SEARCH(Table1[[#This Row],[their_ent_2]],Table1[[#This Row],[my_ent_2]])), 1, 0)</f>
        <v>0</v>
      </c>
    </row>
    <row r="942" spans="1:12" hidden="1" x14ac:dyDescent="0.3">
      <c r="A942" t="s">
        <v>2831</v>
      </c>
      <c r="B942" t="s">
        <v>2832</v>
      </c>
      <c r="C942" t="s">
        <v>2832</v>
      </c>
      <c r="D942" t="s">
        <v>2833</v>
      </c>
      <c r="E942" t="s">
        <v>2834</v>
      </c>
      <c r="F942">
        <v>1</v>
      </c>
      <c r="G942">
        <v>940</v>
      </c>
      <c r="H942">
        <f>IF(Table1[[#This Row],[my_ent_1]]=Table1[[#This Row],[their_ent_1]], 1, 0)</f>
        <v>1</v>
      </c>
      <c r="I942">
        <f>IF(Table1[[#This Row],[my_ent_2]]=Table1[[#This Row],[their_ent_2]], 1, 0)</f>
        <v>0</v>
      </c>
      <c r="J942">
        <f>IF(Table1[[#This Row],[same_1]]=1 &amp; Table1[[#This Row],[same_2]]=1, 1, 0)</f>
        <v>0</v>
      </c>
      <c r="K942">
        <f>IF(ISNUMBER(SEARCH(Table1[[#This Row],[their_ent_1]],Table1[[#This Row],[my_ent_1]])), 1, 0)</f>
        <v>1</v>
      </c>
      <c r="L942">
        <f>IF(ISNUMBER(SEARCH(Table1[[#This Row],[their_ent_2]],Table1[[#This Row],[my_ent_2]])), 1, 0)</f>
        <v>0</v>
      </c>
    </row>
    <row r="943" spans="1:12" x14ac:dyDescent="0.3">
      <c r="A943" t="s">
        <v>2835</v>
      </c>
      <c r="B943" t="s">
        <v>2836</v>
      </c>
      <c r="C943" t="s">
        <v>2836</v>
      </c>
      <c r="D943" t="s">
        <v>2837</v>
      </c>
      <c r="E943" t="s">
        <v>2838</v>
      </c>
      <c r="F943">
        <v>2</v>
      </c>
      <c r="G943">
        <v>941</v>
      </c>
      <c r="H943">
        <f>IF(Table1[[#This Row],[my_ent_1]]=Table1[[#This Row],[their_ent_1]], 1, 0)</f>
        <v>1</v>
      </c>
      <c r="I943">
        <f>IF(Table1[[#This Row],[my_ent_2]]=Table1[[#This Row],[their_ent_2]], 1, 0)</f>
        <v>0</v>
      </c>
      <c r="J943">
        <f>IF(Table1[[#This Row],[same_1]]=1 &amp; Table1[[#This Row],[same_2]]=1, 1, 0)</f>
        <v>0</v>
      </c>
      <c r="K943">
        <f>IF(ISNUMBER(SEARCH(Table1[[#This Row],[their_ent_1]],Table1[[#This Row],[my_ent_1]])), 1, 0)</f>
        <v>1</v>
      </c>
      <c r="L943">
        <f>IF(ISNUMBER(SEARCH(Table1[[#This Row],[their_ent_2]],Table1[[#This Row],[my_ent_2]])), 1, 0)</f>
        <v>1</v>
      </c>
    </row>
    <row r="944" spans="1:12" hidden="1" x14ac:dyDescent="0.3">
      <c r="A944" t="s">
        <v>2839</v>
      </c>
      <c r="B944" t="s">
        <v>2840</v>
      </c>
      <c r="C944" t="s">
        <v>2840</v>
      </c>
      <c r="D944" t="s">
        <v>2841</v>
      </c>
      <c r="E944" t="s">
        <v>2842</v>
      </c>
      <c r="F944">
        <v>3</v>
      </c>
      <c r="G944">
        <v>942</v>
      </c>
      <c r="H944">
        <f>IF(Table1[[#This Row],[my_ent_1]]=Table1[[#This Row],[their_ent_1]], 1, 0)</f>
        <v>1</v>
      </c>
      <c r="I944">
        <f>IF(Table1[[#This Row],[my_ent_2]]=Table1[[#This Row],[their_ent_2]], 1, 0)</f>
        <v>0</v>
      </c>
      <c r="J944">
        <f>IF(Table1[[#This Row],[same_1]]=1 &amp; Table1[[#This Row],[same_2]]=1, 1, 0)</f>
        <v>0</v>
      </c>
      <c r="K944">
        <f>IF(ISNUMBER(SEARCH(Table1[[#This Row],[their_ent_1]],Table1[[#This Row],[my_ent_1]])), 1, 0)</f>
        <v>1</v>
      </c>
      <c r="L944">
        <f>IF(ISNUMBER(SEARCH(Table1[[#This Row],[their_ent_2]],Table1[[#This Row],[my_ent_2]])), 1, 0)</f>
        <v>0</v>
      </c>
    </row>
    <row r="945" spans="1:12" hidden="1" x14ac:dyDescent="0.3">
      <c r="A945" t="s">
        <v>2843</v>
      </c>
      <c r="B945" t="s">
        <v>2844</v>
      </c>
      <c r="C945" t="s">
        <v>2844</v>
      </c>
      <c r="D945" t="s">
        <v>2845</v>
      </c>
      <c r="E945" t="s">
        <v>1025</v>
      </c>
      <c r="F945">
        <v>2</v>
      </c>
      <c r="G945">
        <v>943</v>
      </c>
      <c r="H945">
        <f>IF(Table1[[#This Row],[my_ent_1]]=Table1[[#This Row],[their_ent_1]], 1, 0)</f>
        <v>1</v>
      </c>
      <c r="I945">
        <f>IF(Table1[[#This Row],[my_ent_2]]=Table1[[#This Row],[their_ent_2]], 1, 0)</f>
        <v>0</v>
      </c>
      <c r="J945">
        <f>IF(Table1[[#This Row],[same_1]]=1 &amp; Table1[[#This Row],[same_2]]=1, 1, 0)</f>
        <v>0</v>
      </c>
      <c r="K945">
        <f>IF(ISNUMBER(SEARCH(Table1[[#This Row],[their_ent_1]],Table1[[#This Row],[my_ent_1]])), 1, 0)</f>
        <v>1</v>
      </c>
      <c r="L945">
        <f>IF(ISNUMBER(SEARCH(Table1[[#This Row],[their_ent_2]],Table1[[#This Row],[my_ent_2]])), 1, 0)</f>
        <v>0</v>
      </c>
    </row>
    <row r="946" spans="1:12" hidden="1" x14ac:dyDescent="0.3">
      <c r="A946" t="s">
        <v>2731</v>
      </c>
      <c r="B946" t="s">
        <v>2732</v>
      </c>
      <c r="C946" t="s">
        <v>2733</v>
      </c>
      <c r="D946" t="s">
        <v>1297</v>
      </c>
      <c r="E946" t="s">
        <v>2732</v>
      </c>
      <c r="F946">
        <v>3</v>
      </c>
      <c r="G946">
        <v>944</v>
      </c>
      <c r="H946">
        <f>IF(Table1[[#This Row],[my_ent_1]]=Table1[[#This Row],[their_ent_1]], 1, 0)</f>
        <v>0</v>
      </c>
      <c r="I946">
        <f>IF(Table1[[#This Row],[my_ent_2]]=Table1[[#This Row],[their_ent_2]], 1, 0)</f>
        <v>0</v>
      </c>
      <c r="J946">
        <f>IF(Table1[[#This Row],[same_1]]=1 &amp; Table1[[#This Row],[same_2]]=1, 1, 0)</f>
        <v>0</v>
      </c>
      <c r="K946">
        <f>IF(ISNUMBER(SEARCH(Table1[[#This Row],[their_ent_1]],Table1[[#This Row],[my_ent_1]])), 1, 0)</f>
        <v>0</v>
      </c>
      <c r="L946">
        <f>IF(ISNUMBER(SEARCH(Table1[[#This Row],[their_ent_2]],Table1[[#This Row],[my_ent_2]])), 1, 0)</f>
        <v>0</v>
      </c>
    </row>
    <row r="947" spans="1:12" x14ac:dyDescent="0.3">
      <c r="A947" t="s">
        <v>2846</v>
      </c>
      <c r="B947" t="s">
        <v>2847</v>
      </c>
      <c r="C947" t="s">
        <v>2847</v>
      </c>
      <c r="D947" t="s">
        <v>235</v>
      </c>
      <c r="E947" t="s">
        <v>236</v>
      </c>
      <c r="F947">
        <v>4</v>
      </c>
      <c r="G947">
        <v>945</v>
      </c>
      <c r="H947">
        <f>IF(Table1[[#This Row],[my_ent_1]]=Table1[[#This Row],[their_ent_1]], 1, 0)</f>
        <v>1</v>
      </c>
      <c r="I947">
        <f>IF(Table1[[#This Row],[my_ent_2]]=Table1[[#This Row],[their_ent_2]], 1, 0)</f>
        <v>0</v>
      </c>
      <c r="J947">
        <f>IF(Table1[[#This Row],[same_1]]=1 &amp; Table1[[#This Row],[same_2]]=1, 1, 0)</f>
        <v>0</v>
      </c>
      <c r="K947">
        <f>IF(ISNUMBER(SEARCH(Table1[[#This Row],[their_ent_1]],Table1[[#This Row],[my_ent_1]])), 1, 0)</f>
        <v>1</v>
      </c>
      <c r="L947">
        <f>IF(ISNUMBER(SEARCH(Table1[[#This Row],[their_ent_2]],Table1[[#This Row],[my_ent_2]])), 1, 0)</f>
        <v>1</v>
      </c>
    </row>
    <row r="948" spans="1:12" hidden="1" x14ac:dyDescent="0.3">
      <c r="A948" t="s">
        <v>2848</v>
      </c>
      <c r="B948" t="s">
        <v>2849</v>
      </c>
      <c r="C948" t="s">
        <v>2849</v>
      </c>
      <c r="D948" t="s">
        <v>54</v>
      </c>
      <c r="E948" t="s">
        <v>80</v>
      </c>
      <c r="F948">
        <v>4</v>
      </c>
      <c r="G948">
        <v>946</v>
      </c>
      <c r="H948">
        <f>IF(Table1[[#This Row],[my_ent_1]]=Table1[[#This Row],[their_ent_1]], 1, 0)</f>
        <v>1</v>
      </c>
      <c r="I948">
        <f>IF(Table1[[#This Row],[my_ent_2]]=Table1[[#This Row],[their_ent_2]], 1, 0)</f>
        <v>0</v>
      </c>
      <c r="J948">
        <f>IF(Table1[[#This Row],[same_1]]=1 &amp; Table1[[#This Row],[same_2]]=1, 1, 0)</f>
        <v>0</v>
      </c>
      <c r="K948">
        <f>IF(ISNUMBER(SEARCH(Table1[[#This Row],[their_ent_1]],Table1[[#This Row],[my_ent_1]])), 1, 0)</f>
        <v>1</v>
      </c>
      <c r="L948">
        <f>IF(ISNUMBER(SEARCH(Table1[[#This Row],[their_ent_2]],Table1[[#This Row],[my_ent_2]])), 1, 0)</f>
        <v>0</v>
      </c>
    </row>
    <row r="949" spans="1:12" x14ac:dyDescent="0.3">
      <c r="A949" t="s">
        <v>2850</v>
      </c>
      <c r="B949" t="s">
        <v>2851</v>
      </c>
      <c r="C949" t="s">
        <v>2851</v>
      </c>
      <c r="D949" t="s">
        <v>2852</v>
      </c>
      <c r="E949" t="s">
        <v>2853</v>
      </c>
      <c r="F949">
        <v>3</v>
      </c>
      <c r="G949">
        <v>947</v>
      </c>
      <c r="H949">
        <f>IF(Table1[[#This Row],[my_ent_1]]=Table1[[#This Row],[their_ent_1]], 1, 0)</f>
        <v>1</v>
      </c>
      <c r="I949">
        <f>IF(Table1[[#This Row],[my_ent_2]]=Table1[[#This Row],[their_ent_2]], 1, 0)</f>
        <v>0</v>
      </c>
      <c r="J949">
        <f>IF(Table1[[#This Row],[same_1]]=1 &amp; Table1[[#This Row],[same_2]]=1, 1, 0)</f>
        <v>0</v>
      </c>
      <c r="K949">
        <f>IF(ISNUMBER(SEARCH(Table1[[#This Row],[their_ent_1]],Table1[[#This Row],[my_ent_1]])), 1, 0)</f>
        <v>1</v>
      </c>
      <c r="L949">
        <f>IF(ISNUMBER(SEARCH(Table1[[#This Row],[their_ent_2]],Table1[[#This Row],[my_ent_2]])), 1, 0)</f>
        <v>1</v>
      </c>
    </row>
    <row r="950" spans="1:12" hidden="1" x14ac:dyDescent="0.3">
      <c r="A950" t="s">
        <v>2854</v>
      </c>
      <c r="B950" t="s">
        <v>301</v>
      </c>
      <c r="C950" t="s">
        <v>301</v>
      </c>
      <c r="D950" t="s">
        <v>299</v>
      </c>
      <c r="E950" t="s">
        <v>563</v>
      </c>
      <c r="F950">
        <v>3</v>
      </c>
      <c r="G950">
        <v>948</v>
      </c>
      <c r="H950">
        <f>IF(Table1[[#This Row],[my_ent_1]]=Table1[[#This Row],[their_ent_1]], 1, 0)</f>
        <v>1</v>
      </c>
      <c r="I950">
        <f>IF(Table1[[#This Row],[my_ent_2]]=Table1[[#This Row],[their_ent_2]], 1, 0)</f>
        <v>0</v>
      </c>
      <c r="J950">
        <f>IF(Table1[[#This Row],[same_1]]=1 &amp; Table1[[#This Row],[same_2]]=1, 1, 0)</f>
        <v>0</v>
      </c>
      <c r="K950">
        <f>IF(ISNUMBER(SEARCH(Table1[[#This Row],[their_ent_1]],Table1[[#This Row],[my_ent_1]])), 1, 0)</f>
        <v>1</v>
      </c>
      <c r="L950">
        <f>IF(ISNUMBER(SEARCH(Table1[[#This Row],[their_ent_2]],Table1[[#This Row],[my_ent_2]])), 1, 0)</f>
        <v>0</v>
      </c>
    </row>
    <row r="951" spans="1:12" hidden="1" x14ac:dyDescent="0.3">
      <c r="A951" t="s">
        <v>2855</v>
      </c>
      <c r="B951" t="s">
        <v>2043</v>
      </c>
      <c r="C951" t="s">
        <v>329</v>
      </c>
      <c r="D951" t="s">
        <v>30</v>
      </c>
      <c r="E951" t="s">
        <v>30</v>
      </c>
      <c r="F951">
        <v>3</v>
      </c>
      <c r="G951">
        <v>949</v>
      </c>
      <c r="H951">
        <f>IF(Table1[[#This Row],[my_ent_1]]=Table1[[#This Row],[their_ent_1]], 1, 0)</f>
        <v>0</v>
      </c>
      <c r="I951">
        <f>IF(Table1[[#This Row],[my_ent_2]]=Table1[[#This Row],[their_ent_2]], 1, 0)</f>
        <v>1</v>
      </c>
      <c r="J951">
        <f>IF(Table1[[#This Row],[same_1]]=1 &amp; Table1[[#This Row],[same_2]]=1, 1, 0)</f>
        <v>0</v>
      </c>
      <c r="K951">
        <f>IF(ISNUMBER(SEARCH(Table1[[#This Row],[their_ent_1]],Table1[[#This Row],[my_ent_1]])), 1, 0)</f>
        <v>0</v>
      </c>
      <c r="L951">
        <f>IF(ISNUMBER(SEARCH(Table1[[#This Row],[their_ent_2]],Table1[[#This Row],[my_ent_2]])), 1, 0)</f>
        <v>1</v>
      </c>
    </row>
    <row r="952" spans="1:12" x14ac:dyDescent="0.3">
      <c r="A952" t="s">
        <v>2856</v>
      </c>
      <c r="B952" t="s">
        <v>2857</v>
      </c>
      <c r="C952" t="s">
        <v>2858</v>
      </c>
      <c r="D952" t="s">
        <v>200</v>
      </c>
      <c r="E952" t="s">
        <v>200</v>
      </c>
      <c r="F952">
        <v>1</v>
      </c>
      <c r="G952">
        <v>950</v>
      </c>
      <c r="H952">
        <f>IF(Table1[[#This Row],[my_ent_1]]=Table1[[#This Row],[their_ent_1]], 1, 0)</f>
        <v>0</v>
      </c>
      <c r="I952">
        <f>IF(Table1[[#This Row],[my_ent_2]]=Table1[[#This Row],[their_ent_2]], 1, 0)</f>
        <v>1</v>
      </c>
      <c r="J952">
        <f>IF(Table1[[#This Row],[same_1]]=1 &amp; Table1[[#This Row],[same_2]]=1, 1, 0)</f>
        <v>0</v>
      </c>
      <c r="K952">
        <f>IF(ISNUMBER(SEARCH(Table1[[#This Row],[their_ent_1]],Table1[[#This Row],[my_ent_1]])), 1, 0)</f>
        <v>1</v>
      </c>
      <c r="L952">
        <f>IF(ISNUMBER(SEARCH(Table1[[#This Row],[their_ent_2]],Table1[[#This Row],[my_ent_2]])), 1, 0)</f>
        <v>1</v>
      </c>
    </row>
    <row r="953" spans="1:12" hidden="1" x14ac:dyDescent="0.3">
      <c r="A953" t="s">
        <v>2859</v>
      </c>
      <c r="B953" t="s">
        <v>2860</v>
      </c>
      <c r="C953" t="s">
        <v>2861</v>
      </c>
      <c r="D953" t="s">
        <v>54</v>
      </c>
      <c r="E953" t="s">
        <v>2862</v>
      </c>
      <c r="F953">
        <v>1</v>
      </c>
      <c r="G953">
        <v>951</v>
      </c>
      <c r="H953">
        <f>IF(Table1[[#This Row],[my_ent_1]]=Table1[[#This Row],[their_ent_1]], 1, 0)</f>
        <v>0</v>
      </c>
      <c r="I953">
        <f>IF(Table1[[#This Row],[my_ent_2]]=Table1[[#This Row],[their_ent_2]], 1, 0)</f>
        <v>0</v>
      </c>
      <c r="J953">
        <f>IF(Table1[[#This Row],[same_1]]=1 &amp; Table1[[#This Row],[same_2]]=1, 1, 0)</f>
        <v>0</v>
      </c>
      <c r="K953">
        <f>IF(ISNUMBER(SEARCH(Table1[[#This Row],[their_ent_1]],Table1[[#This Row],[my_ent_1]])), 1, 0)</f>
        <v>0</v>
      </c>
      <c r="L953">
        <f>IF(ISNUMBER(SEARCH(Table1[[#This Row],[their_ent_2]],Table1[[#This Row],[my_ent_2]])), 1, 0)</f>
        <v>0</v>
      </c>
    </row>
    <row r="954" spans="1:12" hidden="1" x14ac:dyDescent="0.3">
      <c r="A954" t="s">
        <v>2863</v>
      </c>
      <c r="B954" t="s">
        <v>2864</v>
      </c>
      <c r="C954" t="s">
        <v>708</v>
      </c>
      <c r="D954" t="s">
        <v>680</v>
      </c>
      <c r="E954" t="s">
        <v>680</v>
      </c>
      <c r="F954">
        <v>1</v>
      </c>
      <c r="G954">
        <v>952</v>
      </c>
      <c r="H954">
        <f>IF(Table1[[#This Row],[my_ent_1]]=Table1[[#This Row],[their_ent_1]], 1, 0)</f>
        <v>0</v>
      </c>
      <c r="I954">
        <f>IF(Table1[[#This Row],[my_ent_2]]=Table1[[#This Row],[their_ent_2]], 1, 0)</f>
        <v>1</v>
      </c>
      <c r="J954">
        <f>IF(Table1[[#This Row],[same_1]]=1 &amp; Table1[[#This Row],[same_2]]=1, 1, 0)</f>
        <v>0</v>
      </c>
      <c r="K954">
        <f>IF(ISNUMBER(SEARCH(Table1[[#This Row],[their_ent_1]],Table1[[#This Row],[my_ent_1]])), 1, 0)</f>
        <v>0</v>
      </c>
      <c r="L954">
        <f>IF(ISNUMBER(SEARCH(Table1[[#This Row],[their_ent_2]],Table1[[#This Row],[my_ent_2]])), 1, 0)</f>
        <v>1</v>
      </c>
    </row>
    <row r="955" spans="1:12" hidden="1" x14ac:dyDescent="0.3">
      <c r="A955" t="s">
        <v>2865</v>
      </c>
      <c r="B955" t="s">
        <v>2866</v>
      </c>
      <c r="C955" t="s">
        <v>357</v>
      </c>
      <c r="D955" t="s">
        <v>2867</v>
      </c>
      <c r="E955" t="s">
        <v>2868</v>
      </c>
      <c r="F955">
        <v>1</v>
      </c>
      <c r="G955">
        <v>953</v>
      </c>
      <c r="H955">
        <f>IF(Table1[[#This Row],[my_ent_1]]=Table1[[#This Row],[their_ent_1]], 1, 0)</f>
        <v>0</v>
      </c>
      <c r="I955">
        <f>IF(Table1[[#This Row],[my_ent_2]]=Table1[[#This Row],[their_ent_2]], 1, 0)</f>
        <v>0</v>
      </c>
      <c r="J955">
        <f>IF(Table1[[#This Row],[same_1]]=1 &amp; Table1[[#This Row],[same_2]]=1, 1, 0)</f>
        <v>0</v>
      </c>
      <c r="K955">
        <f>IF(ISNUMBER(SEARCH(Table1[[#This Row],[their_ent_1]],Table1[[#This Row],[my_ent_1]])), 1, 0)</f>
        <v>0</v>
      </c>
      <c r="L955">
        <f>IF(ISNUMBER(SEARCH(Table1[[#This Row],[their_ent_2]],Table1[[#This Row],[my_ent_2]])), 1, 0)</f>
        <v>0</v>
      </c>
    </row>
    <row r="956" spans="1:12" hidden="1" x14ac:dyDescent="0.3">
      <c r="A956" t="s">
        <v>2869</v>
      </c>
      <c r="B956" t="s">
        <v>2870</v>
      </c>
      <c r="C956" t="s">
        <v>2871</v>
      </c>
      <c r="D956" t="s">
        <v>2872</v>
      </c>
      <c r="E956" t="s">
        <v>2872</v>
      </c>
      <c r="F956">
        <v>3</v>
      </c>
      <c r="G956">
        <v>954</v>
      </c>
      <c r="H956">
        <f>IF(Table1[[#This Row],[my_ent_1]]=Table1[[#This Row],[their_ent_1]], 1, 0)</f>
        <v>0</v>
      </c>
      <c r="I956">
        <f>IF(Table1[[#This Row],[my_ent_2]]=Table1[[#This Row],[their_ent_2]], 1, 0)</f>
        <v>1</v>
      </c>
      <c r="J956">
        <f>IF(Table1[[#This Row],[same_1]]=1 &amp; Table1[[#This Row],[same_2]]=1, 1, 0)</f>
        <v>0</v>
      </c>
      <c r="K956">
        <f>IF(ISNUMBER(SEARCH(Table1[[#This Row],[their_ent_1]],Table1[[#This Row],[my_ent_1]])), 1, 0)</f>
        <v>0</v>
      </c>
      <c r="L956">
        <f>IF(ISNUMBER(SEARCH(Table1[[#This Row],[their_ent_2]],Table1[[#This Row],[my_ent_2]])), 1, 0)</f>
        <v>1</v>
      </c>
    </row>
    <row r="957" spans="1:12" x14ac:dyDescent="0.3">
      <c r="A957" t="s">
        <v>2873</v>
      </c>
      <c r="B957" t="s">
        <v>2874</v>
      </c>
      <c r="C957" t="s">
        <v>2875</v>
      </c>
      <c r="D957" t="s">
        <v>2876</v>
      </c>
      <c r="E957" t="s">
        <v>2877</v>
      </c>
      <c r="F957">
        <v>1</v>
      </c>
      <c r="G957">
        <v>955</v>
      </c>
      <c r="H957">
        <f>IF(Table1[[#This Row],[my_ent_1]]=Table1[[#This Row],[their_ent_1]], 1, 0)</f>
        <v>0</v>
      </c>
      <c r="I957">
        <f>IF(Table1[[#This Row],[my_ent_2]]=Table1[[#This Row],[their_ent_2]], 1, 0)</f>
        <v>0</v>
      </c>
      <c r="J957">
        <f>IF(Table1[[#This Row],[same_1]]=1 &amp; Table1[[#This Row],[same_2]]=1, 1, 0)</f>
        <v>0</v>
      </c>
      <c r="K957">
        <f>IF(ISNUMBER(SEARCH(Table1[[#This Row],[their_ent_1]],Table1[[#This Row],[my_ent_1]])), 1, 0)</f>
        <v>1</v>
      </c>
      <c r="L957">
        <f>IF(ISNUMBER(SEARCH(Table1[[#This Row],[their_ent_2]],Table1[[#This Row],[my_ent_2]])), 1, 0)</f>
        <v>1</v>
      </c>
    </row>
    <row r="958" spans="1:12" hidden="1" x14ac:dyDescent="0.3">
      <c r="A958" t="s">
        <v>2878</v>
      </c>
      <c r="B958" t="s">
        <v>2879</v>
      </c>
      <c r="C958" t="s">
        <v>124</v>
      </c>
      <c r="D958" t="s">
        <v>2880</v>
      </c>
      <c r="E958" t="s">
        <v>2880</v>
      </c>
      <c r="F958">
        <v>1</v>
      </c>
      <c r="G958">
        <v>956</v>
      </c>
      <c r="H958">
        <f>IF(Table1[[#This Row],[my_ent_1]]=Table1[[#This Row],[their_ent_1]], 1, 0)</f>
        <v>0</v>
      </c>
      <c r="I958">
        <f>IF(Table1[[#This Row],[my_ent_2]]=Table1[[#This Row],[their_ent_2]], 1, 0)</f>
        <v>1</v>
      </c>
      <c r="J958">
        <f>IF(Table1[[#This Row],[same_1]]=1 &amp; Table1[[#This Row],[same_2]]=1, 1, 0)</f>
        <v>0</v>
      </c>
      <c r="K958">
        <f>IF(ISNUMBER(SEARCH(Table1[[#This Row],[their_ent_1]],Table1[[#This Row],[my_ent_1]])), 1, 0)</f>
        <v>0</v>
      </c>
      <c r="L958">
        <f>IF(ISNUMBER(SEARCH(Table1[[#This Row],[their_ent_2]],Table1[[#This Row],[my_ent_2]])), 1, 0)</f>
        <v>1</v>
      </c>
    </row>
    <row r="959" spans="1:12" hidden="1" x14ac:dyDescent="0.3">
      <c r="A959" t="s">
        <v>2881</v>
      </c>
      <c r="B959" t="s">
        <v>2882</v>
      </c>
      <c r="C959" t="s">
        <v>2882</v>
      </c>
      <c r="D959" t="s">
        <v>2883</v>
      </c>
      <c r="E959" t="s">
        <v>2884</v>
      </c>
      <c r="F959">
        <v>1</v>
      </c>
      <c r="G959">
        <v>957</v>
      </c>
      <c r="H959">
        <f>IF(Table1[[#This Row],[my_ent_1]]=Table1[[#This Row],[their_ent_1]], 1, 0)</f>
        <v>1</v>
      </c>
      <c r="I959">
        <f>IF(Table1[[#This Row],[my_ent_2]]=Table1[[#This Row],[their_ent_2]], 1, 0)</f>
        <v>0</v>
      </c>
      <c r="J959">
        <f>IF(Table1[[#This Row],[same_1]]=1 &amp; Table1[[#This Row],[same_2]]=1, 1, 0)</f>
        <v>0</v>
      </c>
      <c r="K959">
        <f>IF(ISNUMBER(SEARCH(Table1[[#This Row],[their_ent_1]],Table1[[#This Row],[my_ent_1]])), 1, 0)</f>
        <v>1</v>
      </c>
      <c r="L959">
        <f>IF(ISNUMBER(SEARCH(Table1[[#This Row],[their_ent_2]],Table1[[#This Row],[my_ent_2]])), 1, 0)</f>
        <v>0</v>
      </c>
    </row>
    <row r="960" spans="1:12" hidden="1" x14ac:dyDescent="0.3">
      <c r="A960" t="s">
        <v>2885</v>
      </c>
      <c r="B960" t="s">
        <v>58</v>
      </c>
      <c r="C960" t="s">
        <v>2886</v>
      </c>
      <c r="D960" t="s">
        <v>59</v>
      </c>
      <c r="E960" t="s">
        <v>59</v>
      </c>
      <c r="F960">
        <v>1</v>
      </c>
      <c r="G960">
        <v>958</v>
      </c>
      <c r="H960">
        <f>IF(Table1[[#This Row],[my_ent_1]]=Table1[[#This Row],[their_ent_1]], 1, 0)</f>
        <v>0</v>
      </c>
      <c r="I960">
        <f>IF(Table1[[#This Row],[my_ent_2]]=Table1[[#This Row],[their_ent_2]], 1, 0)</f>
        <v>1</v>
      </c>
      <c r="J960">
        <f>IF(Table1[[#This Row],[same_1]]=1 &amp; Table1[[#This Row],[same_2]]=1, 1, 0)</f>
        <v>0</v>
      </c>
      <c r="K960">
        <f>IF(ISNUMBER(SEARCH(Table1[[#This Row],[their_ent_1]],Table1[[#This Row],[my_ent_1]])), 1, 0)</f>
        <v>0</v>
      </c>
      <c r="L960">
        <f>IF(ISNUMBER(SEARCH(Table1[[#This Row],[their_ent_2]],Table1[[#This Row],[my_ent_2]])), 1, 0)</f>
        <v>1</v>
      </c>
    </row>
    <row r="961" spans="1:12" hidden="1" x14ac:dyDescent="0.3">
      <c r="A961" t="s">
        <v>2887</v>
      </c>
      <c r="B961" t="s">
        <v>2888</v>
      </c>
      <c r="C961" t="s">
        <v>2888</v>
      </c>
      <c r="D961" t="s">
        <v>1533</v>
      </c>
      <c r="E961" t="s">
        <v>236</v>
      </c>
      <c r="F961">
        <v>3</v>
      </c>
      <c r="G961">
        <v>959</v>
      </c>
      <c r="H961">
        <f>IF(Table1[[#This Row],[my_ent_1]]=Table1[[#This Row],[their_ent_1]], 1, 0)</f>
        <v>1</v>
      </c>
      <c r="I961">
        <f>IF(Table1[[#This Row],[my_ent_2]]=Table1[[#This Row],[their_ent_2]], 1, 0)</f>
        <v>0</v>
      </c>
      <c r="J961">
        <f>IF(Table1[[#This Row],[same_1]]=1 &amp; Table1[[#This Row],[same_2]]=1, 1, 0)</f>
        <v>0</v>
      </c>
      <c r="K961">
        <f>IF(ISNUMBER(SEARCH(Table1[[#This Row],[their_ent_1]],Table1[[#This Row],[my_ent_1]])), 1, 0)</f>
        <v>1</v>
      </c>
      <c r="L961">
        <f>IF(ISNUMBER(SEARCH(Table1[[#This Row],[their_ent_2]],Table1[[#This Row],[my_ent_2]])), 1, 0)</f>
        <v>0</v>
      </c>
    </row>
    <row r="962" spans="1:12" hidden="1" x14ac:dyDescent="0.3">
      <c r="A962" t="s">
        <v>2889</v>
      </c>
      <c r="B962" t="s">
        <v>2890</v>
      </c>
      <c r="C962" t="s">
        <v>2891</v>
      </c>
      <c r="D962" t="s">
        <v>2892</v>
      </c>
      <c r="E962" t="s">
        <v>2890</v>
      </c>
      <c r="F962">
        <v>1</v>
      </c>
      <c r="G962">
        <v>960</v>
      </c>
      <c r="H962">
        <f>IF(Table1[[#This Row],[my_ent_1]]=Table1[[#This Row],[their_ent_1]], 1, 0)</f>
        <v>0</v>
      </c>
      <c r="I962">
        <f>IF(Table1[[#This Row],[my_ent_2]]=Table1[[#This Row],[their_ent_2]], 1, 0)</f>
        <v>0</v>
      </c>
      <c r="J962">
        <f>IF(Table1[[#This Row],[same_1]]=1 &amp; Table1[[#This Row],[same_2]]=1, 1, 0)</f>
        <v>0</v>
      </c>
      <c r="K962">
        <f>IF(ISNUMBER(SEARCH(Table1[[#This Row],[their_ent_1]],Table1[[#This Row],[my_ent_1]])), 1, 0)</f>
        <v>0</v>
      </c>
      <c r="L962">
        <f>IF(ISNUMBER(SEARCH(Table1[[#This Row],[their_ent_2]],Table1[[#This Row],[my_ent_2]])), 1, 0)</f>
        <v>0</v>
      </c>
    </row>
    <row r="963" spans="1:12" hidden="1" x14ac:dyDescent="0.3">
      <c r="A963" t="s">
        <v>2893</v>
      </c>
      <c r="B963" t="s">
        <v>2894</v>
      </c>
      <c r="C963" t="s">
        <v>2895</v>
      </c>
      <c r="D963" t="s">
        <v>2895</v>
      </c>
      <c r="E963" t="s">
        <v>2896</v>
      </c>
      <c r="F963">
        <v>1</v>
      </c>
      <c r="G963">
        <v>961</v>
      </c>
      <c r="H963">
        <f>IF(Table1[[#This Row],[my_ent_1]]=Table1[[#This Row],[their_ent_1]], 1, 0)</f>
        <v>0</v>
      </c>
      <c r="I963">
        <f>IF(Table1[[#This Row],[my_ent_2]]=Table1[[#This Row],[their_ent_2]], 1, 0)</f>
        <v>0</v>
      </c>
      <c r="J963">
        <f>IF(Table1[[#This Row],[same_1]]=1 &amp; Table1[[#This Row],[same_2]]=1, 1, 0)</f>
        <v>0</v>
      </c>
      <c r="K963">
        <f>IF(ISNUMBER(SEARCH(Table1[[#This Row],[their_ent_1]],Table1[[#This Row],[my_ent_1]])), 1, 0)</f>
        <v>0</v>
      </c>
      <c r="L963">
        <f>IF(ISNUMBER(SEARCH(Table1[[#This Row],[their_ent_2]],Table1[[#This Row],[my_ent_2]])), 1, 0)</f>
        <v>0</v>
      </c>
    </row>
    <row r="964" spans="1:12" hidden="1" x14ac:dyDescent="0.3">
      <c r="A964" t="s">
        <v>2897</v>
      </c>
      <c r="B964" t="s">
        <v>7</v>
      </c>
      <c r="C964" t="s">
        <v>7</v>
      </c>
      <c r="D964" t="s">
        <v>172</v>
      </c>
      <c r="E964" t="s">
        <v>193</v>
      </c>
      <c r="F964">
        <v>3</v>
      </c>
      <c r="G964">
        <v>962</v>
      </c>
      <c r="H964">
        <f>IF(Table1[[#This Row],[my_ent_1]]=Table1[[#This Row],[their_ent_1]], 1, 0)</f>
        <v>1</v>
      </c>
      <c r="I964">
        <f>IF(Table1[[#This Row],[my_ent_2]]=Table1[[#This Row],[their_ent_2]], 1, 0)</f>
        <v>0</v>
      </c>
      <c r="J964">
        <f>IF(Table1[[#This Row],[same_1]]=1 &amp; Table1[[#This Row],[same_2]]=1, 1, 0)</f>
        <v>0</v>
      </c>
      <c r="K964">
        <f>IF(ISNUMBER(SEARCH(Table1[[#This Row],[their_ent_1]],Table1[[#This Row],[my_ent_1]])), 1, 0)</f>
        <v>1</v>
      </c>
      <c r="L964">
        <f>IF(ISNUMBER(SEARCH(Table1[[#This Row],[their_ent_2]],Table1[[#This Row],[my_ent_2]])), 1, 0)</f>
        <v>0</v>
      </c>
    </row>
    <row r="965" spans="1:12" hidden="1" x14ac:dyDescent="0.3">
      <c r="A965" t="s">
        <v>2898</v>
      </c>
      <c r="B965" t="s">
        <v>290</v>
      </c>
      <c r="C965" t="s">
        <v>2899</v>
      </c>
      <c r="D965" t="s">
        <v>2900</v>
      </c>
      <c r="E965" t="s">
        <v>321</v>
      </c>
      <c r="F965">
        <v>3</v>
      </c>
      <c r="G965">
        <v>963</v>
      </c>
      <c r="H965">
        <f>IF(Table1[[#This Row],[my_ent_1]]=Table1[[#This Row],[their_ent_1]], 1, 0)</f>
        <v>0</v>
      </c>
      <c r="I965">
        <f>IF(Table1[[#This Row],[my_ent_2]]=Table1[[#This Row],[their_ent_2]], 1, 0)</f>
        <v>0</v>
      </c>
      <c r="J965">
        <f>IF(Table1[[#This Row],[same_1]]=1 &amp; Table1[[#This Row],[same_2]]=1, 1, 0)</f>
        <v>0</v>
      </c>
      <c r="K965">
        <f>IF(ISNUMBER(SEARCH(Table1[[#This Row],[their_ent_1]],Table1[[#This Row],[my_ent_1]])), 1, 0)</f>
        <v>0</v>
      </c>
      <c r="L965">
        <f>IF(ISNUMBER(SEARCH(Table1[[#This Row],[their_ent_2]],Table1[[#This Row],[my_ent_2]])), 1, 0)</f>
        <v>0</v>
      </c>
    </row>
    <row r="966" spans="1:12" hidden="1" x14ac:dyDescent="0.3">
      <c r="A966" t="s">
        <v>2901</v>
      </c>
      <c r="B966" t="s">
        <v>73</v>
      </c>
      <c r="C966" t="s">
        <v>1167</v>
      </c>
      <c r="D966" t="s">
        <v>1167</v>
      </c>
      <c r="E966" t="s">
        <v>2902</v>
      </c>
      <c r="F966">
        <v>1</v>
      </c>
      <c r="G966">
        <v>964</v>
      </c>
      <c r="H966">
        <f>IF(Table1[[#This Row],[my_ent_1]]=Table1[[#This Row],[their_ent_1]], 1, 0)</f>
        <v>0</v>
      </c>
      <c r="I966">
        <f>IF(Table1[[#This Row],[my_ent_2]]=Table1[[#This Row],[their_ent_2]], 1, 0)</f>
        <v>0</v>
      </c>
      <c r="J966">
        <f>IF(Table1[[#This Row],[same_1]]=1 &amp; Table1[[#This Row],[same_2]]=1, 1, 0)</f>
        <v>0</v>
      </c>
      <c r="K966">
        <f>IF(ISNUMBER(SEARCH(Table1[[#This Row],[their_ent_1]],Table1[[#This Row],[my_ent_1]])), 1, 0)</f>
        <v>0</v>
      </c>
      <c r="L966">
        <f>IF(ISNUMBER(SEARCH(Table1[[#This Row],[their_ent_2]],Table1[[#This Row],[my_ent_2]])), 1, 0)</f>
        <v>0</v>
      </c>
    </row>
    <row r="967" spans="1:12" x14ac:dyDescent="0.3">
      <c r="A967" t="s">
        <v>2903</v>
      </c>
      <c r="B967" t="s">
        <v>2904</v>
      </c>
      <c r="C967" t="s">
        <v>2904</v>
      </c>
      <c r="D967" t="s">
        <v>2905</v>
      </c>
      <c r="E967" t="s">
        <v>2906</v>
      </c>
      <c r="F967">
        <v>1</v>
      </c>
      <c r="G967">
        <v>965</v>
      </c>
      <c r="H967">
        <f>IF(Table1[[#This Row],[my_ent_1]]=Table1[[#This Row],[their_ent_1]], 1, 0)</f>
        <v>1</v>
      </c>
      <c r="I967">
        <f>IF(Table1[[#This Row],[my_ent_2]]=Table1[[#This Row],[their_ent_2]], 1, 0)</f>
        <v>0</v>
      </c>
      <c r="J967">
        <f>IF(Table1[[#This Row],[same_1]]=1 &amp; Table1[[#This Row],[same_2]]=1, 1, 0)</f>
        <v>0</v>
      </c>
      <c r="K967">
        <f>IF(ISNUMBER(SEARCH(Table1[[#This Row],[their_ent_1]],Table1[[#This Row],[my_ent_1]])), 1, 0)</f>
        <v>1</v>
      </c>
      <c r="L967">
        <f>IF(ISNUMBER(SEARCH(Table1[[#This Row],[their_ent_2]],Table1[[#This Row],[my_ent_2]])), 1, 0)</f>
        <v>1</v>
      </c>
    </row>
    <row r="968" spans="1:12" hidden="1" x14ac:dyDescent="0.3">
      <c r="A968" t="s">
        <v>2907</v>
      </c>
      <c r="B968" t="s">
        <v>2908</v>
      </c>
      <c r="C968" t="s">
        <v>2909</v>
      </c>
      <c r="D968" t="s">
        <v>2910</v>
      </c>
      <c r="E968" t="s">
        <v>2910</v>
      </c>
      <c r="F968">
        <v>2</v>
      </c>
      <c r="G968">
        <v>966</v>
      </c>
      <c r="H968">
        <f>IF(Table1[[#This Row],[my_ent_1]]=Table1[[#This Row],[their_ent_1]], 1, 0)</f>
        <v>0</v>
      </c>
      <c r="I968">
        <f>IF(Table1[[#This Row],[my_ent_2]]=Table1[[#This Row],[their_ent_2]], 1, 0)</f>
        <v>1</v>
      </c>
      <c r="J968">
        <f>IF(Table1[[#This Row],[same_1]]=1 &amp; Table1[[#This Row],[same_2]]=1, 1, 0)</f>
        <v>0</v>
      </c>
      <c r="K968">
        <f>IF(ISNUMBER(SEARCH(Table1[[#This Row],[their_ent_1]],Table1[[#This Row],[my_ent_1]])), 1, 0)</f>
        <v>0</v>
      </c>
      <c r="L968">
        <f>IF(ISNUMBER(SEARCH(Table1[[#This Row],[their_ent_2]],Table1[[#This Row],[my_ent_2]])), 1, 0)</f>
        <v>1</v>
      </c>
    </row>
    <row r="969" spans="1:12" hidden="1" x14ac:dyDescent="0.3">
      <c r="A969" t="s">
        <v>2911</v>
      </c>
      <c r="B969" t="s">
        <v>2912</v>
      </c>
      <c r="C969" t="s">
        <v>374</v>
      </c>
      <c r="D969" t="s">
        <v>2913</v>
      </c>
      <c r="E969" t="s">
        <v>2914</v>
      </c>
      <c r="F969">
        <v>1</v>
      </c>
      <c r="G969">
        <v>967</v>
      </c>
      <c r="H969">
        <f>IF(Table1[[#This Row],[my_ent_1]]=Table1[[#This Row],[their_ent_1]], 1, 0)</f>
        <v>0</v>
      </c>
      <c r="I969">
        <f>IF(Table1[[#This Row],[my_ent_2]]=Table1[[#This Row],[their_ent_2]], 1, 0)</f>
        <v>0</v>
      </c>
      <c r="J969">
        <f>IF(Table1[[#This Row],[same_1]]=1 &amp; Table1[[#This Row],[same_2]]=1, 1, 0)</f>
        <v>0</v>
      </c>
      <c r="K969">
        <f>IF(ISNUMBER(SEARCH(Table1[[#This Row],[their_ent_1]],Table1[[#This Row],[my_ent_1]])), 1, 0)</f>
        <v>0</v>
      </c>
      <c r="L969">
        <f>IF(ISNUMBER(SEARCH(Table1[[#This Row],[their_ent_2]],Table1[[#This Row],[my_ent_2]])), 1, 0)</f>
        <v>1</v>
      </c>
    </row>
    <row r="970" spans="1:12" hidden="1" x14ac:dyDescent="0.3">
      <c r="A970" t="s">
        <v>2915</v>
      </c>
      <c r="B970" t="s">
        <v>2916</v>
      </c>
      <c r="C970" t="s">
        <v>2917</v>
      </c>
      <c r="D970" t="s">
        <v>2918</v>
      </c>
      <c r="E970" t="s">
        <v>2918</v>
      </c>
      <c r="F970">
        <v>1</v>
      </c>
      <c r="G970">
        <v>968</v>
      </c>
      <c r="H970">
        <f>IF(Table1[[#This Row],[my_ent_1]]=Table1[[#This Row],[their_ent_1]], 1, 0)</f>
        <v>0</v>
      </c>
      <c r="I970">
        <f>IF(Table1[[#This Row],[my_ent_2]]=Table1[[#This Row],[their_ent_2]], 1, 0)</f>
        <v>1</v>
      </c>
      <c r="J970">
        <f>IF(Table1[[#This Row],[same_1]]=1 &amp; Table1[[#This Row],[same_2]]=1, 1, 0)</f>
        <v>0</v>
      </c>
      <c r="K970">
        <f>IF(ISNUMBER(SEARCH(Table1[[#This Row],[their_ent_1]],Table1[[#This Row],[my_ent_1]])), 1, 0)</f>
        <v>0</v>
      </c>
      <c r="L970">
        <f>IF(ISNUMBER(SEARCH(Table1[[#This Row],[their_ent_2]],Table1[[#This Row],[my_ent_2]])), 1, 0)</f>
        <v>1</v>
      </c>
    </row>
    <row r="971" spans="1:12" hidden="1" x14ac:dyDescent="0.3">
      <c r="A971" t="s">
        <v>2590</v>
      </c>
      <c r="B971" t="s">
        <v>2591</v>
      </c>
      <c r="C971" t="s">
        <v>2591</v>
      </c>
      <c r="D971" t="s">
        <v>2592</v>
      </c>
      <c r="E971" t="s">
        <v>2593</v>
      </c>
      <c r="F971">
        <v>1</v>
      </c>
      <c r="G971">
        <v>969</v>
      </c>
      <c r="H971">
        <f>IF(Table1[[#This Row],[my_ent_1]]=Table1[[#This Row],[their_ent_1]], 1, 0)</f>
        <v>1</v>
      </c>
      <c r="I971">
        <f>IF(Table1[[#This Row],[my_ent_2]]=Table1[[#This Row],[their_ent_2]], 1, 0)</f>
        <v>0</v>
      </c>
      <c r="J971">
        <f>IF(Table1[[#This Row],[same_1]]=1 &amp; Table1[[#This Row],[same_2]]=1, 1, 0)</f>
        <v>0</v>
      </c>
      <c r="K971">
        <f>IF(ISNUMBER(SEARCH(Table1[[#This Row],[their_ent_1]],Table1[[#This Row],[my_ent_1]])), 1, 0)</f>
        <v>1</v>
      </c>
      <c r="L971">
        <f>IF(ISNUMBER(SEARCH(Table1[[#This Row],[their_ent_2]],Table1[[#This Row],[my_ent_2]])), 1, 0)</f>
        <v>0</v>
      </c>
    </row>
    <row r="972" spans="1:12" hidden="1" x14ac:dyDescent="0.3">
      <c r="A972" t="s">
        <v>2919</v>
      </c>
      <c r="B972" t="s">
        <v>94</v>
      </c>
      <c r="C972" t="s">
        <v>2920</v>
      </c>
      <c r="D972" t="s">
        <v>2920</v>
      </c>
      <c r="E972" t="s">
        <v>34</v>
      </c>
      <c r="F972">
        <v>3</v>
      </c>
      <c r="G972">
        <v>970</v>
      </c>
      <c r="H972">
        <f>IF(Table1[[#This Row],[my_ent_1]]=Table1[[#This Row],[their_ent_1]], 1, 0)</f>
        <v>0</v>
      </c>
      <c r="I972">
        <f>IF(Table1[[#This Row],[my_ent_2]]=Table1[[#This Row],[their_ent_2]], 1, 0)</f>
        <v>0</v>
      </c>
      <c r="J972">
        <f>IF(Table1[[#This Row],[same_1]]=1 &amp; Table1[[#This Row],[same_2]]=1, 1, 0)</f>
        <v>0</v>
      </c>
      <c r="K972">
        <f>IF(ISNUMBER(SEARCH(Table1[[#This Row],[their_ent_1]],Table1[[#This Row],[my_ent_1]])), 1, 0)</f>
        <v>0</v>
      </c>
      <c r="L972">
        <f>IF(ISNUMBER(SEARCH(Table1[[#This Row],[their_ent_2]],Table1[[#This Row],[my_ent_2]])), 1, 0)</f>
        <v>0</v>
      </c>
    </row>
    <row r="973" spans="1:12" hidden="1" x14ac:dyDescent="0.3">
      <c r="A973" t="s">
        <v>2921</v>
      </c>
      <c r="B973" t="s">
        <v>292</v>
      </c>
      <c r="C973" t="s">
        <v>324</v>
      </c>
      <c r="D973" t="s">
        <v>2922</v>
      </c>
      <c r="E973" t="s">
        <v>2923</v>
      </c>
      <c r="F973">
        <v>1</v>
      </c>
      <c r="G973">
        <v>971</v>
      </c>
      <c r="H973">
        <f>IF(Table1[[#This Row],[my_ent_1]]=Table1[[#This Row],[their_ent_1]], 1, 0)</f>
        <v>0</v>
      </c>
      <c r="I973">
        <f>IF(Table1[[#This Row],[my_ent_2]]=Table1[[#This Row],[their_ent_2]], 1, 0)</f>
        <v>0</v>
      </c>
      <c r="J973">
        <f>IF(Table1[[#This Row],[same_1]]=1 &amp; Table1[[#This Row],[same_2]]=1, 1, 0)</f>
        <v>0</v>
      </c>
      <c r="K973">
        <f>IF(ISNUMBER(SEARCH(Table1[[#This Row],[their_ent_1]],Table1[[#This Row],[my_ent_1]])), 1, 0)</f>
        <v>0</v>
      </c>
      <c r="L973">
        <f>IF(ISNUMBER(SEARCH(Table1[[#This Row],[their_ent_2]],Table1[[#This Row],[my_ent_2]])), 1, 0)</f>
        <v>0</v>
      </c>
    </row>
    <row r="974" spans="1:12" hidden="1" x14ac:dyDescent="0.3">
      <c r="A974" t="s">
        <v>2924</v>
      </c>
      <c r="B974" t="s">
        <v>2925</v>
      </c>
      <c r="C974" t="s">
        <v>2925</v>
      </c>
      <c r="D974" t="s">
        <v>2926</v>
      </c>
      <c r="E974" t="s">
        <v>30</v>
      </c>
      <c r="F974">
        <v>2</v>
      </c>
      <c r="G974">
        <v>972</v>
      </c>
      <c r="H974">
        <f>IF(Table1[[#This Row],[my_ent_1]]=Table1[[#This Row],[their_ent_1]], 1, 0)</f>
        <v>1</v>
      </c>
      <c r="I974">
        <f>IF(Table1[[#This Row],[my_ent_2]]=Table1[[#This Row],[their_ent_2]], 1, 0)</f>
        <v>0</v>
      </c>
      <c r="J974">
        <f>IF(Table1[[#This Row],[same_1]]=1 &amp; Table1[[#This Row],[same_2]]=1, 1, 0)</f>
        <v>0</v>
      </c>
      <c r="K974">
        <f>IF(ISNUMBER(SEARCH(Table1[[#This Row],[their_ent_1]],Table1[[#This Row],[my_ent_1]])), 1, 0)</f>
        <v>1</v>
      </c>
      <c r="L974">
        <f>IF(ISNUMBER(SEARCH(Table1[[#This Row],[their_ent_2]],Table1[[#This Row],[my_ent_2]])), 1, 0)</f>
        <v>0</v>
      </c>
    </row>
    <row r="975" spans="1:12" x14ac:dyDescent="0.3">
      <c r="A975" t="s">
        <v>2927</v>
      </c>
      <c r="B975" t="s">
        <v>142</v>
      </c>
      <c r="C975" t="s">
        <v>143</v>
      </c>
      <c r="D975" t="s">
        <v>7</v>
      </c>
      <c r="E975" t="s">
        <v>7</v>
      </c>
      <c r="F975">
        <v>1</v>
      </c>
      <c r="G975">
        <v>973</v>
      </c>
      <c r="H975">
        <f>IF(Table1[[#This Row],[my_ent_1]]=Table1[[#This Row],[their_ent_1]], 1, 0)</f>
        <v>0</v>
      </c>
      <c r="I975">
        <f>IF(Table1[[#This Row],[my_ent_2]]=Table1[[#This Row],[their_ent_2]], 1, 0)</f>
        <v>1</v>
      </c>
      <c r="J975">
        <f>IF(Table1[[#This Row],[same_1]]=1 &amp; Table1[[#This Row],[same_2]]=1, 1, 0)</f>
        <v>0</v>
      </c>
      <c r="K975">
        <f>IF(ISNUMBER(SEARCH(Table1[[#This Row],[their_ent_1]],Table1[[#This Row],[my_ent_1]])), 1, 0)</f>
        <v>1</v>
      </c>
      <c r="L975">
        <f>IF(ISNUMBER(SEARCH(Table1[[#This Row],[their_ent_2]],Table1[[#This Row],[my_ent_2]])), 1, 0)</f>
        <v>1</v>
      </c>
    </row>
    <row r="976" spans="1:12" hidden="1" x14ac:dyDescent="0.3">
      <c r="A976" t="s">
        <v>2928</v>
      </c>
      <c r="B976" t="s">
        <v>2929</v>
      </c>
      <c r="C976" t="s">
        <v>404</v>
      </c>
      <c r="D976" t="s">
        <v>2888</v>
      </c>
      <c r="E976" t="s">
        <v>2888</v>
      </c>
      <c r="F976">
        <v>3</v>
      </c>
      <c r="G976">
        <v>974</v>
      </c>
      <c r="H976">
        <f>IF(Table1[[#This Row],[my_ent_1]]=Table1[[#This Row],[their_ent_1]], 1, 0)</f>
        <v>0</v>
      </c>
      <c r="I976">
        <f>IF(Table1[[#This Row],[my_ent_2]]=Table1[[#This Row],[their_ent_2]], 1, 0)</f>
        <v>1</v>
      </c>
      <c r="J976">
        <f>IF(Table1[[#This Row],[same_1]]=1 &amp; Table1[[#This Row],[same_2]]=1, 1, 0)</f>
        <v>0</v>
      </c>
      <c r="K976">
        <f>IF(ISNUMBER(SEARCH(Table1[[#This Row],[their_ent_1]],Table1[[#This Row],[my_ent_1]])), 1, 0)</f>
        <v>0</v>
      </c>
      <c r="L976">
        <f>IF(ISNUMBER(SEARCH(Table1[[#This Row],[their_ent_2]],Table1[[#This Row],[my_ent_2]])), 1, 0)</f>
        <v>1</v>
      </c>
    </row>
    <row r="977" spans="1:12" x14ac:dyDescent="0.3">
      <c r="A977" t="s">
        <v>2930</v>
      </c>
      <c r="B977" t="s">
        <v>2931</v>
      </c>
      <c r="C977" t="s">
        <v>1062</v>
      </c>
      <c r="D977" t="s">
        <v>2932</v>
      </c>
      <c r="E977" t="s">
        <v>2932</v>
      </c>
      <c r="F977">
        <v>3</v>
      </c>
      <c r="G977">
        <v>975</v>
      </c>
      <c r="H977">
        <f>IF(Table1[[#This Row],[my_ent_1]]=Table1[[#This Row],[their_ent_1]], 1, 0)</f>
        <v>0</v>
      </c>
      <c r="I977">
        <f>IF(Table1[[#This Row],[my_ent_2]]=Table1[[#This Row],[their_ent_2]], 1, 0)</f>
        <v>1</v>
      </c>
      <c r="J977">
        <f>IF(Table1[[#This Row],[same_1]]=1 &amp; Table1[[#This Row],[same_2]]=1, 1, 0)</f>
        <v>0</v>
      </c>
      <c r="K977">
        <f>IF(ISNUMBER(SEARCH(Table1[[#This Row],[their_ent_1]],Table1[[#This Row],[my_ent_1]])), 1, 0)</f>
        <v>1</v>
      </c>
      <c r="L977">
        <f>IF(ISNUMBER(SEARCH(Table1[[#This Row],[their_ent_2]],Table1[[#This Row],[my_ent_2]])), 1, 0)</f>
        <v>1</v>
      </c>
    </row>
    <row r="978" spans="1:12" hidden="1" x14ac:dyDescent="0.3">
      <c r="A978" t="s">
        <v>2933</v>
      </c>
      <c r="B978" t="s">
        <v>7</v>
      </c>
      <c r="C978" t="s">
        <v>7</v>
      </c>
      <c r="D978" t="s">
        <v>1557</v>
      </c>
      <c r="E978" t="s">
        <v>212</v>
      </c>
      <c r="F978">
        <v>3</v>
      </c>
      <c r="G978">
        <v>976</v>
      </c>
      <c r="H978">
        <f>IF(Table1[[#This Row],[my_ent_1]]=Table1[[#This Row],[their_ent_1]], 1, 0)</f>
        <v>1</v>
      </c>
      <c r="I978">
        <f>IF(Table1[[#This Row],[my_ent_2]]=Table1[[#This Row],[their_ent_2]], 1, 0)</f>
        <v>0</v>
      </c>
      <c r="J978">
        <f>IF(Table1[[#This Row],[same_1]]=1 &amp; Table1[[#This Row],[same_2]]=1, 1, 0)</f>
        <v>0</v>
      </c>
      <c r="K978">
        <f>IF(ISNUMBER(SEARCH(Table1[[#This Row],[their_ent_1]],Table1[[#This Row],[my_ent_1]])), 1, 0)</f>
        <v>1</v>
      </c>
      <c r="L978">
        <f>IF(ISNUMBER(SEARCH(Table1[[#This Row],[their_ent_2]],Table1[[#This Row],[my_ent_2]])), 1, 0)</f>
        <v>0</v>
      </c>
    </row>
    <row r="979" spans="1:12" hidden="1" x14ac:dyDescent="0.3">
      <c r="A979" t="s">
        <v>2934</v>
      </c>
      <c r="B979" t="s">
        <v>2935</v>
      </c>
      <c r="C979" t="s">
        <v>2936</v>
      </c>
      <c r="D979" t="s">
        <v>2937</v>
      </c>
      <c r="E979" t="s">
        <v>2775</v>
      </c>
      <c r="F979">
        <v>3</v>
      </c>
      <c r="G979">
        <v>977</v>
      </c>
      <c r="H979">
        <f>IF(Table1[[#This Row],[my_ent_1]]=Table1[[#This Row],[their_ent_1]], 1, 0)</f>
        <v>0</v>
      </c>
      <c r="I979">
        <f>IF(Table1[[#This Row],[my_ent_2]]=Table1[[#This Row],[their_ent_2]], 1, 0)</f>
        <v>0</v>
      </c>
      <c r="J979">
        <f>IF(Table1[[#This Row],[same_1]]=1 &amp; Table1[[#This Row],[same_2]]=1, 1, 0)</f>
        <v>0</v>
      </c>
      <c r="K979">
        <f>IF(ISNUMBER(SEARCH(Table1[[#This Row],[their_ent_1]],Table1[[#This Row],[my_ent_1]])), 1, 0)</f>
        <v>0</v>
      </c>
      <c r="L979">
        <f>IF(ISNUMBER(SEARCH(Table1[[#This Row],[their_ent_2]],Table1[[#This Row],[my_ent_2]])), 1, 0)</f>
        <v>0</v>
      </c>
    </row>
    <row r="980" spans="1:12" x14ac:dyDescent="0.3">
      <c r="A980" t="s">
        <v>2697</v>
      </c>
      <c r="B980" t="s">
        <v>401</v>
      </c>
      <c r="C980" t="s">
        <v>30</v>
      </c>
      <c r="D980" t="s">
        <v>7</v>
      </c>
      <c r="E980" t="s">
        <v>7</v>
      </c>
      <c r="F980">
        <v>3</v>
      </c>
      <c r="G980">
        <v>978</v>
      </c>
      <c r="H980">
        <f>IF(Table1[[#This Row],[my_ent_1]]=Table1[[#This Row],[their_ent_1]], 1, 0)</f>
        <v>0</v>
      </c>
      <c r="I980">
        <f>IF(Table1[[#This Row],[my_ent_2]]=Table1[[#This Row],[their_ent_2]], 1, 0)</f>
        <v>1</v>
      </c>
      <c r="J980">
        <f>IF(Table1[[#This Row],[same_1]]=1 &amp; Table1[[#This Row],[same_2]]=1, 1, 0)</f>
        <v>0</v>
      </c>
      <c r="K980">
        <f>IF(ISNUMBER(SEARCH(Table1[[#This Row],[their_ent_1]],Table1[[#This Row],[my_ent_1]])), 1, 0)</f>
        <v>1</v>
      </c>
      <c r="L980">
        <f>IF(ISNUMBER(SEARCH(Table1[[#This Row],[their_ent_2]],Table1[[#This Row],[my_ent_2]])), 1, 0)</f>
        <v>1</v>
      </c>
    </row>
    <row r="981" spans="1:12" hidden="1" x14ac:dyDescent="0.3">
      <c r="A981" t="s">
        <v>2938</v>
      </c>
      <c r="B981" t="s">
        <v>2939</v>
      </c>
      <c r="C981" t="s">
        <v>2939</v>
      </c>
      <c r="D981" t="s">
        <v>2940</v>
      </c>
      <c r="E981" t="s">
        <v>2437</v>
      </c>
      <c r="F981">
        <v>3</v>
      </c>
      <c r="G981">
        <v>979</v>
      </c>
      <c r="H981">
        <f>IF(Table1[[#This Row],[my_ent_1]]=Table1[[#This Row],[their_ent_1]], 1, 0)</f>
        <v>1</v>
      </c>
      <c r="I981">
        <f>IF(Table1[[#This Row],[my_ent_2]]=Table1[[#This Row],[their_ent_2]], 1, 0)</f>
        <v>0</v>
      </c>
      <c r="J981">
        <f>IF(Table1[[#This Row],[same_1]]=1 &amp; Table1[[#This Row],[same_2]]=1, 1, 0)</f>
        <v>0</v>
      </c>
      <c r="K981">
        <f>IF(ISNUMBER(SEARCH(Table1[[#This Row],[their_ent_1]],Table1[[#This Row],[my_ent_1]])), 1, 0)</f>
        <v>1</v>
      </c>
      <c r="L981">
        <f>IF(ISNUMBER(SEARCH(Table1[[#This Row],[their_ent_2]],Table1[[#This Row],[my_ent_2]])), 1, 0)</f>
        <v>0</v>
      </c>
    </row>
    <row r="982" spans="1:12" hidden="1" x14ac:dyDescent="0.3">
      <c r="A982" t="s">
        <v>2941</v>
      </c>
      <c r="B982" t="s">
        <v>354</v>
      </c>
      <c r="C982" t="s">
        <v>354</v>
      </c>
      <c r="D982" t="s">
        <v>2942</v>
      </c>
      <c r="E982" t="s">
        <v>1241</v>
      </c>
      <c r="F982">
        <v>1</v>
      </c>
      <c r="G982">
        <v>980</v>
      </c>
      <c r="H982">
        <f>IF(Table1[[#This Row],[my_ent_1]]=Table1[[#This Row],[their_ent_1]], 1, 0)</f>
        <v>1</v>
      </c>
      <c r="I982">
        <f>IF(Table1[[#This Row],[my_ent_2]]=Table1[[#This Row],[their_ent_2]], 1, 0)</f>
        <v>0</v>
      </c>
      <c r="J982">
        <f>IF(Table1[[#This Row],[same_1]]=1 &amp; Table1[[#This Row],[same_2]]=1, 1, 0)</f>
        <v>0</v>
      </c>
      <c r="K982">
        <f>IF(ISNUMBER(SEARCH(Table1[[#This Row],[their_ent_1]],Table1[[#This Row],[my_ent_1]])), 1, 0)</f>
        <v>1</v>
      </c>
      <c r="L982">
        <f>IF(ISNUMBER(SEARCH(Table1[[#This Row],[their_ent_2]],Table1[[#This Row],[my_ent_2]])), 1, 0)</f>
        <v>0</v>
      </c>
    </row>
    <row r="983" spans="1:12" hidden="1" x14ac:dyDescent="0.3">
      <c r="A983" t="s">
        <v>2943</v>
      </c>
      <c r="B983" t="s">
        <v>2944</v>
      </c>
      <c r="C983" t="s">
        <v>2945</v>
      </c>
      <c r="D983" t="s">
        <v>7</v>
      </c>
      <c r="E983" t="s">
        <v>7</v>
      </c>
      <c r="F983">
        <v>1</v>
      </c>
      <c r="G983">
        <v>981</v>
      </c>
      <c r="H983">
        <f>IF(Table1[[#This Row],[my_ent_1]]=Table1[[#This Row],[their_ent_1]], 1, 0)</f>
        <v>0</v>
      </c>
      <c r="I983">
        <f>IF(Table1[[#This Row],[my_ent_2]]=Table1[[#This Row],[their_ent_2]], 1, 0)</f>
        <v>1</v>
      </c>
      <c r="J983">
        <f>IF(Table1[[#This Row],[same_1]]=1 &amp; Table1[[#This Row],[same_2]]=1, 1, 0)</f>
        <v>0</v>
      </c>
      <c r="K983">
        <f>IF(ISNUMBER(SEARCH(Table1[[#This Row],[their_ent_1]],Table1[[#This Row],[my_ent_1]])), 1, 0)</f>
        <v>0</v>
      </c>
      <c r="L983">
        <f>IF(ISNUMBER(SEARCH(Table1[[#This Row],[their_ent_2]],Table1[[#This Row],[my_ent_2]])), 1, 0)</f>
        <v>1</v>
      </c>
    </row>
    <row r="984" spans="1:12" hidden="1" x14ac:dyDescent="0.3">
      <c r="A984" t="s">
        <v>2946</v>
      </c>
      <c r="B984" t="s">
        <v>294</v>
      </c>
      <c r="C984" t="s">
        <v>470</v>
      </c>
      <c r="D984" t="s">
        <v>1297</v>
      </c>
      <c r="E984" t="s">
        <v>1297</v>
      </c>
      <c r="F984">
        <v>3</v>
      </c>
      <c r="G984">
        <v>982</v>
      </c>
      <c r="H984">
        <f>IF(Table1[[#This Row],[my_ent_1]]=Table1[[#This Row],[their_ent_1]], 1, 0)</f>
        <v>0</v>
      </c>
      <c r="I984">
        <f>IF(Table1[[#This Row],[my_ent_2]]=Table1[[#This Row],[their_ent_2]], 1, 0)</f>
        <v>1</v>
      </c>
      <c r="J984">
        <f>IF(Table1[[#This Row],[same_1]]=1 &amp; Table1[[#This Row],[same_2]]=1, 1, 0)</f>
        <v>0</v>
      </c>
      <c r="K984">
        <f>IF(ISNUMBER(SEARCH(Table1[[#This Row],[their_ent_1]],Table1[[#This Row],[my_ent_1]])), 1, 0)</f>
        <v>0</v>
      </c>
      <c r="L984">
        <f>IF(ISNUMBER(SEARCH(Table1[[#This Row],[their_ent_2]],Table1[[#This Row],[my_ent_2]])), 1, 0)</f>
        <v>1</v>
      </c>
    </row>
    <row r="985" spans="1:12" hidden="1" x14ac:dyDescent="0.3">
      <c r="A985" t="s">
        <v>2625</v>
      </c>
      <c r="B985" t="s">
        <v>138</v>
      </c>
      <c r="C985" t="s">
        <v>72</v>
      </c>
      <c r="D985" t="s">
        <v>28</v>
      </c>
      <c r="E985" t="s">
        <v>58</v>
      </c>
      <c r="F985">
        <v>3</v>
      </c>
      <c r="G985">
        <v>983</v>
      </c>
      <c r="H985">
        <f>IF(Table1[[#This Row],[my_ent_1]]=Table1[[#This Row],[their_ent_1]], 1, 0)</f>
        <v>0</v>
      </c>
      <c r="I985">
        <f>IF(Table1[[#This Row],[my_ent_2]]=Table1[[#This Row],[their_ent_2]], 1, 0)</f>
        <v>0</v>
      </c>
      <c r="J985">
        <f>IF(Table1[[#This Row],[same_1]]=1 &amp; Table1[[#This Row],[same_2]]=1, 1, 0)</f>
        <v>0</v>
      </c>
      <c r="K985">
        <f>IF(ISNUMBER(SEARCH(Table1[[#This Row],[their_ent_1]],Table1[[#This Row],[my_ent_1]])), 1, 0)</f>
        <v>0</v>
      </c>
      <c r="L985">
        <f>IF(ISNUMBER(SEARCH(Table1[[#This Row],[their_ent_2]],Table1[[#This Row],[my_ent_2]])), 1, 0)</f>
        <v>1</v>
      </c>
    </row>
    <row r="986" spans="1:12" hidden="1" x14ac:dyDescent="0.3">
      <c r="A986" t="s">
        <v>2947</v>
      </c>
      <c r="B986" t="s">
        <v>7</v>
      </c>
      <c r="C986" t="s">
        <v>165</v>
      </c>
      <c r="D986" t="s">
        <v>2948</v>
      </c>
      <c r="E986" t="s">
        <v>2948</v>
      </c>
      <c r="F986">
        <v>4</v>
      </c>
      <c r="G986">
        <v>984</v>
      </c>
      <c r="H986">
        <f>IF(Table1[[#This Row],[my_ent_1]]=Table1[[#This Row],[their_ent_1]], 1, 0)</f>
        <v>0</v>
      </c>
      <c r="I986">
        <f>IF(Table1[[#This Row],[my_ent_2]]=Table1[[#This Row],[their_ent_2]], 1, 0)</f>
        <v>1</v>
      </c>
      <c r="J986">
        <f>IF(Table1[[#This Row],[same_1]]=1 &amp; Table1[[#This Row],[same_2]]=1, 1, 0)</f>
        <v>0</v>
      </c>
      <c r="K986">
        <f>IF(ISNUMBER(SEARCH(Table1[[#This Row],[their_ent_1]],Table1[[#This Row],[my_ent_1]])), 1, 0)</f>
        <v>0</v>
      </c>
      <c r="L986">
        <f>IF(ISNUMBER(SEARCH(Table1[[#This Row],[their_ent_2]],Table1[[#This Row],[my_ent_2]])), 1, 0)</f>
        <v>1</v>
      </c>
    </row>
    <row r="987" spans="1:12" x14ac:dyDescent="0.3">
      <c r="A987" t="s">
        <v>2949</v>
      </c>
      <c r="B987" t="s">
        <v>2950</v>
      </c>
      <c r="C987" t="s">
        <v>2950</v>
      </c>
      <c r="D987" t="s">
        <v>2951</v>
      </c>
      <c r="E987" t="s">
        <v>2787</v>
      </c>
      <c r="F987">
        <v>1</v>
      </c>
      <c r="G987">
        <v>985</v>
      </c>
      <c r="H987">
        <f>IF(Table1[[#This Row],[my_ent_1]]=Table1[[#This Row],[their_ent_1]], 1, 0)</f>
        <v>1</v>
      </c>
      <c r="I987">
        <f>IF(Table1[[#This Row],[my_ent_2]]=Table1[[#This Row],[their_ent_2]], 1, 0)</f>
        <v>0</v>
      </c>
      <c r="J987">
        <f>IF(Table1[[#This Row],[same_1]]=1 &amp; Table1[[#This Row],[same_2]]=1, 1, 0)</f>
        <v>0</v>
      </c>
      <c r="K987">
        <f>IF(ISNUMBER(SEARCH(Table1[[#This Row],[their_ent_1]],Table1[[#This Row],[my_ent_1]])), 1, 0)</f>
        <v>1</v>
      </c>
      <c r="L987">
        <f>IF(ISNUMBER(SEARCH(Table1[[#This Row],[their_ent_2]],Table1[[#This Row],[my_ent_2]])), 1, 0)</f>
        <v>1</v>
      </c>
    </row>
    <row r="988" spans="1:12" x14ac:dyDescent="0.3">
      <c r="A988" t="s">
        <v>2952</v>
      </c>
      <c r="B988" t="s">
        <v>324</v>
      </c>
      <c r="C988" t="s">
        <v>324</v>
      </c>
      <c r="D988" t="s">
        <v>938</v>
      </c>
      <c r="E988" t="s">
        <v>507</v>
      </c>
      <c r="F988">
        <v>1</v>
      </c>
      <c r="G988">
        <v>986</v>
      </c>
      <c r="H988">
        <f>IF(Table1[[#This Row],[my_ent_1]]=Table1[[#This Row],[their_ent_1]], 1, 0)</f>
        <v>1</v>
      </c>
      <c r="I988">
        <f>IF(Table1[[#This Row],[my_ent_2]]=Table1[[#This Row],[their_ent_2]], 1, 0)</f>
        <v>0</v>
      </c>
      <c r="J988">
        <f>IF(Table1[[#This Row],[same_1]]=1 &amp; Table1[[#This Row],[same_2]]=1, 1, 0)</f>
        <v>0</v>
      </c>
      <c r="K988">
        <f>IF(ISNUMBER(SEARCH(Table1[[#This Row],[their_ent_1]],Table1[[#This Row],[my_ent_1]])), 1, 0)</f>
        <v>1</v>
      </c>
      <c r="L988">
        <f>IF(ISNUMBER(SEARCH(Table1[[#This Row],[their_ent_2]],Table1[[#This Row],[my_ent_2]])), 1, 0)</f>
        <v>1</v>
      </c>
    </row>
    <row r="989" spans="1:12" hidden="1" x14ac:dyDescent="0.3">
      <c r="A989" t="s">
        <v>2953</v>
      </c>
      <c r="B989" t="s">
        <v>2954</v>
      </c>
      <c r="C989" t="s">
        <v>2954</v>
      </c>
      <c r="D989" t="s">
        <v>2955</v>
      </c>
      <c r="E989" t="s">
        <v>2956</v>
      </c>
      <c r="F989">
        <v>1</v>
      </c>
      <c r="G989">
        <v>987</v>
      </c>
      <c r="H989">
        <f>IF(Table1[[#This Row],[my_ent_1]]=Table1[[#This Row],[their_ent_1]], 1, 0)</f>
        <v>1</v>
      </c>
      <c r="I989">
        <f>IF(Table1[[#This Row],[my_ent_2]]=Table1[[#This Row],[their_ent_2]], 1, 0)</f>
        <v>0</v>
      </c>
      <c r="J989">
        <f>IF(Table1[[#This Row],[same_1]]=1 &amp; Table1[[#This Row],[same_2]]=1, 1, 0)</f>
        <v>0</v>
      </c>
      <c r="K989">
        <f>IF(ISNUMBER(SEARCH(Table1[[#This Row],[their_ent_1]],Table1[[#This Row],[my_ent_1]])), 1, 0)</f>
        <v>1</v>
      </c>
      <c r="L989">
        <f>IF(ISNUMBER(SEARCH(Table1[[#This Row],[their_ent_2]],Table1[[#This Row],[my_ent_2]])), 1, 0)</f>
        <v>0</v>
      </c>
    </row>
    <row r="990" spans="1:12" hidden="1" x14ac:dyDescent="0.3">
      <c r="A990" t="s">
        <v>2957</v>
      </c>
      <c r="B990" t="s">
        <v>2958</v>
      </c>
      <c r="C990" t="s">
        <v>2959</v>
      </c>
      <c r="D990" t="s">
        <v>2959</v>
      </c>
      <c r="E990" t="s">
        <v>525</v>
      </c>
      <c r="F990">
        <v>3</v>
      </c>
      <c r="G990">
        <v>988</v>
      </c>
      <c r="H990">
        <f>IF(Table1[[#This Row],[my_ent_1]]=Table1[[#This Row],[their_ent_1]], 1, 0)</f>
        <v>0</v>
      </c>
      <c r="I990">
        <f>IF(Table1[[#This Row],[my_ent_2]]=Table1[[#This Row],[their_ent_2]], 1, 0)</f>
        <v>0</v>
      </c>
      <c r="J990">
        <f>IF(Table1[[#This Row],[same_1]]=1 &amp; Table1[[#This Row],[same_2]]=1, 1, 0)</f>
        <v>0</v>
      </c>
      <c r="K990">
        <f>IF(ISNUMBER(SEARCH(Table1[[#This Row],[their_ent_1]],Table1[[#This Row],[my_ent_1]])), 1, 0)</f>
        <v>0</v>
      </c>
      <c r="L990">
        <f>IF(ISNUMBER(SEARCH(Table1[[#This Row],[their_ent_2]],Table1[[#This Row],[my_ent_2]])), 1, 0)</f>
        <v>0</v>
      </c>
    </row>
    <row r="991" spans="1:12" hidden="1" x14ac:dyDescent="0.3">
      <c r="A991" t="s">
        <v>2960</v>
      </c>
      <c r="B991" t="s">
        <v>2597</v>
      </c>
      <c r="C991" t="s">
        <v>2597</v>
      </c>
      <c r="D991" t="s">
        <v>2961</v>
      </c>
      <c r="E991" t="s">
        <v>2962</v>
      </c>
      <c r="F991">
        <v>4</v>
      </c>
      <c r="G991">
        <v>989</v>
      </c>
      <c r="H991">
        <f>IF(Table1[[#This Row],[my_ent_1]]=Table1[[#This Row],[their_ent_1]], 1, 0)</f>
        <v>1</v>
      </c>
      <c r="I991">
        <f>IF(Table1[[#This Row],[my_ent_2]]=Table1[[#This Row],[their_ent_2]], 1, 0)</f>
        <v>0</v>
      </c>
      <c r="J991">
        <f>IF(Table1[[#This Row],[same_1]]=1 &amp; Table1[[#This Row],[same_2]]=1, 1, 0)</f>
        <v>0</v>
      </c>
      <c r="K991">
        <f>IF(ISNUMBER(SEARCH(Table1[[#This Row],[their_ent_1]],Table1[[#This Row],[my_ent_1]])), 1, 0)</f>
        <v>1</v>
      </c>
      <c r="L991">
        <f>IF(ISNUMBER(SEARCH(Table1[[#This Row],[their_ent_2]],Table1[[#This Row],[my_ent_2]])), 1, 0)</f>
        <v>0</v>
      </c>
    </row>
    <row r="992" spans="1:12" hidden="1" x14ac:dyDescent="0.3">
      <c r="A992" t="s">
        <v>2963</v>
      </c>
      <c r="B992" t="s">
        <v>525</v>
      </c>
      <c r="C992" t="s">
        <v>386</v>
      </c>
      <c r="D992" t="s">
        <v>386</v>
      </c>
      <c r="E992" t="s">
        <v>2964</v>
      </c>
      <c r="F992">
        <v>3</v>
      </c>
      <c r="G992">
        <v>990</v>
      </c>
      <c r="H992">
        <f>IF(Table1[[#This Row],[my_ent_1]]=Table1[[#This Row],[their_ent_1]], 1, 0)</f>
        <v>0</v>
      </c>
      <c r="I992">
        <f>IF(Table1[[#This Row],[my_ent_2]]=Table1[[#This Row],[their_ent_2]], 1, 0)</f>
        <v>0</v>
      </c>
      <c r="J992">
        <f>IF(Table1[[#This Row],[same_1]]=1 &amp; Table1[[#This Row],[same_2]]=1, 1, 0)</f>
        <v>0</v>
      </c>
      <c r="K992">
        <f>IF(ISNUMBER(SEARCH(Table1[[#This Row],[their_ent_1]],Table1[[#This Row],[my_ent_1]])), 1, 0)</f>
        <v>0</v>
      </c>
      <c r="L992">
        <f>IF(ISNUMBER(SEARCH(Table1[[#This Row],[their_ent_2]],Table1[[#This Row],[my_ent_2]])), 1, 0)</f>
        <v>0</v>
      </c>
    </row>
    <row r="993" spans="1:12" x14ac:dyDescent="0.3">
      <c r="A993" t="s">
        <v>2965</v>
      </c>
      <c r="B993" t="s">
        <v>2966</v>
      </c>
      <c r="C993" t="s">
        <v>7</v>
      </c>
      <c r="D993" t="s">
        <v>1597</v>
      </c>
      <c r="E993" t="s">
        <v>1597</v>
      </c>
      <c r="F993">
        <v>2</v>
      </c>
      <c r="G993">
        <v>991</v>
      </c>
      <c r="H993">
        <f>IF(Table1[[#This Row],[my_ent_1]]=Table1[[#This Row],[their_ent_1]], 1, 0)</f>
        <v>0</v>
      </c>
      <c r="I993">
        <f>IF(Table1[[#This Row],[my_ent_2]]=Table1[[#This Row],[their_ent_2]], 1, 0)</f>
        <v>1</v>
      </c>
      <c r="J993">
        <f>IF(Table1[[#This Row],[same_1]]=1 &amp; Table1[[#This Row],[same_2]]=1, 1, 0)</f>
        <v>0</v>
      </c>
      <c r="K993">
        <f>IF(ISNUMBER(SEARCH(Table1[[#This Row],[their_ent_1]],Table1[[#This Row],[my_ent_1]])), 1, 0)</f>
        <v>1</v>
      </c>
      <c r="L993">
        <f>IF(ISNUMBER(SEARCH(Table1[[#This Row],[their_ent_2]],Table1[[#This Row],[my_ent_2]])), 1, 0)</f>
        <v>1</v>
      </c>
    </row>
    <row r="994" spans="1:12" x14ac:dyDescent="0.3">
      <c r="A994" t="s">
        <v>2967</v>
      </c>
      <c r="B994" t="s">
        <v>859</v>
      </c>
      <c r="C994" t="s">
        <v>860</v>
      </c>
      <c r="D994" t="s">
        <v>7</v>
      </c>
      <c r="E994" t="s">
        <v>7</v>
      </c>
      <c r="F994">
        <v>3</v>
      </c>
      <c r="G994">
        <v>992</v>
      </c>
      <c r="H994">
        <f>IF(Table1[[#This Row],[my_ent_1]]=Table1[[#This Row],[their_ent_1]], 1, 0)</f>
        <v>0</v>
      </c>
      <c r="I994">
        <f>IF(Table1[[#This Row],[my_ent_2]]=Table1[[#This Row],[their_ent_2]], 1, 0)</f>
        <v>1</v>
      </c>
      <c r="J994">
        <f>IF(Table1[[#This Row],[same_1]]=1 &amp; Table1[[#This Row],[same_2]]=1, 1, 0)</f>
        <v>0</v>
      </c>
      <c r="K994">
        <f>IF(ISNUMBER(SEARCH(Table1[[#This Row],[their_ent_1]],Table1[[#This Row],[my_ent_1]])), 1, 0)</f>
        <v>1</v>
      </c>
      <c r="L994">
        <f>IF(ISNUMBER(SEARCH(Table1[[#This Row],[their_ent_2]],Table1[[#This Row],[my_ent_2]])), 1, 0)</f>
        <v>1</v>
      </c>
    </row>
    <row r="995" spans="1:12" x14ac:dyDescent="0.3">
      <c r="A995" t="s">
        <v>2968</v>
      </c>
      <c r="B995" t="s">
        <v>2969</v>
      </c>
      <c r="C995" t="s">
        <v>2970</v>
      </c>
      <c r="D995" t="s">
        <v>2971</v>
      </c>
      <c r="E995" t="s">
        <v>2971</v>
      </c>
      <c r="F995">
        <v>3</v>
      </c>
      <c r="G995">
        <v>993</v>
      </c>
      <c r="H995">
        <f>IF(Table1[[#This Row],[my_ent_1]]=Table1[[#This Row],[their_ent_1]], 1, 0)</f>
        <v>0</v>
      </c>
      <c r="I995">
        <f>IF(Table1[[#This Row],[my_ent_2]]=Table1[[#This Row],[their_ent_2]], 1, 0)</f>
        <v>1</v>
      </c>
      <c r="J995">
        <f>IF(Table1[[#This Row],[same_1]]=1 &amp; Table1[[#This Row],[same_2]]=1, 1, 0)</f>
        <v>0</v>
      </c>
      <c r="K995">
        <f>IF(ISNUMBER(SEARCH(Table1[[#This Row],[their_ent_1]],Table1[[#This Row],[my_ent_1]])), 1, 0)</f>
        <v>1</v>
      </c>
      <c r="L995">
        <f>IF(ISNUMBER(SEARCH(Table1[[#This Row],[their_ent_2]],Table1[[#This Row],[my_ent_2]])), 1, 0)</f>
        <v>1</v>
      </c>
    </row>
    <row r="996" spans="1:12" hidden="1" x14ac:dyDescent="0.3">
      <c r="A996" t="s">
        <v>2972</v>
      </c>
      <c r="B996" t="s">
        <v>296</v>
      </c>
      <c r="C996" t="s">
        <v>2973</v>
      </c>
      <c r="D996" t="s">
        <v>54</v>
      </c>
      <c r="E996" t="s">
        <v>296</v>
      </c>
      <c r="F996">
        <v>4</v>
      </c>
      <c r="G996">
        <v>994</v>
      </c>
      <c r="H996">
        <f>IF(Table1[[#This Row],[my_ent_1]]=Table1[[#This Row],[their_ent_1]], 1, 0)</f>
        <v>0</v>
      </c>
      <c r="I996">
        <f>IF(Table1[[#This Row],[my_ent_2]]=Table1[[#This Row],[their_ent_2]], 1, 0)</f>
        <v>0</v>
      </c>
      <c r="J996">
        <f>IF(Table1[[#This Row],[same_1]]=1 &amp; Table1[[#This Row],[same_2]]=1, 1, 0)</f>
        <v>0</v>
      </c>
      <c r="K996">
        <f>IF(ISNUMBER(SEARCH(Table1[[#This Row],[their_ent_1]],Table1[[#This Row],[my_ent_1]])), 1, 0)</f>
        <v>0</v>
      </c>
      <c r="L996">
        <f>IF(ISNUMBER(SEARCH(Table1[[#This Row],[their_ent_2]],Table1[[#This Row],[my_ent_2]])), 1, 0)</f>
        <v>0</v>
      </c>
    </row>
    <row r="997" spans="1:12" x14ac:dyDescent="0.3">
      <c r="A997" t="s">
        <v>2974</v>
      </c>
      <c r="B997" t="s">
        <v>137</v>
      </c>
      <c r="C997" t="s">
        <v>138</v>
      </c>
      <c r="D997" t="s">
        <v>2975</v>
      </c>
      <c r="E997" t="s">
        <v>2975</v>
      </c>
      <c r="F997">
        <v>3</v>
      </c>
      <c r="G997">
        <v>995</v>
      </c>
      <c r="H997">
        <f>IF(Table1[[#This Row],[my_ent_1]]=Table1[[#This Row],[their_ent_1]], 1, 0)</f>
        <v>0</v>
      </c>
      <c r="I997">
        <f>IF(Table1[[#This Row],[my_ent_2]]=Table1[[#This Row],[their_ent_2]], 1, 0)</f>
        <v>1</v>
      </c>
      <c r="J997">
        <f>IF(Table1[[#This Row],[same_1]]=1 &amp; Table1[[#This Row],[same_2]]=1, 1, 0)</f>
        <v>0</v>
      </c>
      <c r="K997">
        <f>IF(ISNUMBER(SEARCH(Table1[[#This Row],[their_ent_1]],Table1[[#This Row],[my_ent_1]])), 1, 0)</f>
        <v>1</v>
      </c>
      <c r="L997">
        <f>IF(ISNUMBER(SEARCH(Table1[[#This Row],[their_ent_2]],Table1[[#This Row],[my_ent_2]])), 1, 0)</f>
        <v>1</v>
      </c>
    </row>
    <row r="998" spans="1:12" x14ac:dyDescent="0.3">
      <c r="A998" t="s">
        <v>2577</v>
      </c>
      <c r="B998" t="s">
        <v>1024</v>
      </c>
      <c r="C998" t="s">
        <v>1025</v>
      </c>
      <c r="D998" t="s">
        <v>2578</v>
      </c>
      <c r="E998" t="s">
        <v>2579</v>
      </c>
      <c r="F998">
        <v>1</v>
      </c>
      <c r="G998">
        <v>996</v>
      </c>
      <c r="H998">
        <f>IF(Table1[[#This Row],[my_ent_1]]=Table1[[#This Row],[their_ent_1]], 1, 0)</f>
        <v>0</v>
      </c>
      <c r="I998">
        <f>IF(Table1[[#This Row],[my_ent_2]]=Table1[[#This Row],[their_ent_2]], 1, 0)</f>
        <v>0</v>
      </c>
      <c r="J998">
        <f>IF(Table1[[#This Row],[same_1]]=1 &amp; Table1[[#This Row],[same_2]]=1, 1, 0)</f>
        <v>0</v>
      </c>
      <c r="K998">
        <f>IF(ISNUMBER(SEARCH(Table1[[#This Row],[their_ent_1]],Table1[[#This Row],[my_ent_1]])), 1, 0)</f>
        <v>1</v>
      </c>
      <c r="L998">
        <f>IF(ISNUMBER(SEARCH(Table1[[#This Row],[their_ent_2]],Table1[[#This Row],[my_ent_2]])), 1, 0)</f>
        <v>1</v>
      </c>
    </row>
    <row r="999" spans="1:12" hidden="1" x14ac:dyDescent="0.3">
      <c r="A999" t="s">
        <v>2976</v>
      </c>
      <c r="B999" t="s">
        <v>2977</v>
      </c>
      <c r="C999" t="s">
        <v>2977</v>
      </c>
      <c r="D999" t="s">
        <v>2978</v>
      </c>
      <c r="E999" t="s">
        <v>2979</v>
      </c>
      <c r="F999">
        <v>3</v>
      </c>
      <c r="G999">
        <v>997</v>
      </c>
      <c r="H999">
        <f>IF(Table1[[#This Row],[my_ent_1]]=Table1[[#This Row],[their_ent_1]], 1, 0)</f>
        <v>1</v>
      </c>
      <c r="I999">
        <f>IF(Table1[[#This Row],[my_ent_2]]=Table1[[#This Row],[their_ent_2]], 1, 0)</f>
        <v>0</v>
      </c>
      <c r="J999">
        <f>IF(Table1[[#This Row],[same_1]]=1 &amp; Table1[[#This Row],[same_2]]=1, 1, 0)</f>
        <v>0</v>
      </c>
      <c r="K999">
        <f>IF(ISNUMBER(SEARCH(Table1[[#This Row],[their_ent_1]],Table1[[#This Row],[my_ent_1]])), 1, 0)</f>
        <v>1</v>
      </c>
      <c r="L999">
        <f>IF(ISNUMBER(SEARCH(Table1[[#This Row],[their_ent_2]],Table1[[#This Row],[my_ent_2]])), 1, 0)</f>
        <v>0</v>
      </c>
    </row>
    <row r="1000" spans="1:12" x14ac:dyDescent="0.3">
      <c r="A1000" t="s">
        <v>2980</v>
      </c>
      <c r="B1000" t="s">
        <v>2981</v>
      </c>
      <c r="C1000" t="s">
        <v>2982</v>
      </c>
      <c r="D1000" t="s">
        <v>125</v>
      </c>
      <c r="E1000" t="s">
        <v>125</v>
      </c>
      <c r="F1000">
        <v>3</v>
      </c>
      <c r="G1000">
        <v>998</v>
      </c>
      <c r="H1000">
        <f>IF(Table1[[#This Row],[my_ent_1]]=Table1[[#This Row],[their_ent_1]], 1, 0)</f>
        <v>0</v>
      </c>
      <c r="I1000">
        <f>IF(Table1[[#This Row],[my_ent_2]]=Table1[[#This Row],[their_ent_2]], 1, 0)</f>
        <v>1</v>
      </c>
      <c r="J1000">
        <f>IF(Table1[[#This Row],[same_1]]=1 &amp; Table1[[#This Row],[same_2]]=1, 1, 0)</f>
        <v>0</v>
      </c>
      <c r="K1000">
        <f>IF(ISNUMBER(SEARCH(Table1[[#This Row],[their_ent_1]],Table1[[#This Row],[my_ent_1]])), 1, 0)</f>
        <v>1</v>
      </c>
      <c r="L1000">
        <f>IF(ISNUMBER(SEARCH(Table1[[#This Row],[their_ent_2]],Table1[[#This Row],[my_ent_2]])), 1, 0)</f>
        <v>1</v>
      </c>
    </row>
    <row r="1001" spans="1:12" x14ac:dyDescent="0.3">
      <c r="A1001" t="s">
        <v>2983</v>
      </c>
      <c r="B1001" t="s">
        <v>2984</v>
      </c>
      <c r="C1001" t="s">
        <v>2984</v>
      </c>
      <c r="D1001" t="s">
        <v>2985</v>
      </c>
      <c r="E1001" t="s">
        <v>2986</v>
      </c>
      <c r="F1001">
        <v>3</v>
      </c>
      <c r="G1001">
        <v>999</v>
      </c>
      <c r="H1001">
        <f>IF(Table1[[#This Row],[my_ent_1]]=Table1[[#This Row],[their_ent_1]], 1, 0)</f>
        <v>1</v>
      </c>
      <c r="I1001">
        <f>IF(Table1[[#This Row],[my_ent_2]]=Table1[[#This Row],[their_ent_2]], 1, 0)</f>
        <v>0</v>
      </c>
      <c r="J1001">
        <f>IF(Table1[[#This Row],[same_1]]=1 &amp; Table1[[#This Row],[same_2]]=1, 1, 0)</f>
        <v>0</v>
      </c>
      <c r="K1001">
        <f>IF(ISNUMBER(SEARCH(Table1[[#This Row],[their_ent_1]],Table1[[#This Row],[my_ent_1]])), 1, 0)</f>
        <v>1</v>
      </c>
      <c r="L1001">
        <f>IF(ISNUMBER(SEARCH(Table1[[#This Row],[their_ent_2]],Table1[[#This Row],[my_ent_2]])), 1, 0)</f>
        <v>1</v>
      </c>
    </row>
    <row r="1002" spans="1:12" hidden="1" x14ac:dyDescent="0.3">
      <c r="A1002" t="s">
        <v>2987</v>
      </c>
      <c r="B1002" t="s">
        <v>2988</v>
      </c>
      <c r="C1002" t="s">
        <v>2989</v>
      </c>
      <c r="D1002" t="s">
        <v>2989</v>
      </c>
      <c r="E1002" t="s">
        <v>2990</v>
      </c>
      <c r="F1002">
        <v>3</v>
      </c>
      <c r="G1002">
        <v>1000</v>
      </c>
      <c r="H1002">
        <f>IF(Table1[[#This Row],[my_ent_1]]=Table1[[#This Row],[their_ent_1]], 1, 0)</f>
        <v>0</v>
      </c>
      <c r="I1002">
        <f>IF(Table1[[#This Row],[my_ent_2]]=Table1[[#This Row],[their_ent_2]], 1, 0)</f>
        <v>0</v>
      </c>
      <c r="J1002">
        <f>IF(Table1[[#This Row],[same_1]]=1 &amp; Table1[[#This Row],[same_2]]=1, 1, 0)</f>
        <v>0</v>
      </c>
      <c r="K1002">
        <f>IF(ISNUMBER(SEARCH(Table1[[#This Row],[their_ent_1]],Table1[[#This Row],[my_ent_1]])), 1, 0)</f>
        <v>0</v>
      </c>
      <c r="L1002">
        <f>IF(ISNUMBER(SEARCH(Table1[[#This Row],[their_ent_2]],Table1[[#This Row],[my_ent_2]])), 1, 0)</f>
        <v>0</v>
      </c>
    </row>
    <row r="1003" spans="1:12" x14ac:dyDescent="0.3">
      <c r="A1003" t="s">
        <v>2991</v>
      </c>
      <c r="B1003" t="s">
        <v>2992</v>
      </c>
      <c r="C1003" t="s">
        <v>2992</v>
      </c>
      <c r="D1003" t="s">
        <v>2993</v>
      </c>
      <c r="E1003" t="s">
        <v>2994</v>
      </c>
      <c r="F1003">
        <v>1</v>
      </c>
      <c r="G1003">
        <v>1001</v>
      </c>
      <c r="H1003">
        <f>IF(Table1[[#This Row],[my_ent_1]]=Table1[[#This Row],[their_ent_1]], 1, 0)</f>
        <v>1</v>
      </c>
      <c r="I1003">
        <f>IF(Table1[[#This Row],[my_ent_2]]=Table1[[#This Row],[their_ent_2]], 1, 0)</f>
        <v>0</v>
      </c>
      <c r="J1003">
        <f>IF(Table1[[#This Row],[same_1]]=1 &amp; Table1[[#This Row],[same_2]]=1, 1, 0)</f>
        <v>0</v>
      </c>
      <c r="K1003">
        <f>IF(ISNUMBER(SEARCH(Table1[[#This Row],[their_ent_1]],Table1[[#This Row],[my_ent_1]])), 1, 0)</f>
        <v>1</v>
      </c>
      <c r="L1003">
        <f>IF(ISNUMBER(SEARCH(Table1[[#This Row],[their_ent_2]],Table1[[#This Row],[my_ent_2]])), 1, 0)</f>
        <v>1</v>
      </c>
    </row>
    <row r="1004" spans="1:12" x14ac:dyDescent="0.3">
      <c r="A1004" t="s">
        <v>2995</v>
      </c>
      <c r="B1004" t="s">
        <v>2996</v>
      </c>
      <c r="C1004" t="s">
        <v>2997</v>
      </c>
      <c r="D1004" t="s">
        <v>1251</v>
      </c>
      <c r="E1004" t="s">
        <v>1251</v>
      </c>
      <c r="F1004">
        <v>3</v>
      </c>
      <c r="G1004">
        <v>1002</v>
      </c>
      <c r="H1004">
        <f>IF(Table1[[#This Row],[my_ent_1]]=Table1[[#This Row],[their_ent_1]], 1, 0)</f>
        <v>0</v>
      </c>
      <c r="I1004">
        <f>IF(Table1[[#This Row],[my_ent_2]]=Table1[[#This Row],[their_ent_2]], 1, 0)</f>
        <v>1</v>
      </c>
      <c r="J1004">
        <f>IF(Table1[[#This Row],[same_1]]=1 &amp; Table1[[#This Row],[same_2]]=1, 1, 0)</f>
        <v>0</v>
      </c>
      <c r="K1004">
        <f>IF(ISNUMBER(SEARCH(Table1[[#This Row],[their_ent_1]],Table1[[#This Row],[my_ent_1]])), 1, 0)</f>
        <v>1</v>
      </c>
      <c r="L1004">
        <f>IF(ISNUMBER(SEARCH(Table1[[#This Row],[their_ent_2]],Table1[[#This Row],[my_ent_2]])), 1, 0)</f>
        <v>1</v>
      </c>
    </row>
    <row r="1005" spans="1:12" hidden="1" x14ac:dyDescent="0.3">
      <c r="A1005" t="s">
        <v>2998</v>
      </c>
      <c r="B1005" t="s">
        <v>2999</v>
      </c>
      <c r="C1005" t="s">
        <v>1385</v>
      </c>
      <c r="D1005" t="s">
        <v>1385</v>
      </c>
      <c r="E1005" t="s">
        <v>3000</v>
      </c>
      <c r="F1005">
        <v>3</v>
      </c>
      <c r="G1005">
        <v>1003</v>
      </c>
      <c r="H1005">
        <f>IF(Table1[[#This Row],[my_ent_1]]=Table1[[#This Row],[their_ent_1]], 1, 0)</f>
        <v>0</v>
      </c>
      <c r="I1005">
        <f>IF(Table1[[#This Row],[my_ent_2]]=Table1[[#This Row],[their_ent_2]], 1, 0)</f>
        <v>0</v>
      </c>
      <c r="J1005">
        <f>IF(Table1[[#This Row],[same_1]]=1 &amp; Table1[[#This Row],[same_2]]=1, 1, 0)</f>
        <v>0</v>
      </c>
      <c r="K1005">
        <f>IF(ISNUMBER(SEARCH(Table1[[#This Row],[their_ent_1]],Table1[[#This Row],[my_ent_1]])), 1, 0)</f>
        <v>0</v>
      </c>
      <c r="L1005">
        <f>IF(ISNUMBER(SEARCH(Table1[[#This Row],[their_ent_2]],Table1[[#This Row],[my_ent_2]])), 1, 0)</f>
        <v>0</v>
      </c>
    </row>
    <row r="1006" spans="1:12" x14ac:dyDescent="0.3">
      <c r="A1006" t="s">
        <v>3001</v>
      </c>
      <c r="B1006" t="s">
        <v>1751</v>
      </c>
      <c r="C1006" t="s">
        <v>1752</v>
      </c>
      <c r="D1006" t="s">
        <v>3002</v>
      </c>
      <c r="E1006" t="s">
        <v>3003</v>
      </c>
      <c r="F1006">
        <v>3</v>
      </c>
      <c r="G1006">
        <v>1004</v>
      </c>
      <c r="H1006">
        <f>IF(Table1[[#This Row],[my_ent_1]]=Table1[[#This Row],[their_ent_1]], 1, 0)</f>
        <v>0</v>
      </c>
      <c r="I1006">
        <f>IF(Table1[[#This Row],[my_ent_2]]=Table1[[#This Row],[their_ent_2]], 1, 0)</f>
        <v>0</v>
      </c>
      <c r="J1006">
        <f>IF(Table1[[#This Row],[same_1]]=1 &amp; Table1[[#This Row],[same_2]]=1, 1, 0)</f>
        <v>0</v>
      </c>
      <c r="K1006">
        <f>IF(ISNUMBER(SEARCH(Table1[[#This Row],[their_ent_1]],Table1[[#This Row],[my_ent_1]])), 1, 0)</f>
        <v>1</v>
      </c>
      <c r="L1006">
        <f>IF(ISNUMBER(SEARCH(Table1[[#This Row],[their_ent_2]],Table1[[#This Row],[my_ent_2]])), 1, 0)</f>
        <v>1</v>
      </c>
    </row>
    <row r="1007" spans="1:12" hidden="1" x14ac:dyDescent="0.3">
      <c r="A1007" t="s">
        <v>3004</v>
      </c>
      <c r="B1007" t="s">
        <v>3005</v>
      </c>
      <c r="C1007" t="s">
        <v>3006</v>
      </c>
      <c r="D1007" t="s">
        <v>1278</v>
      </c>
      <c r="E1007" t="s">
        <v>3007</v>
      </c>
      <c r="F1007">
        <v>3</v>
      </c>
      <c r="G1007">
        <v>1005</v>
      </c>
      <c r="H1007">
        <f>IF(Table1[[#This Row],[my_ent_1]]=Table1[[#This Row],[their_ent_1]], 1, 0)</f>
        <v>0</v>
      </c>
      <c r="I1007">
        <f>IF(Table1[[#This Row],[my_ent_2]]=Table1[[#This Row],[their_ent_2]], 1, 0)</f>
        <v>0</v>
      </c>
      <c r="J1007">
        <f>IF(Table1[[#This Row],[same_1]]=1 &amp; Table1[[#This Row],[same_2]]=1, 1, 0)</f>
        <v>0</v>
      </c>
      <c r="K1007">
        <f>IF(ISNUMBER(SEARCH(Table1[[#This Row],[their_ent_1]],Table1[[#This Row],[my_ent_1]])), 1, 0)</f>
        <v>0</v>
      </c>
      <c r="L1007">
        <f>IF(ISNUMBER(SEARCH(Table1[[#This Row],[their_ent_2]],Table1[[#This Row],[my_ent_2]])), 1, 0)</f>
        <v>0</v>
      </c>
    </row>
    <row r="1008" spans="1:12" hidden="1" x14ac:dyDescent="0.3">
      <c r="A1008" t="s">
        <v>3008</v>
      </c>
      <c r="B1008" t="s">
        <v>2494</v>
      </c>
      <c r="C1008" t="s">
        <v>2494</v>
      </c>
      <c r="D1008" t="s">
        <v>7</v>
      </c>
      <c r="E1008" t="s">
        <v>3009</v>
      </c>
      <c r="F1008">
        <v>3</v>
      </c>
      <c r="G1008">
        <v>1006</v>
      </c>
      <c r="H1008">
        <f>IF(Table1[[#This Row],[my_ent_1]]=Table1[[#This Row],[their_ent_1]], 1, 0)</f>
        <v>1</v>
      </c>
      <c r="I1008">
        <f>IF(Table1[[#This Row],[my_ent_2]]=Table1[[#This Row],[their_ent_2]], 1, 0)</f>
        <v>0</v>
      </c>
      <c r="J1008">
        <f>IF(Table1[[#This Row],[same_1]]=1 &amp; Table1[[#This Row],[same_2]]=1, 1, 0)</f>
        <v>0</v>
      </c>
      <c r="K1008">
        <f>IF(ISNUMBER(SEARCH(Table1[[#This Row],[their_ent_1]],Table1[[#This Row],[my_ent_1]])), 1, 0)</f>
        <v>1</v>
      </c>
      <c r="L1008">
        <f>IF(ISNUMBER(SEARCH(Table1[[#This Row],[their_ent_2]],Table1[[#This Row],[my_ent_2]])), 1, 0)</f>
        <v>0</v>
      </c>
    </row>
    <row r="1009" spans="1:12" hidden="1" x14ac:dyDescent="0.3">
      <c r="A1009" t="s">
        <v>3010</v>
      </c>
      <c r="B1009" t="s">
        <v>3011</v>
      </c>
      <c r="C1009" t="s">
        <v>3012</v>
      </c>
      <c r="D1009" t="s">
        <v>3013</v>
      </c>
      <c r="E1009" t="s">
        <v>3014</v>
      </c>
      <c r="F1009">
        <v>1</v>
      </c>
      <c r="G1009">
        <v>1007</v>
      </c>
      <c r="H1009">
        <f>IF(Table1[[#This Row],[my_ent_1]]=Table1[[#This Row],[their_ent_1]], 1, 0)</f>
        <v>0</v>
      </c>
      <c r="I1009">
        <f>IF(Table1[[#This Row],[my_ent_2]]=Table1[[#This Row],[their_ent_2]], 1, 0)</f>
        <v>0</v>
      </c>
      <c r="J1009">
        <f>IF(Table1[[#This Row],[same_1]]=1 &amp; Table1[[#This Row],[same_2]]=1, 1, 0)</f>
        <v>0</v>
      </c>
      <c r="K1009">
        <f>IF(ISNUMBER(SEARCH(Table1[[#This Row],[their_ent_1]],Table1[[#This Row],[my_ent_1]])), 1, 0)</f>
        <v>0</v>
      </c>
      <c r="L1009">
        <f>IF(ISNUMBER(SEARCH(Table1[[#This Row],[their_ent_2]],Table1[[#This Row],[my_ent_2]])), 1, 0)</f>
        <v>0</v>
      </c>
    </row>
    <row r="1010" spans="1:12" x14ac:dyDescent="0.3">
      <c r="A1010" t="s">
        <v>3015</v>
      </c>
      <c r="B1010" t="s">
        <v>814</v>
      </c>
      <c r="C1010" t="s">
        <v>208</v>
      </c>
      <c r="D1010" t="s">
        <v>886</v>
      </c>
      <c r="E1010" t="s">
        <v>886</v>
      </c>
      <c r="F1010">
        <v>3</v>
      </c>
      <c r="G1010">
        <v>1008</v>
      </c>
      <c r="H1010">
        <f>IF(Table1[[#This Row],[my_ent_1]]=Table1[[#This Row],[their_ent_1]], 1, 0)</f>
        <v>0</v>
      </c>
      <c r="I1010">
        <f>IF(Table1[[#This Row],[my_ent_2]]=Table1[[#This Row],[their_ent_2]], 1, 0)</f>
        <v>1</v>
      </c>
      <c r="J1010">
        <f>IF(Table1[[#This Row],[same_1]]=1 &amp; Table1[[#This Row],[same_2]]=1, 1, 0)</f>
        <v>0</v>
      </c>
      <c r="K1010">
        <f>IF(ISNUMBER(SEARCH(Table1[[#This Row],[their_ent_1]],Table1[[#This Row],[my_ent_1]])), 1, 0)</f>
        <v>1</v>
      </c>
      <c r="L1010">
        <f>IF(ISNUMBER(SEARCH(Table1[[#This Row],[their_ent_2]],Table1[[#This Row],[my_ent_2]])), 1, 0)</f>
        <v>1</v>
      </c>
    </row>
    <row r="1011" spans="1:12" hidden="1" x14ac:dyDescent="0.3">
      <c r="A1011" t="s">
        <v>2609</v>
      </c>
      <c r="B1011" t="s">
        <v>2610</v>
      </c>
      <c r="C1011" t="s">
        <v>2610</v>
      </c>
      <c r="D1011" t="s">
        <v>2611</v>
      </c>
      <c r="E1011" t="s">
        <v>2612</v>
      </c>
      <c r="F1011">
        <v>1</v>
      </c>
      <c r="G1011">
        <v>1009</v>
      </c>
      <c r="H1011">
        <f>IF(Table1[[#This Row],[my_ent_1]]=Table1[[#This Row],[their_ent_1]], 1, 0)</f>
        <v>1</v>
      </c>
      <c r="I1011">
        <f>IF(Table1[[#This Row],[my_ent_2]]=Table1[[#This Row],[their_ent_2]], 1, 0)</f>
        <v>0</v>
      </c>
      <c r="J1011">
        <f>IF(Table1[[#This Row],[same_1]]=1 &amp; Table1[[#This Row],[same_2]]=1, 1, 0)</f>
        <v>0</v>
      </c>
      <c r="K1011">
        <f>IF(ISNUMBER(SEARCH(Table1[[#This Row],[their_ent_1]],Table1[[#This Row],[my_ent_1]])), 1, 0)</f>
        <v>1</v>
      </c>
      <c r="L1011">
        <f>IF(ISNUMBER(SEARCH(Table1[[#This Row],[their_ent_2]],Table1[[#This Row],[my_ent_2]])), 1, 0)</f>
        <v>0</v>
      </c>
    </row>
    <row r="1012" spans="1:12" hidden="1" x14ac:dyDescent="0.3">
      <c r="A1012" t="s">
        <v>3016</v>
      </c>
      <c r="B1012" t="s">
        <v>336</v>
      </c>
      <c r="C1012" t="s">
        <v>336</v>
      </c>
      <c r="D1012" t="s">
        <v>7</v>
      </c>
      <c r="E1012" t="s">
        <v>404</v>
      </c>
      <c r="F1012">
        <v>3</v>
      </c>
      <c r="G1012">
        <v>1010</v>
      </c>
      <c r="H1012">
        <f>IF(Table1[[#This Row],[my_ent_1]]=Table1[[#This Row],[their_ent_1]], 1, 0)</f>
        <v>1</v>
      </c>
      <c r="I1012">
        <f>IF(Table1[[#This Row],[my_ent_2]]=Table1[[#This Row],[their_ent_2]], 1, 0)</f>
        <v>0</v>
      </c>
      <c r="J1012">
        <f>IF(Table1[[#This Row],[same_1]]=1 &amp; Table1[[#This Row],[same_2]]=1, 1, 0)</f>
        <v>0</v>
      </c>
      <c r="K1012">
        <f>IF(ISNUMBER(SEARCH(Table1[[#This Row],[their_ent_1]],Table1[[#This Row],[my_ent_1]])), 1, 0)</f>
        <v>1</v>
      </c>
      <c r="L1012">
        <f>IF(ISNUMBER(SEARCH(Table1[[#This Row],[their_ent_2]],Table1[[#This Row],[my_ent_2]])), 1, 0)</f>
        <v>0</v>
      </c>
    </row>
    <row r="1013" spans="1:12" hidden="1" x14ac:dyDescent="0.3">
      <c r="A1013" t="s">
        <v>3017</v>
      </c>
      <c r="B1013" t="s">
        <v>121</v>
      </c>
      <c r="C1013" t="s">
        <v>121</v>
      </c>
      <c r="D1013" t="s">
        <v>94</v>
      </c>
      <c r="E1013" t="s">
        <v>3018</v>
      </c>
      <c r="F1013">
        <v>3</v>
      </c>
      <c r="G1013">
        <v>1011</v>
      </c>
      <c r="H1013">
        <f>IF(Table1[[#This Row],[my_ent_1]]=Table1[[#This Row],[their_ent_1]], 1, 0)</f>
        <v>1</v>
      </c>
      <c r="I1013">
        <f>IF(Table1[[#This Row],[my_ent_2]]=Table1[[#This Row],[their_ent_2]], 1, 0)</f>
        <v>0</v>
      </c>
      <c r="J1013">
        <f>IF(Table1[[#This Row],[same_1]]=1 &amp; Table1[[#This Row],[same_2]]=1, 1, 0)</f>
        <v>0</v>
      </c>
      <c r="K1013">
        <f>IF(ISNUMBER(SEARCH(Table1[[#This Row],[their_ent_1]],Table1[[#This Row],[my_ent_1]])), 1, 0)</f>
        <v>1</v>
      </c>
      <c r="L1013">
        <f>IF(ISNUMBER(SEARCH(Table1[[#This Row],[their_ent_2]],Table1[[#This Row],[my_ent_2]])), 1, 0)</f>
        <v>0</v>
      </c>
    </row>
    <row r="1014" spans="1:12" hidden="1" x14ac:dyDescent="0.3">
      <c r="A1014" t="s">
        <v>3019</v>
      </c>
      <c r="B1014" t="s">
        <v>3020</v>
      </c>
      <c r="C1014" t="s">
        <v>3020</v>
      </c>
      <c r="D1014" t="s">
        <v>3021</v>
      </c>
      <c r="E1014" t="s">
        <v>470</v>
      </c>
      <c r="F1014">
        <v>3</v>
      </c>
      <c r="G1014">
        <v>1012</v>
      </c>
      <c r="H1014">
        <f>IF(Table1[[#This Row],[my_ent_1]]=Table1[[#This Row],[their_ent_1]], 1, 0)</f>
        <v>1</v>
      </c>
      <c r="I1014">
        <f>IF(Table1[[#This Row],[my_ent_2]]=Table1[[#This Row],[their_ent_2]], 1, 0)</f>
        <v>0</v>
      </c>
      <c r="J1014">
        <f>IF(Table1[[#This Row],[same_1]]=1 &amp; Table1[[#This Row],[same_2]]=1, 1, 0)</f>
        <v>0</v>
      </c>
      <c r="K1014">
        <f>IF(ISNUMBER(SEARCH(Table1[[#This Row],[their_ent_1]],Table1[[#This Row],[my_ent_1]])), 1, 0)</f>
        <v>1</v>
      </c>
      <c r="L1014">
        <f>IF(ISNUMBER(SEARCH(Table1[[#This Row],[their_ent_2]],Table1[[#This Row],[my_ent_2]])), 1, 0)</f>
        <v>0</v>
      </c>
    </row>
    <row r="1015" spans="1:12" x14ac:dyDescent="0.3">
      <c r="A1015" t="s">
        <v>3022</v>
      </c>
      <c r="B1015" t="s">
        <v>3023</v>
      </c>
      <c r="C1015" t="s">
        <v>3023</v>
      </c>
      <c r="D1015" t="s">
        <v>3024</v>
      </c>
      <c r="E1015" t="s">
        <v>3025</v>
      </c>
      <c r="F1015">
        <v>1</v>
      </c>
      <c r="G1015">
        <v>1013</v>
      </c>
      <c r="H1015">
        <f>IF(Table1[[#This Row],[my_ent_1]]=Table1[[#This Row],[their_ent_1]], 1, 0)</f>
        <v>1</v>
      </c>
      <c r="I1015">
        <f>IF(Table1[[#This Row],[my_ent_2]]=Table1[[#This Row],[their_ent_2]], 1, 0)</f>
        <v>0</v>
      </c>
      <c r="J1015">
        <f>IF(Table1[[#This Row],[same_1]]=1 &amp; Table1[[#This Row],[same_2]]=1, 1, 0)</f>
        <v>0</v>
      </c>
      <c r="K1015">
        <f>IF(ISNUMBER(SEARCH(Table1[[#This Row],[their_ent_1]],Table1[[#This Row],[my_ent_1]])), 1, 0)</f>
        <v>1</v>
      </c>
      <c r="L1015">
        <f>IF(ISNUMBER(SEARCH(Table1[[#This Row],[their_ent_2]],Table1[[#This Row],[my_ent_2]])), 1, 0)</f>
        <v>1</v>
      </c>
    </row>
    <row r="1016" spans="1:12" hidden="1" x14ac:dyDescent="0.3">
      <c r="A1016" t="s">
        <v>3026</v>
      </c>
      <c r="B1016" t="s">
        <v>3027</v>
      </c>
      <c r="C1016" t="s">
        <v>3027</v>
      </c>
      <c r="D1016" t="s">
        <v>3028</v>
      </c>
      <c r="E1016" t="s">
        <v>3029</v>
      </c>
      <c r="F1016">
        <v>2</v>
      </c>
      <c r="G1016">
        <v>1014</v>
      </c>
      <c r="H1016">
        <f>IF(Table1[[#This Row],[my_ent_1]]=Table1[[#This Row],[their_ent_1]], 1, 0)</f>
        <v>1</v>
      </c>
      <c r="I1016">
        <f>IF(Table1[[#This Row],[my_ent_2]]=Table1[[#This Row],[their_ent_2]], 1, 0)</f>
        <v>0</v>
      </c>
      <c r="J1016">
        <f>IF(Table1[[#This Row],[same_1]]=1 &amp; Table1[[#This Row],[same_2]]=1, 1, 0)</f>
        <v>0</v>
      </c>
      <c r="K1016">
        <f>IF(ISNUMBER(SEARCH(Table1[[#This Row],[their_ent_1]],Table1[[#This Row],[my_ent_1]])), 1, 0)</f>
        <v>1</v>
      </c>
      <c r="L1016">
        <f>IF(ISNUMBER(SEARCH(Table1[[#This Row],[their_ent_2]],Table1[[#This Row],[my_ent_2]])), 1, 0)</f>
        <v>0</v>
      </c>
    </row>
    <row r="1017" spans="1:12" hidden="1" x14ac:dyDescent="0.3">
      <c r="A1017" t="s">
        <v>3030</v>
      </c>
      <c r="B1017" t="s">
        <v>3031</v>
      </c>
      <c r="C1017" t="s">
        <v>3032</v>
      </c>
      <c r="D1017" t="s">
        <v>54</v>
      </c>
      <c r="E1017" t="s">
        <v>3031</v>
      </c>
      <c r="F1017">
        <v>2</v>
      </c>
      <c r="G1017">
        <v>1015</v>
      </c>
      <c r="H1017">
        <f>IF(Table1[[#This Row],[my_ent_1]]=Table1[[#This Row],[their_ent_1]], 1, 0)</f>
        <v>0</v>
      </c>
      <c r="I1017">
        <f>IF(Table1[[#This Row],[my_ent_2]]=Table1[[#This Row],[their_ent_2]], 1, 0)</f>
        <v>0</v>
      </c>
      <c r="J1017">
        <f>IF(Table1[[#This Row],[same_1]]=1 &amp; Table1[[#This Row],[same_2]]=1, 1, 0)</f>
        <v>0</v>
      </c>
      <c r="K1017">
        <f>IF(ISNUMBER(SEARCH(Table1[[#This Row],[their_ent_1]],Table1[[#This Row],[my_ent_1]])), 1, 0)</f>
        <v>0</v>
      </c>
      <c r="L1017">
        <f>IF(ISNUMBER(SEARCH(Table1[[#This Row],[their_ent_2]],Table1[[#This Row],[my_ent_2]])), 1, 0)</f>
        <v>0</v>
      </c>
    </row>
    <row r="1018" spans="1:12" x14ac:dyDescent="0.3">
      <c r="A1018" t="s">
        <v>3033</v>
      </c>
      <c r="B1018" t="s">
        <v>3034</v>
      </c>
      <c r="C1018" t="s">
        <v>3035</v>
      </c>
      <c r="D1018" t="s">
        <v>3036</v>
      </c>
      <c r="E1018" t="s">
        <v>3036</v>
      </c>
      <c r="F1018">
        <v>3</v>
      </c>
      <c r="G1018">
        <v>1016</v>
      </c>
      <c r="H1018">
        <f>IF(Table1[[#This Row],[my_ent_1]]=Table1[[#This Row],[their_ent_1]], 1, 0)</f>
        <v>0</v>
      </c>
      <c r="I1018">
        <f>IF(Table1[[#This Row],[my_ent_2]]=Table1[[#This Row],[their_ent_2]], 1, 0)</f>
        <v>1</v>
      </c>
      <c r="J1018">
        <f>IF(Table1[[#This Row],[same_1]]=1 &amp; Table1[[#This Row],[same_2]]=1, 1, 0)</f>
        <v>0</v>
      </c>
      <c r="K1018">
        <f>IF(ISNUMBER(SEARCH(Table1[[#This Row],[their_ent_1]],Table1[[#This Row],[my_ent_1]])), 1, 0)</f>
        <v>1</v>
      </c>
      <c r="L1018">
        <f>IF(ISNUMBER(SEARCH(Table1[[#This Row],[their_ent_2]],Table1[[#This Row],[my_ent_2]])), 1, 0)</f>
        <v>1</v>
      </c>
    </row>
    <row r="1019" spans="1:12" hidden="1" x14ac:dyDescent="0.3">
      <c r="A1019" t="s">
        <v>3037</v>
      </c>
      <c r="B1019" t="s">
        <v>1448</v>
      </c>
      <c r="C1019" t="s">
        <v>1448</v>
      </c>
      <c r="D1019" t="s">
        <v>94</v>
      </c>
      <c r="E1019" t="s">
        <v>3038</v>
      </c>
      <c r="F1019">
        <v>1</v>
      </c>
      <c r="G1019">
        <v>1017</v>
      </c>
      <c r="H1019">
        <f>IF(Table1[[#This Row],[my_ent_1]]=Table1[[#This Row],[their_ent_1]], 1, 0)</f>
        <v>1</v>
      </c>
      <c r="I1019">
        <f>IF(Table1[[#This Row],[my_ent_2]]=Table1[[#This Row],[their_ent_2]], 1, 0)</f>
        <v>0</v>
      </c>
      <c r="J1019">
        <f>IF(Table1[[#This Row],[same_1]]=1 &amp; Table1[[#This Row],[same_2]]=1, 1, 0)</f>
        <v>0</v>
      </c>
      <c r="K1019">
        <f>IF(ISNUMBER(SEARCH(Table1[[#This Row],[their_ent_1]],Table1[[#This Row],[my_ent_1]])), 1, 0)</f>
        <v>1</v>
      </c>
      <c r="L1019">
        <f>IF(ISNUMBER(SEARCH(Table1[[#This Row],[their_ent_2]],Table1[[#This Row],[my_ent_2]])), 1, 0)</f>
        <v>0</v>
      </c>
    </row>
    <row r="1020" spans="1:12" hidden="1" x14ac:dyDescent="0.3">
      <c r="A1020" t="s">
        <v>3039</v>
      </c>
      <c r="B1020" t="s">
        <v>7</v>
      </c>
      <c r="C1020" t="s">
        <v>7</v>
      </c>
      <c r="D1020" t="s">
        <v>3040</v>
      </c>
      <c r="E1020" t="s">
        <v>3041</v>
      </c>
      <c r="F1020">
        <v>3</v>
      </c>
      <c r="G1020">
        <v>1018</v>
      </c>
      <c r="H1020">
        <f>IF(Table1[[#This Row],[my_ent_1]]=Table1[[#This Row],[their_ent_1]], 1, 0)</f>
        <v>1</v>
      </c>
      <c r="I1020">
        <f>IF(Table1[[#This Row],[my_ent_2]]=Table1[[#This Row],[their_ent_2]], 1, 0)</f>
        <v>0</v>
      </c>
      <c r="J1020">
        <f>IF(Table1[[#This Row],[same_1]]=1 &amp; Table1[[#This Row],[same_2]]=1, 1, 0)</f>
        <v>0</v>
      </c>
      <c r="K1020">
        <f>IF(ISNUMBER(SEARCH(Table1[[#This Row],[their_ent_1]],Table1[[#This Row],[my_ent_1]])), 1, 0)</f>
        <v>1</v>
      </c>
      <c r="L1020">
        <f>IF(ISNUMBER(SEARCH(Table1[[#This Row],[their_ent_2]],Table1[[#This Row],[my_ent_2]])), 1, 0)</f>
        <v>0</v>
      </c>
    </row>
    <row r="1021" spans="1:12" hidden="1" x14ac:dyDescent="0.3">
      <c r="A1021" t="s">
        <v>3042</v>
      </c>
      <c r="B1021" t="s">
        <v>3043</v>
      </c>
      <c r="C1021" t="s">
        <v>3044</v>
      </c>
      <c r="D1021" t="s">
        <v>652</v>
      </c>
      <c r="E1021" t="s">
        <v>652</v>
      </c>
      <c r="F1021">
        <v>3</v>
      </c>
      <c r="G1021">
        <v>1019</v>
      </c>
      <c r="H1021">
        <f>IF(Table1[[#This Row],[my_ent_1]]=Table1[[#This Row],[their_ent_1]], 1, 0)</f>
        <v>0</v>
      </c>
      <c r="I1021">
        <f>IF(Table1[[#This Row],[my_ent_2]]=Table1[[#This Row],[their_ent_2]], 1, 0)</f>
        <v>1</v>
      </c>
      <c r="J1021">
        <f>IF(Table1[[#This Row],[same_1]]=1 &amp; Table1[[#This Row],[same_2]]=1, 1, 0)</f>
        <v>0</v>
      </c>
      <c r="K1021">
        <f>IF(ISNUMBER(SEARCH(Table1[[#This Row],[their_ent_1]],Table1[[#This Row],[my_ent_1]])), 1, 0)</f>
        <v>0</v>
      </c>
      <c r="L1021">
        <f>IF(ISNUMBER(SEARCH(Table1[[#This Row],[their_ent_2]],Table1[[#This Row],[my_ent_2]])), 1, 0)</f>
        <v>1</v>
      </c>
    </row>
    <row r="1022" spans="1:12" hidden="1" x14ac:dyDescent="0.3">
      <c r="A1022" t="s">
        <v>3045</v>
      </c>
      <c r="B1022" t="s">
        <v>3046</v>
      </c>
      <c r="C1022" t="s">
        <v>256</v>
      </c>
      <c r="D1022" t="s">
        <v>296</v>
      </c>
      <c r="E1022" t="s">
        <v>296</v>
      </c>
      <c r="F1022">
        <v>3</v>
      </c>
      <c r="G1022">
        <v>1020</v>
      </c>
      <c r="H1022">
        <f>IF(Table1[[#This Row],[my_ent_1]]=Table1[[#This Row],[their_ent_1]], 1, 0)</f>
        <v>0</v>
      </c>
      <c r="I1022">
        <f>IF(Table1[[#This Row],[my_ent_2]]=Table1[[#This Row],[their_ent_2]], 1, 0)</f>
        <v>1</v>
      </c>
      <c r="J1022">
        <f>IF(Table1[[#This Row],[same_1]]=1 &amp; Table1[[#This Row],[same_2]]=1, 1, 0)</f>
        <v>0</v>
      </c>
      <c r="K1022">
        <f>IF(ISNUMBER(SEARCH(Table1[[#This Row],[their_ent_1]],Table1[[#This Row],[my_ent_1]])), 1, 0)</f>
        <v>0</v>
      </c>
      <c r="L1022">
        <f>IF(ISNUMBER(SEARCH(Table1[[#This Row],[their_ent_2]],Table1[[#This Row],[my_ent_2]])), 1, 0)</f>
        <v>1</v>
      </c>
    </row>
    <row r="1023" spans="1:12" hidden="1" x14ac:dyDescent="0.3">
      <c r="A1023" t="s">
        <v>3047</v>
      </c>
      <c r="B1023" t="s">
        <v>708</v>
      </c>
      <c r="C1023" t="s">
        <v>3048</v>
      </c>
      <c r="D1023" t="s">
        <v>36</v>
      </c>
      <c r="E1023" t="s">
        <v>708</v>
      </c>
      <c r="F1023">
        <v>3</v>
      </c>
      <c r="G1023">
        <v>1021</v>
      </c>
      <c r="H1023">
        <f>IF(Table1[[#This Row],[my_ent_1]]=Table1[[#This Row],[their_ent_1]], 1, 0)</f>
        <v>0</v>
      </c>
      <c r="I1023">
        <f>IF(Table1[[#This Row],[my_ent_2]]=Table1[[#This Row],[their_ent_2]], 1, 0)</f>
        <v>0</v>
      </c>
      <c r="J1023">
        <f>IF(Table1[[#This Row],[same_1]]=1 &amp; Table1[[#This Row],[same_2]]=1, 1, 0)</f>
        <v>0</v>
      </c>
      <c r="K1023">
        <f>IF(ISNUMBER(SEARCH(Table1[[#This Row],[their_ent_1]],Table1[[#This Row],[my_ent_1]])), 1, 0)</f>
        <v>0</v>
      </c>
      <c r="L1023">
        <f>IF(ISNUMBER(SEARCH(Table1[[#This Row],[their_ent_2]],Table1[[#This Row],[my_ent_2]])), 1, 0)</f>
        <v>0</v>
      </c>
    </row>
    <row r="1024" spans="1:12" hidden="1" x14ac:dyDescent="0.3">
      <c r="A1024" t="s">
        <v>3049</v>
      </c>
      <c r="B1024" t="s">
        <v>3050</v>
      </c>
      <c r="C1024" t="s">
        <v>3051</v>
      </c>
      <c r="D1024" t="s">
        <v>65</v>
      </c>
      <c r="E1024" t="s">
        <v>3050</v>
      </c>
      <c r="F1024">
        <v>2</v>
      </c>
      <c r="G1024">
        <v>1022</v>
      </c>
      <c r="H1024">
        <f>IF(Table1[[#This Row],[my_ent_1]]=Table1[[#This Row],[their_ent_1]], 1, 0)</f>
        <v>0</v>
      </c>
      <c r="I1024">
        <f>IF(Table1[[#This Row],[my_ent_2]]=Table1[[#This Row],[their_ent_2]], 1, 0)</f>
        <v>0</v>
      </c>
      <c r="J1024">
        <f>IF(Table1[[#This Row],[same_1]]=1 &amp; Table1[[#This Row],[same_2]]=1, 1, 0)</f>
        <v>0</v>
      </c>
      <c r="K1024">
        <f>IF(ISNUMBER(SEARCH(Table1[[#This Row],[their_ent_1]],Table1[[#This Row],[my_ent_1]])), 1, 0)</f>
        <v>0</v>
      </c>
      <c r="L1024">
        <f>IF(ISNUMBER(SEARCH(Table1[[#This Row],[their_ent_2]],Table1[[#This Row],[my_ent_2]])), 1, 0)</f>
        <v>0</v>
      </c>
    </row>
    <row r="1025" spans="1:12" x14ac:dyDescent="0.3">
      <c r="A1025" t="s">
        <v>3052</v>
      </c>
      <c r="B1025" t="s">
        <v>3053</v>
      </c>
      <c r="C1025" t="s">
        <v>324</v>
      </c>
      <c r="D1025" t="s">
        <v>3054</v>
      </c>
      <c r="E1025" t="s">
        <v>3054</v>
      </c>
      <c r="F1025">
        <v>3</v>
      </c>
      <c r="G1025">
        <v>1023</v>
      </c>
      <c r="H1025">
        <f>IF(Table1[[#This Row],[my_ent_1]]=Table1[[#This Row],[their_ent_1]], 1, 0)</f>
        <v>0</v>
      </c>
      <c r="I1025">
        <f>IF(Table1[[#This Row],[my_ent_2]]=Table1[[#This Row],[their_ent_2]], 1, 0)</f>
        <v>1</v>
      </c>
      <c r="J1025">
        <f>IF(Table1[[#This Row],[same_1]]=1 &amp; Table1[[#This Row],[same_2]]=1, 1, 0)</f>
        <v>0</v>
      </c>
      <c r="K1025">
        <f>IF(ISNUMBER(SEARCH(Table1[[#This Row],[their_ent_1]],Table1[[#This Row],[my_ent_1]])), 1, 0)</f>
        <v>1</v>
      </c>
      <c r="L1025">
        <f>IF(ISNUMBER(SEARCH(Table1[[#This Row],[their_ent_2]],Table1[[#This Row],[my_ent_2]])), 1, 0)</f>
        <v>1</v>
      </c>
    </row>
    <row r="1026" spans="1:12" hidden="1" x14ac:dyDescent="0.3">
      <c r="A1026" t="s">
        <v>3055</v>
      </c>
      <c r="B1026" t="s">
        <v>142</v>
      </c>
      <c r="C1026" t="s">
        <v>633</v>
      </c>
      <c r="D1026" t="s">
        <v>3056</v>
      </c>
      <c r="E1026" t="s">
        <v>3056</v>
      </c>
      <c r="F1026">
        <v>3</v>
      </c>
      <c r="G1026">
        <v>1024</v>
      </c>
      <c r="H1026">
        <f>IF(Table1[[#This Row],[my_ent_1]]=Table1[[#This Row],[their_ent_1]], 1, 0)</f>
        <v>0</v>
      </c>
      <c r="I1026">
        <f>IF(Table1[[#This Row],[my_ent_2]]=Table1[[#This Row],[their_ent_2]], 1, 0)</f>
        <v>1</v>
      </c>
      <c r="J1026">
        <f>IF(Table1[[#This Row],[same_1]]=1 &amp; Table1[[#This Row],[same_2]]=1, 1, 0)</f>
        <v>0</v>
      </c>
      <c r="K1026">
        <f>IF(ISNUMBER(SEARCH(Table1[[#This Row],[their_ent_1]],Table1[[#This Row],[my_ent_1]])), 1, 0)</f>
        <v>0</v>
      </c>
      <c r="L1026">
        <f>IF(ISNUMBER(SEARCH(Table1[[#This Row],[their_ent_2]],Table1[[#This Row],[my_ent_2]])), 1, 0)</f>
        <v>1</v>
      </c>
    </row>
    <row r="1027" spans="1:12" x14ac:dyDescent="0.3">
      <c r="A1027" t="s">
        <v>3057</v>
      </c>
      <c r="B1027" t="s">
        <v>3058</v>
      </c>
      <c r="C1027" t="s">
        <v>3058</v>
      </c>
      <c r="D1027" t="s">
        <v>3059</v>
      </c>
      <c r="E1027" t="s">
        <v>3060</v>
      </c>
      <c r="F1027">
        <v>3</v>
      </c>
      <c r="G1027">
        <v>1025</v>
      </c>
      <c r="H1027">
        <f>IF(Table1[[#This Row],[my_ent_1]]=Table1[[#This Row],[their_ent_1]], 1, 0)</f>
        <v>1</v>
      </c>
      <c r="I1027">
        <f>IF(Table1[[#This Row],[my_ent_2]]=Table1[[#This Row],[their_ent_2]], 1, 0)</f>
        <v>0</v>
      </c>
      <c r="J1027">
        <f>IF(Table1[[#This Row],[same_1]]=1 &amp; Table1[[#This Row],[same_2]]=1, 1, 0)</f>
        <v>0</v>
      </c>
      <c r="K1027">
        <f>IF(ISNUMBER(SEARCH(Table1[[#This Row],[their_ent_1]],Table1[[#This Row],[my_ent_1]])), 1, 0)</f>
        <v>1</v>
      </c>
      <c r="L1027">
        <f>IF(ISNUMBER(SEARCH(Table1[[#This Row],[their_ent_2]],Table1[[#This Row],[my_ent_2]])), 1, 0)</f>
        <v>1</v>
      </c>
    </row>
    <row r="1028" spans="1:12" hidden="1" x14ac:dyDescent="0.3">
      <c r="A1028" t="s">
        <v>3061</v>
      </c>
      <c r="B1028" t="s">
        <v>3062</v>
      </c>
      <c r="C1028" t="s">
        <v>3062</v>
      </c>
      <c r="D1028" t="s">
        <v>1115</v>
      </c>
      <c r="E1028" t="s">
        <v>29</v>
      </c>
      <c r="F1028">
        <v>4</v>
      </c>
      <c r="G1028">
        <v>1026</v>
      </c>
      <c r="H1028">
        <f>IF(Table1[[#This Row],[my_ent_1]]=Table1[[#This Row],[their_ent_1]], 1, 0)</f>
        <v>1</v>
      </c>
      <c r="I1028">
        <f>IF(Table1[[#This Row],[my_ent_2]]=Table1[[#This Row],[their_ent_2]], 1, 0)</f>
        <v>0</v>
      </c>
      <c r="J1028">
        <f>IF(Table1[[#This Row],[same_1]]=1 &amp; Table1[[#This Row],[same_2]]=1, 1, 0)</f>
        <v>0</v>
      </c>
      <c r="K1028">
        <f>IF(ISNUMBER(SEARCH(Table1[[#This Row],[their_ent_1]],Table1[[#This Row],[my_ent_1]])), 1, 0)</f>
        <v>1</v>
      </c>
      <c r="L1028">
        <f>IF(ISNUMBER(SEARCH(Table1[[#This Row],[their_ent_2]],Table1[[#This Row],[my_ent_2]])), 1, 0)</f>
        <v>0</v>
      </c>
    </row>
    <row r="1029" spans="1:12" hidden="1" x14ac:dyDescent="0.3">
      <c r="A1029" t="s">
        <v>3063</v>
      </c>
      <c r="B1029" t="s">
        <v>3064</v>
      </c>
      <c r="C1029" t="s">
        <v>3064</v>
      </c>
      <c r="D1029" t="s">
        <v>3065</v>
      </c>
      <c r="E1029" t="s">
        <v>3066</v>
      </c>
      <c r="F1029">
        <v>4</v>
      </c>
      <c r="G1029">
        <v>1027</v>
      </c>
      <c r="H1029">
        <f>IF(Table1[[#This Row],[my_ent_1]]=Table1[[#This Row],[their_ent_1]], 1, 0)</f>
        <v>1</v>
      </c>
      <c r="I1029">
        <f>IF(Table1[[#This Row],[my_ent_2]]=Table1[[#This Row],[their_ent_2]], 1, 0)</f>
        <v>0</v>
      </c>
      <c r="J1029">
        <f>IF(Table1[[#This Row],[same_1]]=1 &amp; Table1[[#This Row],[same_2]]=1, 1, 0)</f>
        <v>0</v>
      </c>
      <c r="K1029">
        <f>IF(ISNUMBER(SEARCH(Table1[[#This Row],[their_ent_1]],Table1[[#This Row],[my_ent_1]])), 1, 0)</f>
        <v>1</v>
      </c>
      <c r="L1029">
        <f>IF(ISNUMBER(SEARCH(Table1[[#This Row],[their_ent_2]],Table1[[#This Row],[my_ent_2]])), 1, 0)</f>
        <v>0</v>
      </c>
    </row>
    <row r="1030" spans="1:12" x14ac:dyDescent="0.3">
      <c r="A1030" t="s">
        <v>3067</v>
      </c>
      <c r="B1030" t="s">
        <v>3068</v>
      </c>
      <c r="C1030" t="s">
        <v>3068</v>
      </c>
      <c r="D1030" t="s">
        <v>3069</v>
      </c>
      <c r="E1030" t="s">
        <v>3070</v>
      </c>
      <c r="F1030">
        <v>2</v>
      </c>
      <c r="G1030">
        <v>1028</v>
      </c>
      <c r="H1030">
        <f>IF(Table1[[#This Row],[my_ent_1]]=Table1[[#This Row],[their_ent_1]], 1, 0)</f>
        <v>1</v>
      </c>
      <c r="I1030">
        <f>IF(Table1[[#This Row],[my_ent_2]]=Table1[[#This Row],[their_ent_2]], 1, 0)</f>
        <v>0</v>
      </c>
      <c r="J1030">
        <f>IF(Table1[[#This Row],[same_1]]=1 &amp; Table1[[#This Row],[same_2]]=1, 1, 0)</f>
        <v>0</v>
      </c>
      <c r="K1030">
        <f>IF(ISNUMBER(SEARCH(Table1[[#This Row],[their_ent_1]],Table1[[#This Row],[my_ent_1]])), 1, 0)</f>
        <v>1</v>
      </c>
      <c r="L1030">
        <f>IF(ISNUMBER(SEARCH(Table1[[#This Row],[their_ent_2]],Table1[[#This Row],[my_ent_2]])), 1, 0)</f>
        <v>1</v>
      </c>
    </row>
    <row r="1031" spans="1:12" hidden="1" x14ac:dyDescent="0.3">
      <c r="A1031" t="s">
        <v>3071</v>
      </c>
      <c r="B1031" t="s">
        <v>3072</v>
      </c>
      <c r="C1031" t="s">
        <v>3072</v>
      </c>
      <c r="D1031" t="s">
        <v>7</v>
      </c>
      <c r="E1031" t="s">
        <v>138</v>
      </c>
      <c r="F1031">
        <v>3</v>
      </c>
      <c r="G1031">
        <v>1029</v>
      </c>
      <c r="H1031">
        <f>IF(Table1[[#This Row],[my_ent_1]]=Table1[[#This Row],[their_ent_1]], 1, 0)</f>
        <v>1</v>
      </c>
      <c r="I1031">
        <f>IF(Table1[[#This Row],[my_ent_2]]=Table1[[#This Row],[their_ent_2]], 1, 0)</f>
        <v>0</v>
      </c>
      <c r="J1031">
        <f>IF(Table1[[#This Row],[same_1]]=1 &amp; Table1[[#This Row],[same_2]]=1, 1, 0)</f>
        <v>0</v>
      </c>
      <c r="K1031">
        <f>IF(ISNUMBER(SEARCH(Table1[[#This Row],[their_ent_1]],Table1[[#This Row],[my_ent_1]])), 1, 0)</f>
        <v>1</v>
      </c>
      <c r="L1031">
        <f>IF(ISNUMBER(SEARCH(Table1[[#This Row],[their_ent_2]],Table1[[#This Row],[my_ent_2]])), 1, 0)</f>
        <v>0</v>
      </c>
    </row>
    <row r="1032" spans="1:12" hidden="1" x14ac:dyDescent="0.3">
      <c r="A1032" t="s">
        <v>3073</v>
      </c>
      <c r="B1032" t="s">
        <v>3074</v>
      </c>
      <c r="C1032" t="s">
        <v>553</v>
      </c>
      <c r="D1032" t="s">
        <v>3075</v>
      </c>
      <c r="E1032" t="s">
        <v>3076</v>
      </c>
      <c r="F1032">
        <v>3</v>
      </c>
      <c r="G1032">
        <v>1030</v>
      </c>
      <c r="H1032">
        <f>IF(Table1[[#This Row],[my_ent_1]]=Table1[[#This Row],[their_ent_1]], 1, 0)</f>
        <v>0</v>
      </c>
      <c r="I1032">
        <f>IF(Table1[[#This Row],[my_ent_2]]=Table1[[#This Row],[their_ent_2]], 1, 0)</f>
        <v>0</v>
      </c>
      <c r="J1032">
        <f>IF(Table1[[#This Row],[same_1]]=1 &amp; Table1[[#This Row],[same_2]]=1, 1, 0)</f>
        <v>0</v>
      </c>
      <c r="K1032">
        <f>IF(ISNUMBER(SEARCH(Table1[[#This Row],[their_ent_1]],Table1[[#This Row],[my_ent_1]])), 1, 0)</f>
        <v>0</v>
      </c>
      <c r="L1032">
        <f>IF(ISNUMBER(SEARCH(Table1[[#This Row],[their_ent_2]],Table1[[#This Row],[my_ent_2]])), 1, 0)</f>
        <v>0</v>
      </c>
    </row>
    <row r="1033" spans="1:12" hidden="1" x14ac:dyDescent="0.3">
      <c r="A1033" t="s">
        <v>3077</v>
      </c>
      <c r="B1033" t="s">
        <v>200</v>
      </c>
      <c r="C1033" t="s">
        <v>2744</v>
      </c>
      <c r="D1033" t="s">
        <v>73</v>
      </c>
      <c r="E1033" t="s">
        <v>73</v>
      </c>
      <c r="F1033">
        <v>1</v>
      </c>
      <c r="G1033">
        <v>1031</v>
      </c>
      <c r="H1033">
        <f>IF(Table1[[#This Row],[my_ent_1]]=Table1[[#This Row],[their_ent_1]], 1, 0)</f>
        <v>0</v>
      </c>
      <c r="I1033">
        <f>IF(Table1[[#This Row],[my_ent_2]]=Table1[[#This Row],[their_ent_2]], 1, 0)</f>
        <v>1</v>
      </c>
      <c r="J1033">
        <f>IF(Table1[[#This Row],[same_1]]=1 &amp; Table1[[#This Row],[same_2]]=1, 1, 0)</f>
        <v>0</v>
      </c>
      <c r="K1033">
        <f>IF(ISNUMBER(SEARCH(Table1[[#This Row],[their_ent_1]],Table1[[#This Row],[my_ent_1]])), 1, 0)</f>
        <v>0</v>
      </c>
      <c r="L1033">
        <f>IF(ISNUMBER(SEARCH(Table1[[#This Row],[their_ent_2]],Table1[[#This Row],[my_ent_2]])), 1, 0)</f>
        <v>1</v>
      </c>
    </row>
    <row r="1034" spans="1:12" x14ac:dyDescent="0.3">
      <c r="A1034" t="s">
        <v>3078</v>
      </c>
      <c r="B1034" t="s">
        <v>3079</v>
      </c>
      <c r="C1034" t="s">
        <v>3080</v>
      </c>
      <c r="D1034" t="s">
        <v>3081</v>
      </c>
      <c r="E1034" t="s">
        <v>3081</v>
      </c>
      <c r="F1034">
        <v>1</v>
      </c>
      <c r="G1034">
        <v>1032</v>
      </c>
      <c r="H1034">
        <f>IF(Table1[[#This Row],[my_ent_1]]=Table1[[#This Row],[their_ent_1]], 1, 0)</f>
        <v>0</v>
      </c>
      <c r="I1034">
        <f>IF(Table1[[#This Row],[my_ent_2]]=Table1[[#This Row],[their_ent_2]], 1, 0)</f>
        <v>1</v>
      </c>
      <c r="J1034">
        <f>IF(Table1[[#This Row],[same_1]]=1 &amp; Table1[[#This Row],[same_2]]=1, 1, 0)</f>
        <v>0</v>
      </c>
      <c r="K1034">
        <f>IF(ISNUMBER(SEARCH(Table1[[#This Row],[their_ent_1]],Table1[[#This Row],[my_ent_1]])), 1, 0)</f>
        <v>1</v>
      </c>
      <c r="L1034">
        <f>IF(ISNUMBER(SEARCH(Table1[[#This Row],[their_ent_2]],Table1[[#This Row],[my_ent_2]])), 1, 0)</f>
        <v>1</v>
      </c>
    </row>
    <row r="1035" spans="1:12" hidden="1" x14ac:dyDescent="0.3">
      <c r="A1035" t="s">
        <v>3082</v>
      </c>
      <c r="B1035" t="s">
        <v>3083</v>
      </c>
      <c r="C1035" t="s">
        <v>3084</v>
      </c>
      <c r="D1035" t="s">
        <v>3084</v>
      </c>
      <c r="E1035" t="s">
        <v>3085</v>
      </c>
      <c r="F1035">
        <v>4</v>
      </c>
      <c r="G1035">
        <v>1033</v>
      </c>
      <c r="H1035">
        <f>IF(Table1[[#This Row],[my_ent_1]]=Table1[[#This Row],[their_ent_1]], 1, 0)</f>
        <v>0</v>
      </c>
      <c r="I1035">
        <f>IF(Table1[[#This Row],[my_ent_2]]=Table1[[#This Row],[their_ent_2]], 1, 0)</f>
        <v>0</v>
      </c>
      <c r="J1035">
        <f>IF(Table1[[#This Row],[same_1]]=1 &amp; Table1[[#This Row],[same_2]]=1, 1, 0)</f>
        <v>0</v>
      </c>
      <c r="K1035">
        <f>IF(ISNUMBER(SEARCH(Table1[[#This Row],[their_ent_1]],Table1[[#This Row],[my_ent_1]])), 1, 0)</f>
        <v>0</v>
      </c>
      <c r="L1035">
        <f>IF(ISNUMBER(SEARCH(Table1[[#This Row],[their_ent_2]],Table1[[#This Row],[my_ent_2]])), 1, 0)</f>
        <v>0</v>
      </c>
    </row>
    <row r="1036" spans="1:12" x14ac:dyDescent="0.3">
      <c r="A1036" t="s">
        <v>3086</v>
      </c>
      <c r="B1036" t="s">
        <v>3087</v>
      </c>
      <c r="C1036" t="s">
        <v>3088</v>
      </c>
      <c r="D1036" t="s">
        <v>296</v>
      </c>
      <c r="E1036" t="s">
        <v>296</v>
      </c>
      <c r="F1036">
        <v>1</v>
      </c>
      <c r="G1036">
        <v>1034</v>
      </c>
      <c r="H1036">
        <f>IF(Table1[[#This Row],[my_ent_1]]=Table1[[#This Row],[their_ent_1]], 1, 0)</f>
        <v>0</v>
      </c>
      <c r="I1036">
        <f>IF(Table1[[#This Row],[my_ent_2]]=Table1[[#This Row],[their_ent_2]], 1, 0)</f>
        <v>1</v>
      </c>
      <c r="J1036">
        <f>IF(Table1[[#This Row],[same_1]]=1 &amp; Table1[[#This Row],[same_2]]=1, 1, 0)</f>
        <v>0</v>
      </c>
      <c r="K1036">
        <f>IF(ISNUMBER(SEARCH(Table1[[#This Row],[their_ent_1]],Table1[[#This Row],[my_ent_1]])), 1, 0)</f>
        <v>1</v>
      </c>
      <c r="L1036">
        <f>IF(ISNUMBER(SEARCH(Table1[[#This Row],[their_ent_2]],Table1[[#This Row],[my_ent_2]])), 1, 0)</f>
        <v>1</v>
      </c>
    </row>
    <row r="1037" spans="1:12" hidden="1" x14ac:dyDescent="0.3">
      <c r="A1037" t="s">
        <v>3089</v>
      </c>
      <c r="B1037" t="s">
        <v>3090</v>
      </c>
      <c r="C1037" t="s">
        <v>3090</v>
      </c>
      <c r="D1037" t="s">
        <v>119</v>
      </c>
      <c r="E1037" t="s">
        <v>148</v>
      </c>
      <c r="F1037">
        <v>3</v>
      </c>
      <c r="G1037">
        <v>1035</v>
      </c>
      <c r="H1037">
        <f>IF(Table1[[#This Row],[my_ent_1]]=Table1[[#This Row],[their_ent_1]], 1, 0)</f>
        <v>1</v>
      </c>
      <c r="I1037">
        <f>IF(Table1[[#This Row],[my_ent_2]]=Table1[[#This Row],[their_ent_2]], 1, 0)</f>
        <v>0</v>
      </c>
      <c r="J1037">
        <f>IF(Table1[[#This Row],[same_1]]=1 &amp; Table1[[#This Row],[same_2]]=1, 1, 0)</f>
        <v>0</v>
      </c>
      <c r="K1037">
        <f>IF(ISNUMBER(SEARCH(Table1[[#This Row],[their_ent_1]],Table1[[#This Row],[my_ent_1]])), 1, 0)</f>
        <v>1</v>
      </c>
      <c r="L1037">
        <f>IF(ISNUMBER(SEARCH(Table1[[#This Row],[their_ent_2]],Table1[[#This Row],[my_ent_2]])), 1, 0)</f>
        <v>0</v>
      </c>
    </row>
    <row r="1038" spans="1:12" hidden="1" x14ac:dyDescent="0.3">
      <c r="A1038" t="s">
        <v>3091</v>
      </c>
      <c r="B1038" t="s">
        <v>859</v>
      </c>
      <c r="C1038" t="s">
        <v>2787</v>
      </c>
      <c r="D1038" t="s">
        <v>3092</v>
      </c>
      <c r="E1038" t="s">
        <v>324</v>
      </c>
      <c r="F1038">
        <v>3</v>
      </c>
      <c r="G1038">
        <v>1036</v>
      </c>
      <c r="H1038">
        <f>IF(Table1[[#This Row],[my_ent_1]]=Table1[[#This Row],[their_ent_1]], 1, 0)</f>
        <v>0</v>
      </c>
      <c r="I1038">
        <f>IF(Table1[[#This Row],[my_ent_2]]=Table1[[#This Row],[their_ent_2]], 1, 0)</f>
        <v>0</v>
      </c>
      <c r="J1038">
        <f>IF(Table1[[#This Row],[same_1]]=1 &amp; Table1[[#This Row],[same_2]]=1, 1, 0)</f>
        <v>0</v>
      </c>
      <c r="K1038">
        <f>IF(ISNUMBER(SEARCH(Table1[[#This Row],[their_ent_1]],Table1[[#This Row],[my_ent_1]])), 1, 0)</f>
        <v>0</v>
      </c>
      <c r="L1038">
        <f>IF(ISNUMBER(SEARCH(Table1[[#This Row],[their_ent_2]],Table1[[#This Row],[my_ent_2]])), 1, 0)</f>
        <v>0</v>
      </c>
    </row>
    <row r="1039" spans="1:12" x14ac:dyDescent="0.3">
      <c r="A1039" t="s">
        <v>3093</v>
      </c>
      <c r="B1039" t="s">
        <v>3094</v>
      </c>
      <c r="C1039" t="s">
        <v>3094</v>
      </c>
      <c r="D1039" t="s">
        <v>3095</v>
      </c>
      <c r="E1039" t="s">
        <v>3096</v>
      </c>
      <c r="F1039">
        <v>3</v>
      </c>
      <c r="G1039">
        <v>1037</v>
      </c>
      <c r="H1039">
        <f>IF(Table1[[#This Row],[my_ent_1]]=Table1[[#This Row],[their_ent_1]], 1, 0)</f>
        <v>1</v>
      </c>
      <c r="I1039">
        <f>IF(Table1[[#This Row],[my_ent_2]]=Table1[[#This Row],[their_ent_2]], 1, 0)</f>
        <v>0</v>
      </c>
      <c r="J1039">
        <f>IF(Table1[[#This Row],[same_1]]=1 &amp; Table1[[#This Row],[same_2]]=1, 1, 0)</f>
        <v>0</v>
      </c>
      <c r="K1039">
        <f>IF(ISNUMBER(SEARCH(Table1[[#This Row],[their_ent_1]],Table1[[#This Row],[my_ent_1]])), 1, 0)</f>
        <v>1</v>
      </c>
      <c r="L1039">
        <f>IF(ISNUMBER(SEARCH(Table1[[#This Row],[their_ent_2]],Table1[[#This Row],[my_ent_2]])), 1, 0)</f>
        <v>1</v>
      </c>
    </row>
    <row r="1040" spans="1:12" hidden="1" x14ac:dyDescent="0.3">
      <c r="A1040" t="s">
        <v>3097</v>
      </c>
      <c r="B1040" t="s">
        <v>3098</v>
      </c>
      <c r="C1040" t="s">
        <v>599</v>
      </c>
      <c r="D1040" t="s">
        <v>599</v>
      </c>
      <c r="E1040" t="s">
        <v>3099</v>
      </c>
      <c r="F1040">
        <v>1</v>
      </c>
      <c r="G1040">
        <v>1038</v>
      </c>
      <c r="H1040">
        <f>IF(Table1[[#This Row],[my_ent_1]]=Table1[[#This Row],[their_ent_1]], 1, 0)</f>
        <v>0</v>
      </c>
      <c r="I1040">
        <f>IF(Table1[[#This Row],[my_ent_2]]=Table1[[#This Row],[their_ent_2]], 1, 0)</f>
        <v>0</v>
      </c>
      <c r="J1040">
        <f>IF(Table1[[#This Row],[same_1]]=1 &amp; Table1[[#This Row],[same_2]]=1, 1, 0)</f>
        <v>0</v>
      </c>
      <c r="K1040">
        <f>IF(ISNUMBER(SEARCH(Table1[[#This Row],[their_ent_1]],Table1[[#This Row],[my_ent_1]])), 1, 0)</f>
        <v>0</v>
      </c>
      <c r="L1040">
        <f>IF(ISNUMBER(SEARCH(Table1[[#This Row],[their_ent_2]],Table1[[#This Row],[my_ent_2]])), 1, 0)</f>
        <v>0</v>
      </c>
    </row>
    <row r="1041" spans="1:12" hidden="1" x14ac:dyDescent="0.3">
      <c r="A1041" t="s">
        <v>3100</v>
      </c>
      <c r="B1041" t="s">
        <v>3101</v>
      </c>
      <c r="C1041" t="s">
        <v>3102</v>
      </c>
      <c r="D1041" t="s">
        <v>94</v>
      </c>
      <c r="E1041" t="s">
        <v>94</v>
      </c>
      <c r="F1041">
        <v>1</v>
      </c>
      <c r="G1041">
        <v>1039</v>
      </c>
      <c r="H1041">
        <f>IF(Table1[[#This Row],[my_ent_1]]=Table1[[#This Row],[their_ent_1]], 1, 0)</f>
        <v>0</v>
      </c>
      <c r="I1041">
        <f>IF(Table1[[#This Row],[my_ent_2]]=Table1[[#This Row],[their_ent_2]], 1, 0)</f>
        <v>1</v>
      </c>
      <c r="J1041">
        <f>IF(Table1[[#This Row],[same_1]]=1 &amp; Table1[[#This Row],[same_2]]=1, 1, 0)</f>
        <v>0</v>
      </c>
      <c r="K1041">
        <f>IF(ISNUMBER(SEARCH(Table1[[#This Row],[their_ent_1]],Table1[[#This Row],[my_ent_1]])), 1, 0)</f>
        <v>0</v>
      </c>
      <c r="L1041">
        <f>IF(ISNUMBER(SEARCH(Table1[[#This Row],[their_ent_2]],Table1[[#This Row],[my_ent_2]])), 1, 0)</f>
        <v>1</v>
      </c>
    </row>
    <row r="1042" spans="1:12" hidden="1" x14ac:dyDescent="0.3">
      <c r="A1042" t="s">
        <v>3103</v>
      </c>
      <c r="B1042" t="s">
        <v>263</v>
      </c>
      <c r="C1042" t="s">
        <v>138</v>
      </c>
      <c r="D1042" t="s">
        <v>3104</v>
      </c>
      <c r="E1042" t="s">
        <v>3104</v>
      </c>
      <c r="F1042">
        <v>2</v>
      </c>
      <c r="G1042">
        <v>1040</v>
      </c>
      <c r="H1042">
        <f>IF(Table1[[#This Row],[my_ent_1]]=Table1[[#This Row],[their_ent_1]], 1, 0)</f>
        <v>0</v>
      </c>
      <c r="I1042">
        <f>IF(Table1[[#This Row],[my_ent_2]]=Table1[[#This Row],[their_ent_2]], 1, 0)</f>
        <v>1</v>
      </c>
      <c r="J1042">
        <f>IF(Table1[[#This Row],[same_1]]=1 &amp; Table1[[#This Row],[same_2]]=1, 1, 0)</f>
        <v>0</v>
      </c>
      <c r="K1042">
        <f>IF(ISNUMBER(SEARCH(Table1[[#This Row],[their_ent_1]],Table1[[#This Row],[my_ent_1]])), 1, 0)</f>
        <v>0</v>
      </c>
      <c r="L1042">
        <f>IF(ISNUMBER(SEARCH(Table1[[#This Row],[their_ent_2]],Table1[[#This Row],[my_ent_2]])), 1, 0)</f>
        <v>1</v>
      </c>
    </row>
    <row r="1043" spans="1:12" hidden="1" x14ac:dyDescent="0.3">
      <c r="A1043" t="s">
        <v>3105</v>
      </c>
      <c r="B1043" t="s">
        <v>294</v>
      </c>
      <c r="C1043" t="s">
        <v>294</v>
      </c>
      <c r="D1043" t="s">
        <v>3106</v>
      </c>
      <c r="E1043" t="s">
        <v>297</v>
      </c>
      <c r="F1043">
        <v>2</v>
      </c>
      <c r="G1043">
        <v>1041</v>
      </c>
      <c r="H1043">
        <f>IF(Table1[[#This Row],[my_ent_1]]=Table1[[#This Row],[their_ent_1]], 1, 0)</f>
        <v>1</v>
      </c>
      <c r="I1043">
        <f>IF(Table1[[#This Row],[my_ent_2]]=Table1[[#This Row],[their_ent_2]], 1, 0)</f>
        <v>0</v>
      </c>
      <c r="J1043">
        <f>IF(Table1[[#This Row],[same_1]]=1 &amp; Table1[[#This Row],[same_2]]=1, 1, 0)</f>
        <v>0</v>
      </c>
      <c r="K1043">
        <f>IF(ISNUMBER(SEARCH(Table1[[#This Row],[their_ent_1]],Table1[[#This Row],[my_ent_1]])), 1, 0)</f>
        <v>1</v>
      </c>
      <c r="L1043">
        <f>IF(ISNUMBER(SEARCH(Table1[[#This Row],[their_ent_2]],Table1[[#This Row],[my_ent_2]])), 1, 0)</f>
        <v>0</v>
      </c>
    </row>
    <row r="1044" spans="1:12" hidden="1" x14ac:dyDescent="0.3">
      <c r="A1044" t="s">
        <v>3107</v>
      </c>
      <c r="B1044" t="s">
        <v>3108</v>
      </c>
      <c r="C1044" t="s">
        <v>3109</v>
      </c>
      <c r="D1044" t="s">
        <v>1847</v>
      </c>
      <c r="E1044" t="s">
        <v>3110</v>
      </c>
      <c r="F1044">
        <v>1</v>
      </c>
      <c r="G1044">
        <v>1042</v>
      </c>
      <c r="H1044">
        <f>IF(Table1[[#This Row],[my_ent_1]]=Table1[[#This Row],[their_ent_1]], 1, 0)</f>
        <v>0</v>
      </c>
      <c r="I1044">
        <f>IF(Table1[[#This Row],[my_ent_2]]=Table1[[#This Row],[their_ent_2]], 1, 0)</f>
        <v>0</v>
      </c>
      <c r="J1044">
        <f>IF(Table1[[#This Row],[same_1]]=1 &amp; Table1[[#This Row],[same_2]]=1, 1, 0)</f>
        <v>0</v>
      </c>
      <c r="K1044">
        <f>IF(ISNUMBER(SEARCH(Table1[[#This Row],[their_ent_1]],Table1[[#This Row],[my_ent_1]])), 1, 0)</f>
        <v>0</v>
      </c>
      <c r="L1044">
        <f>IF(ISNUMBER(SEARCH(Table1[[#This Row],[their_ent_2]],Table1[[#This Row],[my_ent_2]])), 1, 0)</f>
        <v>0</v>
      </c>
    </row>
    <row r="1045" spans="1:12" x14ac:dyDescent="0.3">
      <c r="A1045" t="s">
        <v>3111</v>
      </c>
      <c r="B1045" t="s">
        <v>3112</v>
      </c>
      <c r="C1045" t="s">
        <v>3113</v>
      </c>
      <c r="D1045" t="s">
        <v>3114</v>
      </c>
      <c r="E1045" t="s">
        <v>3114</v>
      </c>
      <c r="F1045">
        <v>1</v>
      </c>
      <c r="G1045">
        <v>1043</v>
      </c>
      <c r="H1045">
        <f>IF(Table1[[#This Row],[my_ent_1]]=Table1[[#This Row],[their_ent_1]], 1, 0)</f>
        <v>0</v>
      </c>
      <c r="I1045">
        <f>IF(Table1[[#This Row],[my_ent_2]]=Table1[[#This Row],[their_ent_2]], 1, 0)</f>
        <v>1</v>
      </c>
      <c r="J1045">
        <f>IF(Table1[[#This Row],[same_1]]=1 &amp; Table1[[#This Row],[same_2]]=1, 1, 0)</f>
        <v>0</v>
      </c>
      <c r="K1045">
        <f>IF(ISNUMBER(SEARCH(Table1[[#This Row],[their_ent_1]],Table1[[#This Row],[my_ent_1]])), 1, 0)</f>
        <v>1</v>
      </c>
      <c r="L1045">
        <f>IF(ISNUMBER(SEARCH(Table1[[#This Row],[their_ent_2]],Table1[[#This Row],[my_ent_2]])), 1, 0)</f>
        <v>1</v>
      </c>
    </row>
    <row r="1046" spans="1:12" hidden="1" x14ac:dyDescent="0.3">
      <c r="A1046" t="s">
        <v>3115</v>
      </c>
      <c r="B1046" t="s">
        <v>3116</v>
      </c>
      <c r="C1046" t="s">
        <v>3117</v>
      </c>
      <c r="D1046" t="s">
        <v>3118</v>
      </c>
      <c r="E1046" t="s">
        <v>3119</v>
      </c>
      <c r="F1046">
        <v>4</v>
      </c>
      <c r="G1046">
        <v>1044</v>
      </c>
      <c r="H1046">
        <f>IF(Table1[[#This Row],[my_ent_1]]=Table1[[#This Row],[their_ent_1]], 1, 0)</f>
        <v>0</v>
      </c>
      <c r="I1046">
        <f>IF(Table1[[#This Row],[my_ent_2]]=Table1[[#This Row],[their_ent_2]], 1, 0)</f>
        <v>0</v>
      </c>
      <c r="J1046">
        <f>IF(Table1[[#This Row],[same_1]]=1 &amp; Table1[[#This Row],[same_2]]=1, 1, 0)</f>
        <v>0</v>
      </c>
      <c r="K1046">
        <f>IF(ISNUMBER(SEARCH(Table1[[#This Row],[their_ent_1]],Table1[[#This Row],[my_ent_1]])), 1, 0)</f>
        <v>0</v>
      </c>
      <c r="L1046">
        <f>IF(ISNUMBER(SEARCH(Table1[[#This Row],[their_ent_2]],Table1[[#This Row],[my_ent_2]])), 1, 0)</f>
        <v>1</v>
      </c>
    </row>
    <row r="1047" spans="1:12" hidden="1" x14ac:dyDescent="0.3">
      <c r="A1047" t="s">
        <v>3120</v>
      </c>
      <c r="B1047" t="s">
        <v>3121</v>
      </c>
      <c r="C1047" t="s">
        <v>1018</v>
      </c>
      <c r="D1047" t="s">
        <v>3122</v>
      </c>
      <c r="E1047" t="s">
        <v>3123</v>
      </c>
      <c r="F1047">
        <v>3</v>
      </c>
      <c r="G1047">
        <v>1045</v>
      </c>
      <c r="H1047">
        <f>IF(Table1[[#This Row],[my_ent_1]]=Table1[[#This Row],[their_ent_1]], 1, 0)</f>
        <v>0</v>
      </c>
      <c r="I1047">
        <f>IF(Table1[[#This Row],[my_ent_2]]=Table1[[#This Row],[their_ent_2]], 1, 0)</f>
        <v>0</v>
      </c>
      <c r="J1047">
        <f>IF(Table1[[#This Row],[same_1]]=1 &amp; Table1[[#This Row],[same_2]]=1, 1, 0)</f>
        <v>0</v>
      </c>
      <c r="K1047">
        <f>IF(ISNUMBER(SEARCH(Table1[[#This Row],[their_ent_1]],Table1[[#This Row],[my_ent_1]])), 1, 0)</f>
        <v>0</v>
      </c>
      <c r="L1047">
        <f>IF(ISNUMBER(SEARCH(Table1[[#This Row],[their_ent_2]],Table1[[#This Row],[my_ent_2]])), 1, 0)</f>
        <v>0</v>
      </c>
    </row>
    <row r="1048" spans="1:12" x14ac:dyDescent="0.3">
      <c r="A1048" t="s">
        <v>3124</v>
      </c>
      <c r="B1048" t="s">
        <v>525</v>
      </c>
      <c r="C1048" t="s">
        <v>525</v>
      </c>
      <c r="D1048" t="s">
        <v>137</v>
      </c>
      <c r="E1048" t="s">
        <v>138</v>
      </c>
      <c r="F1048">
        <v>4</v>
      </c>
      <c r="G1048">
        <v>1046</v>
      </c>
      <c r="H1048">
        <f>IF(Table1[[#This Row],[my_ent_1]]=Table1[[#This Row],[their_ent_1]], 1, 0)</f>
        <v>1</v>
      </c>
      <c r="I1048">
        <f>IF(Table1[[#This Row],[my_ent_2]]=Table1[[#This Row],[their_ent_2]], 1, 0)</f>
        <v>0</v>
      </c>
      <c r="J1048">
        <f>IF(Table1[[#This Row],[same_1]]=1 &amp; Table1[[#This Row],[same_2]]=1, 1, 0)</f>
        <v>0</v>
      </c>
      <c r="K1048">
        <f>IF(ISNUMBER(SEARCH(Table1[[#This Row],[their_ent_1]],Table1[[#This Row],[my_ent_1]])), 1, 0)</f>
        <v>1</v>
      </c>
      <c r="L1048">
        <f>IF(ISNUMBER(SEARCH(Table1[[#This Row],[their_ent_2]],Table1[[#This Row],[my_ent_2]])), 1, 0)</f>
        <v>1</v>
      </c>
    </row>
    <row r="1049" spans="1:12" hidden="1" x14ac:dyDescent="0.3">
      <c r="A1049" t="s">
        <v>3125</v>
      </c>
      <c r="B1049" t="s">
        <v>3126</v>
      </c>
      <c r="C1049" t="s">
        <v>3127</v>
      </c>
      <c r="D1049" t="s">
        <v>263</v>
      </c>
      <c r="E1049" t="s">
        <v>3126</v>
      </c>
      <c r="F1049">
        <v>2</v>
      </c>
      <c r="G1049">
        <v>1047</v>
      </c>
      <c r="H1049">
        <f>IF(Table1[[#This Row],[my_ent_1]]=Table1[[#This Row],[their_ent_1]], 1, 0)</f>
        <v>0</v>
      </c>
      <c r="I1049">
        <f>IF(Table1[[#This Row],[my_ent_2]]=Table1[[#This Row],[their_ent_2]], 1, 0)</f>
        <v>0</v>
      </c>
      <c r="J1049">
        <f>IF(Table1[[#This Row],[same_1]]=1 &amp; Table1[[#This Row],[same_2]]=1, 1, 0)</f>
        <v>0</v>
      </c>
      <c r="K1049">
        <f>IF(ISNUMBER(SEARCH(Table1[[#This Row],[their_ent_1]],Table1[[#This Row],[my_ent_1]])), 1, 0)</f>
        <v>0</v>
      </c>
      <c r="L1049">
        <f>IF(ISNUMBER(SEARCH(Table1[[#This Row],[their_ent_2]],Table1[[#This Row],[my_ent_2]])), 1, 0)</f>
        <v>0</v>
      </c>
    </row>
    <row r="1050" spans="1:12" hidden="1" x14ac:dyDescent="0.3">
      <c r="A1050" t="s">
        <v>3128</v>
      </c>
      <c r="B1050" t="s">
        <v>499</v>
      </c>
      <c r="C1050" t="s">
        <v>1223</v>
      </c>
      <c r="D1050" t="s">
        <v>3129</v>
      </c>
      <c r="E1050" t="s">
        <v>296</v>
      </c>
      <c r="F1050">
        <v>1</v>
      </c>
      <c r="G1050">
        <v>1048</v>
      </c>
      <c r="H1050">
        <f>IF(Table1[[#This Row],[my_ent_1]]=Table1[[#This Row],[their_ent_1]], 1, 0)</f>
        <v>0</v>
      </c>
      <c r="I1050">
        <f>IF(Table1[[#This Row],[my_ent_2]]=Table1[[#This Row],[their_ent_2]], 1, 0)</f>
        <v>0</v>
      </c>
      <c r="J1050">
        <f>IF(Table1[[#This Row],[same_1]]=1 &amp; Table1[[#This Row],[same_2]]=1, 1, 0)</f>
        <v>0</v>
      </c>
      <c r="K1050">
        <f>IF(ISNUMBER(SEARCH(Table1[[#This Row],[their_ent_1]],Table1[[#This Row],[my_ent_1]])), 1, 0)</f>
        <v>0</v>
      </c>
      <c r="L1050">
        <f>IF(ISNUMBER(SEARCH(Table1[[#This Row],[their_ent_2]],Table1[[#This Row],[my_ent_2]])), 1, 0)</f>
        <v>0</v>
      </c>
    </row>
    <row r="1051" spans="1:12" x14ac:dyDescent="0.3">
      <c r="A1051" t="s">
        <v>3130</v>
      </c>
      <c r="B1051" t="s">
        <v>3131</v>
      </c>
      <c r="C1051" t="s">
        <v>3132</v>
      </c>
      <c r="D1051" t="s">
        <v>480</v>
      </c>
      <c r="E1051" t="s">
        <v>480</v>
      </c>
      <c r="F1051">
        <v>3</v>
      </c>
      <c r="G1051">
        <v>1049</v>
      </c>
      <c r="H1051">
        <f>IF(Table1[[#This Row],[my_ent_1]]=Table1[[#This Row],[their_ent_1]], 1, 0)</f>
        <v>0</v>
      </c>
      <c r="I1051">
        <f>IF(Table1[[#This Row],[my_ent_2]]=Table1[[#This Row],[their_ent_2]], 1, 0)</f>
        <v>1</v>
      </c>
      <c r="J1051">
        <f>IF(Table1[[#This Row],[same_1]]=1 &amp; Table1[[#This Row],[same_2]]=1, 1, 0)</f>
        <v>0</v>
      </c>
      <c r="K1051">
        <f>IF(ISNUMBER(SEARCH(Table1[[#This Row],[their_ent_1]],Table1[[#This Row],[my_ent_1]])), 1, 0)</f>
        <v>1</v>
      </c>
      <c r="L1051">
        <f>IF(ISNUMBER(SEARCH(Table1[[#This Row],[their_ent_2]],Table1[[#This Row],[my_ent_2]])), 1, 0)</f>
        <v>1</v>
      </c>
    </row>
    <row r="1052" spans="1:12" hidden="1" x14ac:dyDescent="0.3">
      <c r="A1052" t="s">
        <v>3133</v>
      </c>
      <c r="B1052" t="s">
        <v>3134</v>
      </c>
      <c r="C1052" t="s">
        <v>196</v>
      </c>
      <c r="D1052" t="s">
        <v>3135</v>
      </c>
      <c r="E1052" t="s">
        <v>3136</v>
      </c>
      <c r="F1052">
        <v>3</v>
      </c>
      <c r="G1052">
        <v>1050</v>
      </c>
      <c r="H1052">
        <f>IF(Table1[[#This Row],[my_ent_1]]=Table1[[#This Row],[their_ent_1]], 1, 0)</f>
        <v>0</v>
      </c>
      <c r="I1052">
        <f>IF(Table1[[#This Row],[my_ent_2]]=Table1[[#This Row],[their_ent_2]], 1, 0)</f>
        <v>0</v>
      </c>
      <c r="J1052">
        <f>IF(Table1[[#This Row],[same_1]]=1 &amp; Table1[[#This Row],[same_2]]=1, 1, 0)</f>
        <v>0</v>
      </c>
      <c r="K1052">
        <f>IF(ISNUMBER(SEARCH(Table1[[#This Row],[their_ent_1]],Table1[[#This Row],[my_ent_1]])), 1, 0)</f>
        <v>0</v>
      </c>
      <c r="L1052">
        <f>IF(ISNUMBER(SEARCH(Table1[[#This Row],[their_ent_2]],Table1[[#This Row],[my_ent_2]])), 1, 0)</f>
        <v>0</v>
      </c>
    </row>
    <row r="1053" spans="1:12" hidden="1" x14ac:dyDescent="0.3">
      <c r="A1053" t="s">
        <v>3137</v>
      </c>
      <c r="B1053" t="s">
        <v>3138</v>
      </c>
      <c r="C1053" t="s">
        <v>3139</v>
      </c>
      <c r="D1053" t="s">
        <v>3140</v>
      </c>
      <c r="E1053" t="s">
        <v>3141</v>
      </c>
      <c r="F1053">
        <v>1</v>
      </c>
      <c r="G1053">
        <v>1051</v>
      </c>
      <c r="H1053">
        <f>IF(Table1[[#This Row],[my_ent_1]]=Table1[[#This Row],[their_ent_1]], 1, 0)</f>
        <v>0</v>
      </c>
      <c r="I1053">
        <f>IF(Table1[[#This Row],[my_ent_2]]=Table1[[#This Row],[their_ent_2]], 1, 0)</f>
        <v>0</v>
      </c>
      <c r="J1053">
        <f>IF(Table1[[#This Row],[same_1]]=1 &amp; Table1[[#This Row],[same_2]]=1, 1, 0)</f>
        <v>0</v>
      </c>
      <c r="K1053">
        <f>IF(ISNUMBER(SEARCH(Table1[[#This Row],[their_ent_1]],Table1[[#This Row],[my_ent_1]])), 1, 0)</f>
        <v>0</v>
      </c>
      <c r="L1053">
        <f>IF(ISNUMBER(SEARCH(Table1[[#This Row],[their_ent_2]],Table1[[#This Row],[my_ent_2]])), 1, 0)</f>
        <v>0</v>
      </c>
    </row>
    <row r="1054" spans="1:12" hidden="1" x14ac:dyDescent="0.3">
      <c r="A1054" t="s">
        <v>3142</v>
      </c>
      <c r="B1054" t="s">
        <v>3143</v>
      </c>
      <c r="C1054" t="s">
        <v>3143</v>
      </c>
      <c r="D1054" t="s">
        <v>3144</v>
      </c>
      <c r="E1054" t="s">
        <v>3145</v>
      </c>
      <c r="F1054">
        <v>1</v>
      </c>
      <c r="G1054">
        <v>1052</v>
      </c>
      <c r="H1054">
        <f>IF(Table1[[#This Row],[my_ent_1]]=Table1[[#This Row],[their_ent_1]], 1, 0)</f>
        <v>1</v>
      </c>
      <c r="I1054">
        <f>IF(Table1[[#This Row],[my_ent_2]]=Table1[[#This Row],[their_ent_2]], 1, 0)</f>
        <v>0</v>
      </c>
      <c r="J1054">
        <f>IF(Table1[[#This Row],[same_1]]=1 &amp; Table1[[#This Row],[same_2]]=1, 1, 0)</f>
        <v>0</v>
      </c>
      <c r="K1054">
        <f>IF(ISNUMBER(SEARCH(Table1[[#This Row],[their_ent_1]],Table1[[#This Row],[my_ent_1]])), 1, 0)</f>
        <v>1</v>
      </c>
      <c r="L1054">
        <f>IF(ISNUMBER(SEARCH(Table1[[#This Row],[their_ent_2]],Table1[[#This Row],[my_ent_2]])), 1, 0)</f>
        <v>0</v>
      </c>
    </row>
    <row r="1055" spans="1:12" hidden="1" x14ac:dyDescent="0.3">
      <c r="A1055" t="s">
        <v>3146</v>
      </c>
      <c r="B1055" t="s">
        <v>3147</v>
      </c>
      <c r="C1055" t="s">
        <v>1468</v>
      </c>
      <c r="D1055" t="s">
        <v>3148</v>
      </c>
      <c r="E1055" t="s">
        <v>3148</v>
      </c>
      <c r="F1055">
        <v>3</v>
      </c>
      <c r="G1055">
        <v>1053</v>
      </c>
      <c r="H1055">
        <f>IF(Table1[[#This Row],[my_ent_1]]=Table1[[#This Row],[their_ent_1]], 1, 0)</f>
        <v>0</v>
      </c>
      <c r="I1055">
        <f>IF(Table1[[#This Row],[my_ent_2]]=Table1[[#This Row],[their_ent_2]], 1, 0)</f>
        <v>1</v>
      </c>
      <c r="J1055">
        <f>IF(Table1[[#This Row],[same_1]]=1 &amp; Table1[[#This Row],[same_2]]=1, 1, 0)</f>
        <v>0</v>
      </c>
      <c r="K1055">
        <f>IF(ISNUMBER(SEARCH(Table1[[#This Row],[their_ent_1]],Table1[[#This Row],[my_ent_1]])), 1, 0)</f>
        <v>0</v>
      </c>
      <c r="L1055">
        <f>IF(ISNUMBER(SEARCH(Table1[[#This Row],[their_ent_2]],Table1[[#This Row],[my_ent_2]])), 1, 0)</f>
        <v>1</v>
      </c>
    </row>
    <row r="1056" spans="1:12" hidden="1" x14ac:dyDescent="0.3">
      <c r="A1056" t="s">
        <v>3149</v>
      </c>
      <c r="B1056" t="s">
        <v>3150</v>
      </c>
      <c r="C1056" t="s">
        <v>2489</v>
      </c>
      <c r="D1056" t="s">
        <v>3151</v>
      </c>
      <c r="E1056" t="s">
        <v>3152</v>
      </c>
      <c r="F1056">
        <v>3</v>
      </c>
      <c r="G1056">
        <v>1054</v>
      </c>
      <c r="H1056">
        <f>IF(Table1[[#This Row],[my_ent_1]]=Table1[[#This Row],[their_ent_1]], 1, 0)</f>
        <v>0</v>
      </c>
      <c r="I1056">
        <f>IF(Table1[[#This Row],[my_ent_2]]=Table1[[#This Row],[their_ent_2]], 1, 0)</f>
        <v>0</v>
      </c>
      <c r="J1056">
        <f>IF(Table1[[#This Row],[same_1]]=1 &amp; Table1[[#This Row],[same_2]]=1, 1, 0)</f>
        <v>0</v>
      </c>
      <c r="K1056">
        <f>IF(ISNUMBER(SEARCH(Table1[[#This Row],[their_ent_1]],Table1[[#This Row],[my_ent_1]])), 1, 0)</f>
        <v>0</v>
      </c>
      <c r="L1056">
        <f>IF(ISNUMBER(SEARCH(Table1[[#This Row],[their_ent_2]],Table1[[#This Row],[my_ent_2]])), 1, 0)</f>
        <v>0</v>
      </c>
    </row>
    <row r="1057" spans="1:12" hidden="1" x14ac:dyDescent="0.3">
      <c r="A1057" t="s">
        <v>3153</v>
      </c>
      <c r="B1057" t="s">
        <v>3154</v>
      </c>
      <c r="C1057" t="s">
        <v>3154</v>
      </c>
      <c r="D1057" t="s">
        <v>51</v>
      </c>
      <c r="E1057" t="s">
        <v>3155</v>
      </c>
      <c r="F1057">
        <v>4</v>
      </c>
      <c r="G1057">
        <v>1055</v>
      </c>
      <c r="H1057">
        <f>IF(Table1[[#This Row],[my_ent_1]]=Table1[[#This Row],[their_ent_1]], 1, 0)</f>
        <v>1</v>
      </c>
      <c r="I1057">
        <f>IF(Table1[[#This Row],[my_ent_2]]=Table1[[#This Row],[their_ent_2]], 1, 0)</f>
        <v>0</v>
      </c>
      <c r="J1057">
        <f>IF(Table1[[#This Row],[same_1]]=1 &amp; Table1[[#This Row],[same_2]]=1, 1, 0)</f>
        <v>0</v>
      </c>
      <c r="K1057">
        <f>IF(ISNUMBER(SEARCH(Table1[[#This Row],[their_ent_1]],Table1[[#This Row],[my_ent_1]])), 1, 0)</f>
        <v>1</v>
      </c>
      <c r="L1057">
        <f>IF(ISNUMBER(SEARCH(Table1[[#This Row],[their_ent_2]],Table1[[#This Row],[my_ent_2]])), 1, 0)</f>
        <v>0</v>
      </c>
    </row>
    <row r="1058" spans="1:12" hidden="1" x14ac:dyDescent="0.3">
      <c r="A1058" t="s">
        <v>3156</v>
      </c>
      <c r="B1058" t="s">
        <v>708</v>
      </c>
      <c r="C1058" t="s">
        <v>708</v>
      </c>
      <c r="D1058" t="s">
        <v>7</v>
      </c>
      <c r="E1058" t="s">
        <v>1481</v>
      </c>
      <c r="F1058">
        <v>3</v>
      </c>
      <c r="G1058">
        <v>1056</v>
      </c>
      <c r="H1058">
        <f>IF(Table1[[#This Row],[my_ent_1]]=Table1[[#This Row],[their_ent_1]], 1, 0)</f>
        <v>1</v>
      </c>
      <c r="I1058">
        <f>IF(Table1[[#This Row],[my_ent_2]]=Table1[[#This Row],[their_ent_2]], 1, 0)</f>
        <v>0</v>
      </c>
      <c r="J1058">
        <f>IF(Table1[[#This Row],[same_1]]=1 &amp; Table1[[#This Row],[same_2]]=1, 1, 0)</f>
        <v>0</v>
      </c>
      <c r="K1058">
        <f>IF(ISNUMBER(SEARCH(Table1[[#This Row],[their_ent_1]],Table1[[#This Row],[my_ent_1]])), 1, 0)</f>
        <v>1</v>
      </c>
      <c r="L1058">
        <f>IF(ISNUMBER(SEARCH(Table1[[#This Row],[their_ent_2]],Table1[[#This Row],[my_ent_2]])), 1, 0)</f>
        <v>0</v>
      </c>
    </row>
    <row r="1059" spans="1:12" x14ac:dyDescent="0.3">
      <c r="A1059" t="s">
        <v>3157</v>
      </c>
      <c r="B1059" t="s">
        <v>708</v>
      </c>
      <c r="C1059" t="s">
        <v>708</v>
      </c>
      <c r="D1059" t="s">
        <v>235</v>
      </c>
      <c r="E1059" t="s">
        <v>236</v>
      </c>
      <c r="F1059">
        <v>3</v>
      </c>
      <c r="G1059">
        <v>1057</v>
      </c>
      <c r="H1059">
        <f>IF(Table1[[#This Row],[my_ent_1]]=Table1[[#This Row],[their_ent_1]], 1, 0)</f>
        <v>1</v>
      </c>
      <c r="I1059">
        <f>IF(Table1[[#This Row],[my_ent_2]]=Table1[[#This Row],[their_ent_2]], 1, 0)</f>
        <v>0</v>
      </c>
      <c r="J1059">
        <f>IF(Table1[[#This Row],[same_1]]=1 &amp; Table1[[#This Row],[same_2]]=1, 1, 0)</f>
        <v>0</v>
      </c>
      <c r="K1059">
        <f>IF(ISNUMBER(SEARCH(Table1[[#This Row],[their_ent_1]],Table1[[#This Row],[my_ent_1]])), 1, 0)</f>
        <v>1</v>
      </c>
      <c r="L1059">
        <f>IF(ISNUMBER(SEARCH(Table1[[#This Row],[their_ent_2]],Table1[[#This Row],[my_ent_2]])), 1, 0)</f>
        <v>1</v>
      </c>
    </row>
    <row r="1060" spans="1:12" x14ac:dyDescent="0.3">
      <c r="A1060" t="s">
        <v>3158</v>
      </c>
      <c r="B1060" t="s">
        <v>3159</v>
      </c>
      <c r="C1060" t="s">
        <v>1500</v>
      </c>
      <c r="D1060" t="s">
        <v>2497</v>
      </c>
      <c r="E1060" t="s">
        <v>2497</v>
      </c>
      <c r="F1060">
        <v>3</v>
      </c>
      <c r="G1060">
        <v>1058</v>
      </c>
      <c r="H1060">
        <f>IF(Table1[[#This Row],[my_ent_1]]=Table1[[#This Row],[their_ent_1]], 1, 0)</f>
        <v>0</v>
      </c>
      <c r="I1060">
        <f>IF(Table1[[#This Row],[my_ent_2]]=Table1[[#This Row],[their_ent_2]], 1, 0)</f>
        <v>1</v>
      </c>
      <c r="J1060">
        <f>IF(Table1[[#This Row],[same_1]]=1 &amp; Table1[[#This Row],[same_2]]=1, 1, 0)</f>
        <v>0</v>
      </c>
      <c r="K1060">
        <f>IF(ISNUMBER(SEARCH(Table1[[#This Row],[their_ent_1]],Table1[[#This Row],[my_ent_1]])), 1, 0)</f>
        <v>1</v>
      </c>
      <c r="L1060">
        <f>IF(ISNUMBER(SEARCH(Table1[[#This Row],[their_ent_2]],Table1[[#This Row],[my_ent_2]])), 1, 0)</f>
        <v>1</v>
      </c>
    </row>
    <row r="1061" spans="1:12" hidden="1" x14ac:dyDescent="0.3">
      <c r="A1061" t="s">
        <v>3160</v>
      </c>
      <c r="B1061" t="s">
        <v>3161</v>
      </c>
      <c r="C1061" t="s">
        <v>3162</v>
      </c>
      <c r="D1061" t="s">
        <v>3162</v>
      </c>
      <c r="E1061" t="s">
        <v>3163</v>
      </c>
      <c r="F1061">
        <v>3</v>
      </c>
      <c r="G1061">
        <v>1059</v>
      </c>
      <c r="H1061">
        <f>IF(Table1[[#This Row],[my_ent_1]]=Table1[[#This Row],[their_ent_1]], 1, 0)</f>
        <v>0</v>
      </c>
      <c r="I1061">
        <f>IF(Table1[[#This Row],[my_ent_2]]=Table1[[#This Row],[their_ent_2]], 1, 0)</f>
        <v>0</v>
      </c>
      <c r="J1061">
        <f>IF(Table1[[#This Row],[same_1]]=1 &amp; Table1[[#This Row],[same_2]]=1, 1, 0)</f>
        <v>0</v>
      </c>
      <c r="K1061">
        <f>IF(ISNUMBER(SEARCH(Table1[[#This Row],[their_ent_1]],Table1[[#This Row],[my_ent_1]])), 1, 0)</f>
        <v>0</v>
      </c>
      <c r="L1061">
        <f>IF(ISNUMBER(SEARCH(Table1[[#This Row],[their_ent_2]],Table1[[#This Row],[my_ent_2]])), 1, 0)</f>
        <v>0</v>
      </c>
    </row>
    <row r="1062" spans="1:12" hidden="1" x14ac:dyDescent="0.3">
      <c r="A1062" t="s">
        <v>3164</v>
      </c>
      <c r="B1062" t="s">
        <v>3165</v>
      </c>
      <c r="C1062" t="s">
        <v>3166</v>
      </c>
      <c r="D1062" t="s">
        <v>3167</v>
      </c>
      <c r="E1062" t="s">
        <v>3168</v>
      </c>
      <c r="F1062">
        <v>4</v>
      </c>
      <c r="G1062">
        <v>1060</v>
      </c>
      <c r="H1062">
        <f>IF(Table1[[#This Row],[my_ent_1]]=Table1[[#This Row],[their_ent_1]], 1, 0)</f>
        <v>0</v>
      </c>
      <c r="I1062">
        <f>IF(Table1[[#This Row],[my_ent_2]]=Table1[[#This Row],[their_ent_2]], 1, 0)</f>
        <v>0</v>
      </c>
      <c r="J1062">
        <f>IF(Table1[[#This Row],[same_1]]=1 &amp; Table1[[#This Row],[same_2]]=1, 1, 0)</f>
        <v>0</v>
      </c>
      <c r="K1062">
        <f>IF(ISNUMBER(SEARCH(Table1[[#This Row],[their_ent_1]],Table1[[#This Row],[my_ent_1]])), 1, 0)</f>
        <v>0</v>
      </c>
      <c r="L1062">
        <f>IF(ISNUMBER(SEARCH(Table1[[#This Row],[their_ent_2]],Table1[[#This Row],[my_ent_2]])), 1, 0)</f>
        <v>0</v>
      </c>
    </row>
    <row r="1063" spans="1:12" hidden="1" x14ac:dyDescent="0.3">
      <c r="A1063" t="s">
        <v>3169</v>
      </c>
      <c r="B1063" t="s">
        <v>3170</v>
      </c>
      <c r="C1063" t="s">
        <v>3171</v>
      </c>
      <c r="D1063" t="s">
        <v>3172</v>
      </c>
      <c r="E1063" t="s">
        <v>3173</v>
      </c>
      <c r="F1063">
        <v>2</v>
      </c>
      <c r="G1063">
        <v>1061</v>
      </c>
      <c r="H1063">
        <f>IF(Table1[[#This Row],[my_ent_1]]=Table1[[#This Row],[their_ent_1]], 1, 0)</f>
        <v>0</v>
      </c>
      <c r="I1063">
        <f>IF(Table1[[#This Row],[my_ent_2]]=Table1[[#This Row],[their_ent_2]], 1, 0)</f>
        <v>0</v>
      </c>
      <c r="J1063">
        <f>IF(Table1[[#This Row],[same_1]]=1 &amp; Table1[[#This Row],[same_2]]=1, 1, 0)</f>
        <v>0</v>
      </c>
      <c r="K1063">
        <f>IF(ISNUMBER(SEARCH(Table1[[#This Row],[their_ent_1]],Table1[[#This Row],[my_ent_1]])), 1, 0)</f>
        <v>0</v>
      </c>
      <c r="L1063">
        <f>IF(ISNUMBER(SEARCH(Table1[[#This Row],[their_ent_2]],Table1[[#This Row],[my_ent_2]])), 1, 0)</f>
        <v>0</v>
      </c>
    </row>
    <row r="1064" spans="1:12" hidden="1" x14ac:dyDescent="0.3">
      <c r="A1064" t="s">
        <v>3174</v>
      </c>
      <c r="B1064" t="s">
        <v>432</v>
      </c>
      <c r="C1064" t="s">
        <v>432</v>
      </c>
      <c r="D1064" t="s">
        <v>49</v>
      </c>
      <c r="E1064" t="s">
        <v>3175</v>
      </c>
      <c r="F1064">
        <v>1</v>
      </c>
      <c r="G1064">
        <v>1062</v>
      </c>
      <c r="H1064">
        <f>IF(Table1[[#This Row],[my_ent_1]]=Table1[[#This Row],[their_ent_1]], 1, 0)</f>
        <v>1</v>
      </c>
      <c r="I1064">
        <f>IF(Table1[[#This Row],[my_ent_2]]=Table1[[#This Row],[their_ent_2]], 1, 0)</f>
        <v>0</v>
      </c>
      <c r="J1064">
        <f>IF(Table1[[#This Row],[same_1]]=1 &amp; Table1[[#This Row],[same_2]]=1, 1, 0)</f>
        <v>0</v>
      </c>
      <c r="K1064">
        <f>IF(ISNUMBER(SEARCH(Table1[[#This Row],[their_ent_1]],Table1[[#This Row],[my_ent_1]])), 1, 0)</f>
        <v>1</v>
      </c>
      <c r="L1064">
        <f>IF(ISNUMBER(SEARCH(Table1[[#This Row],[their_ent_2]],Table1[[#This Row],[my_ent_2]])), 1, 0)</f>
        <v>0</v>
      </c>
    </row>
    <row r="1065" spans="1:12" x14ac:dyDescent="0.3">
      <c r="A1065" t="s">
        <v>3176</v>
      </c>
      <c r="B1065" t="s">
        <v>7</v>
      </c>
      <c r="C1065" t="s">
        <v>7</v>
      </c>
      <c r="D1065" t="s">
        <v>77</v>
      </c>
      <c r="E1065" t="s">
        <v>354</v>
      </c>
      <c r="F1065">
        <v>3</v>
      </c>
      <c r="G1065">
        <v>1063</v>
      </c>
      <c r="H1065">
        <f>IF(Table1[[#This Row],[my_ent_1]]=Table1[[#This Row],[their_ent_1]], 1, 0)</f>
        <v>1</v>
      </c>
      <c r="I1065">
        <f>IF(Table1[[#This Row],[my_ent_2]]=Table1[[#This Row],[their_ent_2]], 1, 0)</f>
        <v>0</v>
      </c>
      <c r="J1065">
        <f>IF(Table1[[#This Row],[same_1]]=1 &amp; Table1[[#This Row],[same_2]]=1, 1, 0)</f>
        <v>0</v>
      </c>
      <c r="K1065">
        <f>IF(ISNUMBER(SEARCH(Table1[[#This Row],[their_ent_1]],Table1[[#This Row],[my_ent_1]])), 1, 0)</f>
        <v>1</v>
      </c>
      <c r="L1065">
        <f>IF(ISNUMBER(SEARCH(Table1[[#This Row],[their_ent_2]],Table1[[#This Row],[my_ent_2]])), 1, 0)</f>
        <v>1</v>
      </c>
    </row>
    <row r="1066" spans="1:12" hidden="1" x14ac:dyDescent="0.3">
      <c r="A1066" t="s">
        <v>2717</v>
      </c>
      <c r="B1066" t="s">
        <v>845</v>
      </c>
      <c r="C1066" t="s">
        <v>1007</v>
      </c>
      <c r="D1066" t="s">
        <v>920</v>
      </c>
      <c r="E1066" t="s">
        <v>1219</v>
      </c>
      <c r="F1066">
        <v>3</v>
      </c>
      <c r="G1066">
        <v>1064</v>
      </c>
      <c r="H1066">
        <f>IF(Table1[[#This Row],[my_ent_1]]=Table1[[#This Row],[their_ent_1]], 1, 0)</f>
        <v>0</v>
      </c>
      <c r="I1066">
        <f>IF(Table1[[#This Row],[my_ent_2]]=Table1[[#This Row],[their_ent_2]], 1, 0)</f>
        <v>0</v>
      </c>
      <c r="J1066">
        <f>IF(Table1[[#This Row],[same_1]]=1 &amp; Table1[[#This Row],[same_2]]=1, 1, 0)</f>
        <v>0</v>
      </c>
      <c r="K1066">
        <f>IF(ISNUMBER(SEARCH(Table1[[#This Row],[their_ent_1]],Table1[[#This Row],[my_ent_1]])), 1, 0)</f>
        <v>0</v>
      </c>
      <c r="L1066">
        <f>IF(ISNUMBER(SEARCH(Table1[[#This Row],[their_ent_2]],Table1[[#This Row],[my_ent_2]])), 1, 0)</f>
        <v>1</v>
      </c>
    </row>
    <row r="1067" spans="1:12" x14ac:dyDescent="0.3">
      <c r="A1067" t="s">
        <v>3177</v>
      </c>
      <c r="B1067" t="s">
        <v>3178</v>
      </c>
      <c r="C1067" t="s">
        <v>3179</v>
      </c>
      <c r="D1067" t="s">
        <v>3180</v>
      </c>
      <c r="E1067" t="s">
        <v>3180</v>
      </c>
      <c r="F1067">
        <v>1</v>
      </c>
      <c r="G1067">
        <v>1065</v>
      </c>
      <c r="H1067">
        <f>IF(Table1[[#This Row],[my_ent_1]]=Table1[[#This Row],[their_ent_1]], 1, 0)</f>
        <v>0</v>
      </c>
      <c r="I1067">
        <f>IF(Table1[[#This Row],[my_ent_2]]=Table1[[#This Row],[their_ent_2]], 1, 0)</f>
        <v>1</v>
      </c>
      <c r="J1067">
        <f>IF(Table1[[#This Row],[same_1]]=1 &amp; Table1[[#This Row],[same_2]]=1, 1, 0)</f>
        <v>0</v>
      </c>
      <c r="K1067">
        <f>IF(ISNUMBER(SEARCH(Table1[[#This Row],[their_ent_1]],Table1[[#This Row],[my_ent_1]])), 1, 0)</f>
        <v>1</v>
      </c>
      <c r="L1067">
        <f>IF(ISNUMBER(SEARCH(Table1[[#This Row],[their_ent_2]],Table1[[#This Row],[my_ent_2]])), 1, 0)</f>
        <v>1</v>
      </c>
    </row>
    <row r="1068" spans="1:12" hidden="1" x14ac:dyDescent="0.3">
      <c r="A1068" t="s">
        <v>3181</v>
      </c>
      <c r="B1068" t="s">
        <v>3182</v>
      </c>
      <c r="C1068" t="s">
        <v>3183</v>
      </c>
      <c r="D1068" t="s">
        <v>3183</v>
      </c>
      <c r="E1068" t="s">
        <v>324</v>
      </c>
      <c r="F1068">
        <v>1</v>
      </c>
      <c r="G1068">
        <v>1066</v>
      </c>
      <c r="H1068">
        <f>IF(Table1[[#This Row],[my_ent_1]]=Table1[[#This Row],[their_ent_1]], 1, 0)</f>
        <v>0</v>
      </c>
      <c r="I1068">
        <f>IF(Table1[[#This Row],[my_ent_2]]=Table1[[#This Row],[their_ent_2]], 1, 0)</f>
        <v>0</v>
      </c>
      <c r="J1068">
        <f>IF(Table1[[#This Row],[same_1]]=1 &amp; Table1[[#This Row],[same_2]]=1, 1, 0)</f>
        <v>0</v>
      </c>
      <c r="K1068">
        <f>IF(ISNUMBER(SEARCH(Table1[[#This Row],[their_ent_1]],Table1[[#This Row],[my_ent_1]])), 1, 0)</f>
        <v>1</v>
      </c>
      <c r="L1068">
        <f>IF(ISNUMBER(SEARCH(Table1[[#This Row],[their_ent_2]],Table1[[#This Row],[my_ent_2]])), 1, 0)</f>
        <v>0</v>
      </c>
    </row>
    <row r="1069" spans="1:12" hidden="1" x14ac:dyDescent="0.3">
      <c r="A1069" t="s">
        <v>3184</v>
      </c>
      <c r="B1069" t="s">
        <v>7</v>
      </c>
      <c r="C1069" t="s">
        <v>7</v>
      </c>
      <c r="D1069" t="s">
        <v>106</v>
      </c>
      <c r="E1069" t="s">
        <v>1405</v>
      </c>
      <c r="F1069">
        <v>3</v>
      </c>
      <c r="G1069">
        <v>1067</v>
      </c>
      <c r="H1069">
        <f>IF(Table1[[#This Row],[my_ent_1]]=Table1[[#This Row],[their_ent_1]], 1, 0)</f>
        <v>1</v>
      </c>
      <c r="I1069">
        <f>IF(Table1[[#This Row],[my_ent_2]]=Table1[[#This Row],[their_ent_2]], 1, 0)</f>
        <v>0</v>
      </c>
      <c r="J1069">
        <f>IF(Table1[[#This Row],[same_1]]=1 &amp; Table1[[#This Row],[same_2]]=1, 1, 0)</f>
        <v>0</v>
      </c>
      <c r="K1069">
        <f>IF(ISNUMBER(SEARCH(Table1[[#This Row],[their_ent_1]],Table1[[#This Row],[my_ent_1]])), 1, 0)</f>
        <v>1</v>
      </c>
      <c r="L1069">
        <f>IF(ISNUMBER(SEARCH(Table1[[#This Row],[their_ent_2]],Table1[[#This Row],[my_ent_2]])), 1, 0)</f>
        <v>0</v>
      </c>
    </row>
    <row r="1070" spans="1:12" x14ac:dyDescent="0.3">
      <c r="A1070" t="s">
        <v>3185</v>
      </c>
      <c r="B1070" t="s">
        <v>3186</v>
      </c>
      <c r="C1070" t="s">
        <v>3186</v>
      </c>
      <c r="D1070" t="s">
        <v>3187</v>
      </c>
      <c r="E1070" t="s">
        <v>3188</v>
      </c>
      <c r="F1070">
        <v>3</v>
      </c>
      <c r="G1070">
        <v>1068</v>
      </c>
      <c r="H1070">
        <f>IF(Table1[[#This Row],[my_ent_1]]=Table1[[#This Row],[their_ent_1]], 1, 0)</f>
        <v>1</v>
      </c>
      <c r="I1070">
        <f>IF(Table1[[#This Row],[my_ent_2]]=Table1[[#This Row],[their_ent_2]], 1, 0)</f>
        <v>0</v>
      </c>
      <c r="J1070">
        <f>IF(Table1[[#This Row],[same_1]]=1 &amp; Table1[[#This Row],[same_2]]=1, 1, 0)</f>
        <v>0</v>
      </c>
      <c r="K1070">
        <f>IF(ISNUMBER(SEARCH(Table1[[#This Row],[their_ent_1]],Table1[[#This Row],[my_ent_1]])), 1, 0)</f>
        <v>1</v>
      </c>
      <c r="L1070">
        <f>IF(ISNUMBER(SEARCH(Table1[[#This Row],[their_ent_2]],Table1[[#This Row],[my_ent_2]])), 1, 0)</f>
        <v>1</v>
      </c>
    </row>
    <row r="1071" spans="1:12" hidden="1" x14ac:dyDescent="0.3">
      <c r="A1071" t="s">
        <v>3189</v>
      </c>
      <c r="B1071" t="s">
        <v>3190</v>
      </c>
      <c r="C1071" t="s">
        <v>3191</v>
      </c>
      <c r="D1071" t="s">
        <v>54</v>
      </c>
      <c r="E1071" t="s">
        <v>3192</v>
      </c>
      <c r="F1071">
        <v>1</v>
      </c>
      <c r="G1071">
        <v>1069</v>
      </c>
      <c r="H1071">
        <f>IF(Table1[[#This Row],[my_ent_1]]=Table1[[#This Row],[their_ent_1]], 1, 0)</f>
        <v>0</v>
      </c>
      <c r="I1071">
        <f>IF(Table1[[#This Row],[my_ent_2]]=Table1[[#This Row],[their_ent_2]], 1, 0)</f>
        <v>0</v>
      </c>
      <c r="J1071">
        <f>IF(Table1[[#This Row],[same_1]]=1 &amp; Table1[[#This Row],[same_2]]=1, 1, 0)</f>
        <v>0</v>
      </c>
      <c r="K1071">
        <f>IF(ISNUMBER(SEARCH(Table1[[#This Row],[their_ent_1]],Table1[[#This Row],[my_ent_1]])), 1, 0)</f>
        <v>1</v>
      </c>
      <c r="L1071">
        <f>IF(ISNUMBER(SEARCH(Table1[[#This Row],[their_ent_2]],Table1[[#This Row],[my_ent_2]])), 1, 0)</f>
        <v>0</v>
      </c>
    </row>
    <row r="1072" spans="1:12" hidden="1" x14ac:dyDescent="0.3">
      <c r="A1072" t="s">
        <v>3193</v>
      </c>
      <c r="B1072" t="e">
        <f>-Mogg</f>
        <v>#NAME?</v>
      </c>
      <c r="C1072" t="s">
        <v>3194</v>
      </c>
      <c r="D1072" t="s">
        <v>3195</v>
      </c>
      <c r="E1072" t="s">
        <v>3196</v>
      </c>
      <c r="F1072">
        <v>1</v>
      </c>
      <c r="G1072">
        <v>1070</v>
      </c>
      <c r="H1072" t="e">
        <f>IF(Table1[[#This Row],[my_ent_1]]=Table1[[#This Row],[their_ent_1]], 1, 0)</f>
        <v>#NAME?</v>
      </c>
      <c r="I1072">
        <f>IF(Table1[[#This Row],[my_ent_2]]=Table1[[#This Row],[their_ent_2]], 1, 0)</f>
        <v>0</v>
      </c>
      <c r="J1072" t="e">
        <f>IF(Table1[[#This Row],[same_1]]=1 &amp; Table1[[#This Row],[same_2]]=1, 1, 0)</f>
        <v>#NAME?</v>
      </c>
      <c r="K1072">
        <f>IF(ISNUMBER(SEARCH(Table1[[#This Row],[their_ent_1]],Table1[[#This Row],[my_ent_1]])), 1, 0)</f>
        <v>0</v>
      </c>
      <c r="L1072">
        <f>IF(ISNUMBER(SEARCH(Table1[[#This Row],[their_ent_2]],Table1[[#This Row],[my_ent_2]])), 1, 0)</f>
        <v>0</v>
      </c>
    </row>
    <row r="1073" spans="1:12" x14ac:dyDescent="0.3">
      <c r="A1073" t="s">
        <v>3197</v>
      </c>
      <c r="B1073" t="s">
        <v>3198</v>
      </c>
      <c r="C1073" t="s">
        <v>3198</v>
      </c>
      <c r="D1073" t="s">
        <v>3199</v>
      </c>
      <c r="E1073" t="s">
        <v>3200</v>
      </c>
      <c r="F1073">
        <v>1</v>
      </c>
      <c r="G1073">
        <v>1071</v>
      </c>
      <c r="H1073">
        <f>IF(Table1[[#This Row],[my_ent_1]]=Table1[[#This Row],[their_ent_1]], 1, 0)</f>
        <v>1</v>
      </c>
      <c r="I1073">
        <f>IF(Table1[[#This Row],[my_ent_2]]=Table1[[#This Row],[their_ent_2]], 1, 0)</f>
        <v>0</v>
      </c>
      <c r="J1073">
        <f>IF(Table1[[#This Row],[same_1]]=1 &amp; Table1[[#This Row],[same_2]]=1, 1, 0)</f>
        <v>0</v>
      </c>
      <c r="K1073">
        <f>IF(ISNUMBER(SEARCH(Table1[[#This Row],[their_ent_1]],Table1[[#This Row],[my_ent_1]])), 1, 0)</f>
        <v>1</v>
      </c>
      <c r="L1073">
        <f>IF(ISNUMBER(SEARCH(Table1[[#This Row],[their_ent_2]],Table1[[#This Row],[my_ent_2]])), 1, 0)</f>
        <v>1</v>
      </c>
    </row>
    <row r="1074" spans="1:12" hidden="1" x14ac:dyDescent="0.3">
      <c r="A1074" t="s">
        <v>3201</v>
      </c>
      <c r="B1074" t="s">
        <v>2713</v>
      </c>
      <c r="C1074" t="s">
        <v>2714</v>
      </c>
      <c r="D1074" t="s">
        <v>1252</v>
      </c>
      <c r="E1074" t="s">
        <v>905</v>
      </c>
      <c r="F1074">
        <v>3</v>
      </c>
      <c r="G1074">
        <v>1072</v>
      </c>
      <c r="H1074">
        <f>IF(Table1[[#This Row],[my_ent_1]]=Table1[[#This Row],[their_ent_1]], 1, 0)</f>
        <v>0</v>
      </c>
      <c r="I1074">
        <f>IF(Table1[[#This Row],[my_ent_2]]=Table1[[#This Row],[their_ent_2]], 1, 0)</f>
        <v>0</v>
      </c>
      <c r="J1074">
        <f>IF(Table1[[#This Row],[same_1]]=1 &amp; Table1[[#This Row],[same_2]]=1, 1, 0)</f>
        <v>0</v>
      </c>
      <c r="K1074">
        <f>IF(ISNUMBER(SEARCH(Table1[[#This Row],[their_ent_1]],Table1[[#This Row],[my_ent_1]])), 1, 0)</f>
        <v>1</v>
      </c>
      <c r="L1074">
        <f>IF(ISNUMBER(SEARCH(Table1[[#This Row],[their_ent_2]],Table1[[#This Row],[my_ent_2]])), 1, 0)</f>
        <v>0</v>
      </c>
    </row>
    <row r="1075" spans="1:12" hidden="1" x14ac:dyDescent="0.3">
      <c r="A1075" t="s">
        <v>3202</v>
      </c>
      <c r="B1075" t="s">
        <v>2369</v>
      </c>
      <c r="C1075" t="s">
        <v>2369</v>
      </c>
      <c r="D1075" t="s">
        <v>2369</v>
      </c>
      <c r="E1075" t="s">
        <v>3203</v>
      </c>
      <c r="F1075">
        <v>4</v>
      </c>
      <c r="G1075">
        <v>1073</v>
      </c>
      <c r="H1075">
        <f>IF(Table1[[#This Row],[my_ent_1]]=Table1[[#This Row],[their_ent_1]], 1, 0)</f>
        <v>1</v>
      </c>
      <c r="I1075">
        <f>IF(Table1[[#This Row],[my_ent_2]]=Table1[[#This Row],[their_ent_2]], 1, 0)</f>
        <v>0</v>
      </c>
      <c r="J1075">
        <f>IF(Table1[[#This Row],[same_1]]=1 &amp; Table1[[#This Row],[same_2]]=1, 1, 0)</f>
        <v>0</v>
      </c>
      <c r="K1075">
        <f>IF(ISNUMBER(SEARCH(Table1[[#This Row],[their_ent_1]],Table1[[#This Row],[my_ent_1]])), 1, 0)</f>
        <v>1</v>
      </c>
      <c r="L1075">
        <f>IF(ISNUMBER(SEARCH(Table1[[#This Row],[their_ent_2]],Table1[[#This Row],[my_ent_2]])), 1, 0)</f>
        <v>0</v>
      </c>
    </row>
    <row r="1076" spans="1:12" hidden="1" x14ac:dyDescent="0.3">
      <c r="A1076" t="s">
        <v>2723</v>
      </c>
      <c r="B1076" t="s">
        <v>58</v>
      </c>
      <c r="C1076" t="s">
        <v>58</v>
      </c>
      <c r="D1076" t="s">
        <v>106</v>
      </c>
      <c r="E1076" t="s">
        <v>1884</v>
      </c>
      <c r="F1076">
        <v>3</v>
      </c>
      <c r="G1076">
        <v>1074</v>
      </c>
      <c r="H1076">
        <f>IF(Table1[[#This Row],[my_ent_1]]=Table1[[#This Row],[their_ent_1]], 1, 0)</f>
        <v>1</v>
      </c>
      <c r="I1076">
        <f>IF(Table1[[#This Row],[my_ent_2]]=Table1[[#This Row],[their_ent_2]], 1, 0)</f>
        <v>0</v>
      </c>
      <c r="J1076">
        <f>IF(Table1[[#This Row],[same_1]]=1 &amp; Table1[[#This Row],[same_2]]=1, 1, 0)</f>
        <v>0</v>
      </c>
      <c r="K1076">
        <f>IF(ISNUMBER(SEARCH(Table1[[#This Row],[their_ent_1]],Table1[[#This Row],[my_ent_1]])), 1, 0)</f>
        <v>1</v>
      </c>
      <c r="L1076">
        <f>IF(ISNUMBER(SEARCH(Table1[[#This Row],[their_ent_2]],Table1[[#This Row],[my_ent_2]])), 1, 0)</f>
        <v>0</v>
      </c>
    </row>
    <row r="1077" spans="1:12" x14ac:dyDescent="0.3">
      <c r="A1077" t="s">
        <v>3204</v>
      </c>
      <c r="B1077" t="s">
        <v>3205</v>
      </c>
      <c r="C1077" t="s">
        <v>3206</v>
      </c>
      <c r="D1077" t="s">
        <v>3207</v>
      </c>
      <c r="E1077" t="s">
        <v>3207</v>
      </c>
      <c r="F1077">
        <v>3</v>
      </c>
      <c r="G1077">
        <v>1075</v>
      </c>
      <c r="H1077">
        <f>IF(Table1[[#This Row],[my_ent_1]]=Table1[[#This Row],[their_ent_1]], 1, 0)</f>
        <v>0</v>
      </c>
      <c r="I1077">
        <f>IF(Table1[[#This Row],[my_ent_2]]=Table1[[#This Row],[their_ent_2]], 1, 0)</f>
        <v>1</v>
      </c>
      <c r="J1077">
        <f>IF(Table1[[#This Row],[same_1]]=1 &amp; Table1[[#This Row],[same_2]]=1, 1, 0)</f>
        <v>0</v>
      </c>
      <c r="K1077">
        <f>IF(ISNUMBER(SEARCH(Table1[[#This Row],[their_ent_1]],Table1[[#This Row],[my_ent_1]])), 1, 0)</f>
        <v>1</v>
      </c>
      <c r="L1077">
        <f>IF(ISNUMBER(SEARCH(Table1[[#This Row],[their_ent_2]],Table1[[#This Row],[my_ent_2]])), 1, 0)</f>
        <v>1</v>
      </c>
    </row>
    <row r="1078" spans="1:12" hidden="1" x14ac:dyDescent="0.3">
      <c r="A1078" t="s">
        <v>3208</v>
      </c>
      <c r="B1078" t="s">
        <v>961</v>
      </c>
      <c r="C1078" t="s">
        <v>961</v>
      </c>
      <c r="D1078" t="s">
        <v>1660</v>
      </c>
      <c r="E1078" t="s">
        <v>3209</v>
      </c>
      <c r="F1078">
        <v>2</v>
      </c>
      <c r="G1078">
        <v>1076</v>
      </c>
      <c r="H1078">
        <f>IF(Table1[[#This Row],[my_ent_1]]=Table1[[#This Row],[their_ent_1]], 1, 0)</f>
        <v>1</v>
      </c>
      <c r="I1078">
        <f>IF(Table1[[#This Row],[my_ent_2]]=Table1[[#This Row],[their_ent_2]], 1, 0)</f>
        <v>0</v>
      </c>
      <c r="J1078">
        <f>IF(Table1[[#This Row],[same_1]]=1 &amp; Table1[[#This Row],[same_2]]=1, 1, 0)</f>
        <v>0</v>
      </c>
      <c r="K1078">
        <f>IF(ISNUMBER(SEARCH(Table1[[#This Row],[their_ent_1]],Table1[[#This Row],[my_ent_1]])), 1, 0)</f>
        <v>1</v>
      </c>
      <c r="L1078">
        <f>IF(ISNUMBER(SEARCH(Table1[[#This Row],[their_ent_2]],Table1[[#This Row],[my_ent_2]])), 1, 0)</f>
        <v>0</v>
      </c>
    </row>
    <row r="1079" spans="1:12" hidden="1" x14ac:dyDescent="0.3">
      <c r="A1079" t="s">
        <v>3210</v>
      </c>
      <c r="B1079" t="s">
        <v>972</v>
      </c>
      <c r="C1079" t="s">
        <v>3211</v>
      </c>
      <c r="D1079" t="s">
        <v>3212</v>
      </c>
      <c r="E1079" t="s">
        <v>3213</v>
      </c>
      <c r="F1079">
        <v>1</v>
      </c>
      <c r="G1079">
        <v>1077</v>
      </c>
      <c r="H1079">
        <f>IF(Table1[[#This Row],[my_ent_1]]=Table1[[#This Row],[their_ent_1]], 1, 0)</f>
        <v>0</v>
      </c>
      <c r="I1079">
        <f>IF(Table1[[#This Row],[my_ent_2]]=Table1[[#This Row],[their_ent_2]], 1, 0)</f>
        <v>0</v>
      </c>
      <c r="J1079">
        <f>IF(Table1[[#This Row],[same_1]]=1 &amp; Table1[[#This Row],[same_2]]=1, 1, 0)</f>
        <v>0</v>
      </c>
      <c r="K1079">
        <f>IF(ISNUMBER(SEARCH(Table1[[#This Row],[their_ent_1]],Table1[[#This Row],[my_ent_1]])), 1, 0)</f>
        <v>0</v>
      </c>
      <c r="L1079">
        <f>IF(ISNUMBER(SEARCH(Table1[[#This Row],[their_ent_2]],Table1[[#This Row],[my_ent_2]])), 1, 0)</f>
        <v>0</v>
      </c>
    </row>
    <row r="1080" spans="1:12" hidden="1" x14ac:dyDescent="0.3">
      <c r="A1080" t="s">
        <v>3214</v>
      </c>
      <c r="B1080" t="s">
        <v>3215</v>
      </c>
      <c r="C1080" t="s">
        <v>3215</v>
      </c>
      <c r="D1080" t="s">
        <v>1046</v>
      </c>
      <c r="E1080" t="s">
        <v>3216</v>
      </c>
      <c r="F1080">
        <v>1</v>
      </c>
      <c r="G1080">
        <v>1078</v>
      </c>
      <c r="H1080">
        <f>IF(Table1[[#This Row],[my_ent_1]]=Table1[[#This Row],[their_ent_1]], 1, 0)</f>
        <v>1</v>
      </c>
      <c r="I1080">
        <f>IF(Table1[[#This Row],[my_ent_2]]=Table1[[#This Row],[their_ent_2]], 1, 0)</f>
        <v>0</v>
      </c>
      <c r="J1080">
        <f>IF(Table1[[#This Row],[same_1]]=1 &amp; Table1[[#This Row],[same_2]]=1, 1, 0)</f>
        <v>0</v>
      </c>
      <c r="K1080">
        <f>IF(ISNUMBER(SEARCH(Table1[[#This Row],[their_ent_1]],Table1[[#This Row],[my_ent_1]])), 1, 0)</f>
        <v>1</v>
      </c>
      <c r="L1080">
        <f>IF(ISNUMBER(SEARCH(Table1[[#This Row],[their_ent_2]],Table1[[#This Row],[my_ent_2]])), 1, 0)</f>
        <v>0</v>
      </c>
    </row>
    <row r="1081" spans="1:12" hidden="1" x14ac:dyDescent="0.3">
      <c r="A1081" t="s">
        <v>3217</v>
      </c>
      <c r="B1081" t="s">
        <v>3218</v>
      </c>
      <c r="C1081" t="s">
        <v>3219</v>
      </c>
      <c r="D1081" t="s">
        <v>3220</v>
      </c>
      <c r="E1081" t="s">
        <v>7</v>
      </c>
      <c r="F1081">
        <v>1</v>
      </c>
      <c r="G1081">
        <v>1079</v>
      </c>
      <c r="H1081">
        <f>IF(Table1[[#This Row],[my_ent_1]]=Table1[[#This Row],[their_ent_1]], 1, 0)</f>
        <v>0</v>
      </c>
      <c r="I1081">
        <f>IF(Table1[[#This Row],[my_ent_2]]=Table1[[#This Row],[their_ent_2]], 1, 0)</f>
        <v>0</v>
      </c>
      <c r="J1081">
        <f>IF(Table1[[#This Row],[same_1]]=1 &amp; Table1[[#This Row],[same_2]]=1, 1, 0)</f>
        <v>0</v>
      </c>
      <c r="K1081">
        <f>IF(ISNUMBER(SEARCH(Table1[[#This Row],[their_ent_1]],Table1[[#This Row],[my_ent_1]])), 1, 0)</f>
        <v>0</v>
      </c>
      <c r="L1081">
        <f>IF(ISNUMBER(SEARCH(Table1[[#This Row],[their_ent_2]],Table1[[#This Row],[my_ent_2]])), 1, 0)</f>
        <v>0</v>
      </c>
    </row>
    <row r="1082" spans="1:12" hidden="1" x14ac:dyDescent="0.3">
      <c r="A1082" t="s">
        <v>3221</v>
      </c>
      <c r="B1082" t="s">
        <v>3222</v>
      </c>
      <c r="C1082" t="s">
        <v>3223</v>
      </c>
      <c r="D1082" t="s">
        <v>1304</v>
      </c>
      <c r="E1082" t="s">
        <v>1304</v>
      </c>
      <c r="F1082">
        <v>3</v>
      </c>
      <c r="G1082">
        <v>1080</v>
      </c>
      <c r="H1082">
        <f>IF(Table1[[#This Row],[my_ent_1]]=Table1[[#This Row],[their_ent_1]], 1, 0)</f>
        <v>0</v>
      </c>
      <c r="I1082">
        <f>IF(Table1[[#This Row],[my_ent_2]]=Table1[[#This Row],[their_ent_2]], 1, 0)</f>
        <v>1</v>
      </c>
      <c r="J1082">
        <f>IF(Table1[[#This Row],[same_1]]=1 &amp; Table1[[#This Row],[same_2]]=1, 1, 0)</f>
        <v>0</v>
      </c>
      <c r="K1082">
        <f>IF(ISNUMBER(SEARCH(Table1[[#This Row],[their_ent_1]],Table1[[#This Row],[my_ent_1]])), 1, 0)</f>
        <v>0</v>
      </c>
      <c r="L1082">
        <f>IF(ISNUMBER(SEARCH(Table1[[#This Row],[their_ent_2]],Table1[[#This Row],[my_ent_2]])), 1, 0)</f>
        <v>1</v>
      </c>
    </row>
    <row r="1083" spans="1:12" hidden="1" x14ac:dyDescent="0.3">
      <c r="A1083" t="s">
        <v>3224</v>
      </c>
      <c r="B1083" t="s">
        <v>3225</v>
      </c>
      <c r="C1083" t="s">
        <v>3226</v>
      </c>
      <c r="D1083" t="s">
        <v>3227</v>
      </c>
      <c r="E1083" t="s">
        <v>3228</v>
      </c>
      <c r="F1083">
        <v>1</v>
      </c>
      <c r="G1083">
        <v>1081</v>
      </c>
      <c r="H1083">
        <f>IF(Table1[[#This Row],[my_ent_1]]=Table1[[#This Row],[their_ent_1]], 1, 0)</f>
        <v>0</v>
      </c>
      <c r="I1083">
        <f>IF(Table1[[#This Row],[my_ent_2]]=Table1[[#This Row],[their_ent_2]], 1, 0)</f>
        <v>0</v>
      </c>
      <c r="J1083">
        <f>IF(Table1[[#This Row],[same_1]]=1 &amp; Table1[[#This Row],[same_2]]=1, 1, 0)</f>
        <v>0</v>
      </c>
      <c r="K1083">
        <f>IF(ISNUMBER(SEARCH(Table1[[#This Row],[their_ent_1]],Table1[[#This Row],[my_ent_1]])), 1, 0)</f>
        <v>0</v>
      </c>
      <c r="L1083">
        <f>IF(ISNUMBER(SEARCH(Table1[[#This Row],[their_ent_2]],Table1[[#This Row],[my_ent_2]])), 1, 0)</f>
        <v>0</v>
      </c>
    </row>
    <row r="1084" spans="1:12" hidden="1" x14ac:dyDescent="0.3">
      <c r="A1084" t="s">
        <v>3229</v>
      </c>
      <c r="B1084" t="s">
        <v>2707</v>
      </c>
      <c r="C1084" t="s">
        <v>681</v>
      </c>
      <c r="D1084" t="s">
        <v>681</v>
      </c>
      <c r="E1084" t="s">
        <v>3230</v>
      </c>
      <c r="F1084">
        <v>1</v>
      </c>
      <c r="G1084">
        <v>1082</v>
      </c>
      <c r="H1084">
        <f>IF(Table1[[#This Row],[my_ent_1]]=Table1[[#This Row],[their_ent_1]], 1, 0)</f>
        <v>0</v>
      </c>
      <c r="I1084">
        <f>IF(Table1[[#This Row],[my_ent_2]]=Table1[[#This Row],[their_ent_2]], 1, 0)</f>
        <v>0</v>
      </c>
      <c r="J1084">
        <f>IF(Table1[[#This Row],[same_1]]=1 &amp; Table1[[#This Row],[same_2]]=1, 1, 0)</f>
        <v>0</v>
      </c>
      <c r="K1084">
        <f>IF(ISNUMBER(SEARCH(Table1[[#This Row],[their_ent_1]],Table1[[#This Row],[my_ent_1]])), 1, 0)</f>
        <v>0</v>
      </c>
      <c r="L1084">
        <f>IF(ISNUMBER(SEARCH(Table1[[#This Row],[their_ent_2]],Table1[[#This Row],[my_ent_2]])), 1, 0)</f>
        <v>0</v>
      </c>
    </row>
    <row r="1085" spans="1:12" hidden="1" x14ac:dyDescent="0.3">
      <c r="A1085" t="s">
        <v>2600</v>
      </c>
      <c r="B1085" t="s">
        <v>2601</v>
      </c>
      <c r="C1085" t="s">
        <v>2602</v>
      </c>
      <c r="D1085" t="s">
        <v>138</v>
      </c>
      <c r="E1085" t="s">
        <v>2601</v>
      </c>
      <c r="F1085">
        <v>1</v>
      </c>
      <c r="G1085">
        <v>1083</v>
      </c>
      <c r="H1085">
        <f>IF(Table1[[#This Row],[my_ent_1]]=Table1[[#This Row],[their_ent_1]], 1, 0)</f>
        <v>0</v>
      </c>
      <c r="I1085">
        <f>IF(Table1[[#This Row],[my_ent_2]]=Table1[[#This Row],[their_ent_2]], 1, 0)</f>
        <v>0</v>
      </c>
      <c r="J1085">
        <f>IF(Table1[[#This Row],[same_1]]=1 &amp; Table1[[#This Row],[same_2]]=1, 1, 0)</f>
        <v>0</v>
      </c>
      <c r="K1085">
        <f>IF(ISNUMBER(SEARCH(Table1[[#This Row],[their_ent_1]],Table1[[#This Row],[my_ent_1]])), 1, 0)</f>
        <v>0</v>
      </c>
      <c r="L1085">
        <f>IF(ISNUMBER(SEARCH(Table1[[#This Row],[their_ent_2]],Table1[[#This Row],[my_ent_2]])), 1, 0)</f>
        <v>0</v>
      </c>
    </row>
    <row r="1086" spans="1:12" hidden="1" x14ac:dyDescent="0.3">
      <c r="A1086" t="s">
        <v>3231</v>
      </c>
      <c r="B1086" t="s">
        <v>3232</v>
      </c>
      <c r="C1086" t="s">
        <v>3233</v>
      </c>
      <c r="D1086" t="s">
        <v>3234</v>
      </c>
      <c r="E1086" t="s">
        <v>3235</v>
      </c>
      <c r="F1086">
        <v>1</v>
      </c>
      <c r="G1086">
        <v>1084</v>
      </c>
      <c r="H1086">
        <f>IF(Table1[[#This Row],[my_ent_1]]=Table1[[#This Row],[their_ent_1]], 1, 0)</f>
        <v>0</v>
      </c>
      <c r="I1086">
        <f>IF(Table1[[#This Row],[my_ent_2]]=Table1[[#This Row],[their_ent_2]], 1, 0)</f>
        <v>0</v>
      </c>
      <c r="J1086">
        <f>IF(Table1[[#This Row],[same_1]]=1 &amp; Table1[[#This Row],[same_2]]=1, 1, 0)</f>
        <v>0</v>
      </c>
      <c r="K1086">
        <f>IF(ISNUMBER(SEARCH(Table1[[#This Row],[their_ent_1]],Table1[[#This Row],[my_ent_1]])), 1, 0)</f>
        <v>0</v>
      </c>
      <c r="L1086">
        <f>IF(ISNUMBER(SEARCH(Table1[[#This Row],[their_ent_2]],Table1[[#This Row],[my_ent_2]])), 1, 0)</f>
        <v>0</v>
      </c>
    </row>
    <row r="1087" spans="1:12" hidden="1" x14ac:dyDescent="0.3">
      <c r="A1087" t="s">
        <v>3236</v>
      </c>
      <c r="B1087" t="s">
        <v>3237</v>
      </c>
      <c r="C1087" t="s">
        <v>3237</v>
      </c>
      <c r="D1087" t="s">
        <v>3238</v>
      </c>
      <c r="E1087" t="s">
        <v>525</v>
      </c>
      <c r="F1087">
        <v>1</v>
      </c>
      <c r="G1087">
        <v>1085</v>
      </c>
      <c r="H1087">
        <f>IF(Table1[[#This Row],[my_ent_1]]=Table1[[#This Row],[their_ent_1]], 1, 0)</f>
        <v>1</v>
      </c>
      <c r="I1087">
        <f>IF(Table1[[#This Row],[my_ent_2]]=Table1[[#This Row],[their_ent_2]], 1, 0)</f>
        <v>0</v>
      </c>
      <c r="J1087">
        <f>IF(Table1[[#This Row],[same_1]]=1 &amp; Table1[[#This Row],[same_2]]=1, 1, 0)</f>
        <v>0</v>
      </c>
      <c r="K1087">
        <f>IF(ISNUMBER(SEARCH(Table1[[#This Row],[their_ent_1]],Table1[[#This Row],[my_ent_1]])), 1, 0)</f>
        <v>1</v>
      </c>
      <c r="L1087">
        <f>IF(ISNUMBER(SEARCH(Table1[[#This Row],[their_ent_2]],Table1[[#This Row],[my_ent_2]])), 1, 0)</f>
        <v>0</v>
      </c>
    </row>
    <row r="1088" spans="1:12" hidden="1" x14ac:dyDescent="0.3">
      <c r="A1088" t="s">
        <v>3239</v>
      </c>
      <c r="B1088" t="s">
        <v>3240</v>
      </c>
      <c r="C1088" t="s">
        <v>3241</v>
      </c>
      <c r="D1088" t="s">
        <v>3242</v>
      </c>
      <c r="E1088" t="s">
        <v>3243</v>
      </c>
      <c r="F1088">
        <v>3</v>
      </c>
      <c r="G1088">
        <v>1086</v>
      </c>
      <c r="H1088">
        <f>IF(Table1[[#This Row],[my_ent_1]]=Table1[[#This Row],[their_ent_1]], 1, 0)</f>
        <v>0</v>
      </c>
      <c r="I1088">
        <f>IF(Table1[[#This Row],[my_ent_2]]=Table1[[#This Row],[their_ent_2]], 1, 0)</f>
        <v>0</v>
      </c>
      <c r="J1088">
        <f>IF(Table1[[#This Row],[same_1]]=1 &amp; Table1[[#This Row],[same_2]]=1, 1, 0)</f>
        <v>0</v>
      </c>
      <c r="K1088">
        <f>IF(ISNUMBER(SEARCH(Table1[[#This Row],[their_ent_1]],Table1[[#This Row],[my_ent_1]])), 1, 0)</f>
        <v>0</v>
      </c>
      <c r="L1088">
        <f>IF(ISNUMBER(SEARCH(Table1[[#This Row],[their_ent_2]],Table1[[#This Row],[my_ent_2]])), 1, 0)</f>
        <v>0</v>
      </c>
    </row>
    <row r="1089" spans="1:12" hidden="1" x14ac:dyDescent="0.3">
      <c r="A1089" t="s">
        <v>3244</v>
      </c>
      <c r="B1089" t="s">
        <v>3245</v>
      </c>
      <c r="C1089" t="s">
        <v>3246</v>
      </c>
      <c r="D1089" t="s">
        <v>3247</v>
      </c>
      <c r="E1089" t="s">
        <v>3247</v>
      </c>
      <c r="F1089">
        <v>3</v>
      </c>
      <c r="G1089">
        <v>1087</v>
      </c>
      <c r="H1089">
        <f>IF(Table1[[#This Row],[my_ent_1]]=Table1[[#This Row],[their_ent_1]], 1, 0)</f>
        <v>0</v>
      </c>
      <c r="I1089">
        <f>IF(Table1[[#This Row],[my_ent_2]]=Table1[[#This Row],[their_ent_2]], 1, 0)</f>
        <v>1</v>
      </c>
      <c r="J1089">
        <f>IF(Table1[[#This Row],[same_1]]=1 &amp; Table1[[#This Row],[same_2]]=1, 1, 0)</f>
        <v>0</v>
      </c>
      <c r="K1089">
        <f>IF(ISNUMBER(SEARCH(Table1[[#This Row],[their_ent_1]],Table1[[#This Row],[my_ent_1]])), 1, 0)</f>
        <v>0</v>
      </c>
      <c r="L1089">
        <f>IF(ISNUMBER(SEARCH(Table1[[#This Row],[their_ent_2]],Table1[[#This Row],[my_ent_2]])), 1, 0)</f>
        <v>1</v>
      </c>
    </row>
    <row r="1090" spans="1:12" x14ac:dyDescent="0.3">
      <c r="A1090" t="s">
        <v>3248</v>
      </c>
      <c r="B1090" t="s">
        <v>3249</v>
      </c>
      <c r="C1090" t="s">
        <v>3250</v>
      </c>
      <c r="D1090" t="s">
        <v>3251</v>
      </c>
      <c r="E1090" t="s">
        <v>3251</v>
      </c>
      <c r="F1090">
        <v>3</v>
      </c>
      <c r="G1090">
        <v>1088</v>
      </c>
      <c r="H1090">
        <f>IF(Table1[[#This Row],[my_ent_1]]=Table1[[#This Row],[their_ent_1]], 1, 0)</f>
        <v>0</v>
      </c>
      <c r="I1090">
        <f>IF(Table1[[#This Row],[my_ent_2]]=Table1[[#This Row],[their_ent_2]], 1, 0)</f>
        <v>1</v>
      </c>
      <c r="J1090">
        <f>IF(Table1[[#This Row],[same_1]]=1 &amp; Table1[[#This Row],[same_2]]=1, 1, 0)</f>
        <v>0</v>
      </c>
      <c r="K1090">
        <f>IF(ISNUMBER(SEARCH(Table1[[#This Row],[their_ent_1]],Table1[[#This Row],[my_ent_1]])), 1, 0)</f>
        <v>1</v>
      </c>
      <c r="L1090">
        <f>IF(ISNUMBER(SEARCH(Table1[[#This Row],[their_ent_2]],Table1[[#This Row],[my_ent_2]])), 1, 0)</f>
        <v>1</v>
      </c>
    </row>
    <row r="1091" spans="1:12" x14ac:dyDescent="0.3">
      <c r="A1091" t="s">
        <v>3252</v>
      </c>
      <c r="B1091" t="s">
        <v>3253</v>
      </c>
      <c r="C1091" t="s">
        <v>3253</v>
      </c>
      <c r="D1091" t="s">
        <v>3254</v>
      </c>
      <c r="E1091" t="s">
        <v>2408</v>
      </c>
      <c r="F1091">
        <v>3</v>
      </c>
      <c r="G1091">
        <v>1089</v>
      </c>
      <c r="H1091">
        <f>IF(Table1[[#This Row],[my_ent_1]]=Table1[[#This Row],[their_ent_1]], 1, 0)</f>
        <v>1</v>
      </c>
      <c r="I1091">
        <f>IF(Table1[[#This Row],[my_ent_2]]=Table1[[#This Row],[their_ent_2]], 1, 0)</f>
        <v>0</v>
      </c>
      <c r="J1091">
        <f>IF(Table1[[#This Row],[same_1]]=1 &amp; Table1[[#This Row],[same_2]]=1, 1, 0)</f>
        <v>0</v>
      </c>
      <c r="K1091">
        <f>IF(ISNUMBER(SEARCH(Table1[[#This Row],[their_ent_1]],Table1[[#This Row],[my_ent_1]])), 1, 0)</f>
        <v>1</v>
      </c>
      <c r="L1091">
        <f>IF(ISNUMBER(SEARCH(Table1[[#This Row],[their_ent_2]],Table1[[#This Row],[my_ent_2]])), 1, 0)</f>
        <v>1</v>
      </c>
    </row>
    <row r="1092" spans="1:12" x14ac:dyDescent="0.3">
      <c r="A1092" t="s">
        <v>3255</v>
      </c>
      <c r="B1092" t="s">
        <v>3256</v>
      </c>
      <c r="C1092" t="s">
        <v>3257</v>
      </c>
      <c r="D1092" t="s">
        <v>812</v>
      </c>
      <c r="E1092" t="s">
        <v>812</v>
      </c>
      <c r="F1092">
        <v>1</v>
      </c>
      <c r="G1092">
        <v>1090</v>
      </c>
      <c r="H1092">
        <f>IF(Table1[[#This Row],[my_ent_1]]=Table1[[#This Row],[their_ent_1]], 1, 0)</f>
        <v>0</v>
      </c>
      <c r="I1092">
        <f>IF(Table1[[#This Row],[my_ent_2]]=Table1[[#This Row],[their_ent_2]], 1, 0)</f>
        <v>1</v>
      </c>
      <c r="J1092">
        <f>IF(Table1[[#This Row],[same_1]]=1 &amp; Table1[[#This Row],[same_2]]=1, 1, 0)</f>
        <v>0</v>
      </c>
      <c r="K1092">
        <f>IF(ISNUMBER(SEARCH(Table1[[#This Row],[their_ent_1]],Table1[[#This Row],[my_ent_1]])), 1, 0)</f>
        <v>1</v>
      </c>
      <c r="L1092">
        <f>IF(ISNUMBER(SEARCH(Table1[[#This Row],[their_ent_2]],Table1[[#This Row],[my_ent_2]])), 1, 0)</f>
        <v>1</v>
      </c>
    </row>
    <row r="1093" spans="1:12" hidden="1" x14ac:dyDescent="0.3">
      <c r="A1093" t="s">
        <v>3258</v>
      </c>
      <c r="B1093" t="s">
        <v>2372</v>
      </c>
      <c r="C1093" t="s">
        <v>2372</v>
      </c>
      <c r="D1093" t="s">
        <v>3259</v>
      </c>
      <c r="E1093" t="s">
        <v>3260</v>
      </c>
      <c r="F1093">
        <v>1</v>
      </c>
      <c r="G1093">
        <v>1091</v>
      </c>
      <c r="H1093">
        <f>IF(Table1[[#This Row],[my_ent_1]]=Table1[[#This Row],[their_ent_1]], 1, 0)</f>
        <v>1</v>
      </c>
      <c r="I1093">
        <f>IF(Table1[[#This Row],[my_ent_2]]=Table1[[#This Row],[their_ent_2]], 1, 0)</f>
        <v>0</v>
      </c>
      <c r="J1093">
        <f>IF(Table1[[#This Row],[same_1]]=1 &amp; Table1[[#This Row],[same_2]]=1, 1, 0)</f>
        <v>0</v>
      </c>
      <c r="K1093">
        <f>IF(ISNUMBER(SEARCH(Table1[[#This Row],[their_ent_1]],Table1[[#This Row],[my_ent_1]])), 1, 0)</f>
        <v>1</v>
      </c>
      <c r="L1093">
        <f>IF(ISNUMBER(SEARCH(Table1[[#This Row],[their_ent_2]],Table1[[#This Row],[my_ent_2]])), 1, 0)</f>
        <v>0</v>
      </c>
    </row>
    <row r="1094" spans="1:12" x14ac:dyDescent="0.3">
      <c r="A1094" t="s">
        <v>3261</v>
      </c>
      <c r="B1094" t="s">
        <v>3262</v>
      </c>
      <c r="C1094" t="s">
        <v>3263</v>
      </c>
      <c r="D1094" t="s">
        <v>3264</v>
      </c>
      <c r="E1094" t="s">
        <v>3265</v>
      </c>
      <c r="F1094">
        <v>1</v>
      </c>
      <c r="G1094">
        <v>1092</v>
      </c>
      <c r="H1094">
        <f>IF(Table1[[#This Row],[my_ent_1]]=Table1[[#This Row],[their_ent_1]], 1, 0)</f>
        <v>0</v>
      </c>
      <c r="I1094">
        <f>IF(Table1[[#This Row],[my_ent_2]]=Table1[[#This Row],[their_ent_2]], 1, 0)</f>
        <v>0</v>
      </c>
      <c r="J1094">
        <f>IF(Table1[[#This Row],[same_1]]=1 &amp; Table1[[#This Row],[same_2]]=1, 1, 0)</f>
        <v>0</v>
      </c>
      <c r="K1094">
        <f>IF(ISNUMBER(SEARCH(Table1[[#This Row],[their_ent_1]],Table1[[#This Row],[my_ent_1]])), 1, 0)</f>
        <v>1</v>
      </c>
      <c r="L1094">
        <f>IF(ISNUMBER(SEARCH(Table1[[#This Row],[their_ent_2]],Table1[[#This Row],[my_ent_2]])), 1, 0)</f>
        <v>1</v>
      </c>
    </row>
    <row r="1095" spans="1:12" x14ac:dyDescent="0.3">
      <c r="A1095" t="s">
        <v>3266</v>
      </c>
      <c r="B1095" t="s">
        <v>142</v>
      </c>
      <c r="C1095" t="s">
        <v>143</v>
      </c>
      <c r="D1095" t="s">
        <v>525</v>
      </c>
      <c r="E1095" t="s">
        <v>525</v>
      </c>
      <c r="F1095">
        <v>3</v>
      </c>
      <c r="G1095">
        <v>1093</v>
      </c>
      <c r="H1095">
        <f>IF(Table1[[#This Row],[my_ent_1]]=Table1[[#This Row],[their_ent_1]], 1, 0)</f>
        <v>0</v>
      </c>
      <c r="I1095">
        <f>IF(Table1[[#This Row],[my_ent_2]]=Table1[[#This Row],[their_ent_2]], 1, 0)</f>
        <v>1</v>
      </c>
      <c r="J1095">
        <f>IF(Table1[[#This Row],[same_1]]=1 &amp; Table1[[#This Row],[same_2]]=1, 1, 0)</f>
        <v>0</v>
      </c>
      <c r="K1095">
        <f>IF(ISNUMBER(SEARCH(Table1[[#This Row],[their_ent_1]],Table1[[#This Row],[my_ent_1]])), 1, 0)</f>
        <v>1</v>
      </c>
      <c r="L1095">
        <f>IF(ISNUMBER(SEARCH(Table1[[#This Row],[their_ent_2]],Table1[[#This Row],[my_ent_2]])), 1, 0)</f>
        <v>1</v>
      </c>
    </row>
    <row r="1096" spans="1:12" hidden="1" x14ac:dyDescent="0.3">
      <c r="A1096" t="s">
        <v>3267</v>
      </c>
      <c r="B1096" t="s">
        <v>33</v>
      </c>
      <c r="C1096" t="s">
        <v>3268</v>
      </c>
      <c r="D1096" t="s">
        <v>7</v>
      </c>
      <c r="E1096" t="s">
        <v>7</v>
      </c>
      <c r="F1096">
        <v>1</v>
      </c>
      <c r="G1096">
        <v>1094</v>
      </c>
      <c r="H1096">
        <f>IF(Table1[[#This Row],[my_ent_1]]=Table1[[#This Row],[their_ent_1]], 1, 0)</f>
        <v>0</v>
      </c>
      <c r="I1096">
        <f>IF(Table1[[#This Row],[my_ent_2]]=Table1[[#This Row],[their_ent_2]], 1, 0)</f>
        <v>1</v>
      </c>
      <c r="J1096">
        <f>IF(Table1[[#This Row],[same_1]]=1 &amp; Table1[[#This Row],[same_2]]=1, 1, 0)</f>
        <v>0</v>
      </c>
      <c r="K1096">
        <f>IF(ISNUMBER(SEARCH(Table1[[#This Row],[their_ent_1]],Table1[[#This Row],[my_ent_1]])), 1, 0)</f>
        <v>0</v>
      </c>
      <c r="L1096">
        <f>IF(ISNUMBER(SEARCH(Table1[[#This Row],[their_ent_2]],Table1[[#This Row],[my_ent_2]])), 1, 0)</f>
        <v>1</v>
      </c>
    </row>
    <row r="1097" spans="1:12" hidden="1" x14ac:dyDescent="0.3">
      <c r="A1097" t="s">
        <v>3269</v>
      </c>
      <c r="B1097" t="s">
        <v>3270</v>
      </c>
      <c r="C1097" t="s">
        <v>3271</v>
      </c>
      <c r="D1097" t="s">
        <v>49</v>
      </c>
      <c r="E1097" t="s">
        <v>3270</v>
      </c>
      <c r="F1097">
        <v>3</v>
      </c>
      <c r="G1097">
        <v>1095</v>
      </c>
      <c r="H1097">
        <f>IF(Table1[[#This Row],[my_ent_1]]=Table1[[#This Row],[their_ent_1]], 1, 0)</f>
        <v>0</v>
      </c>
      <c r="I1097">
        <f>IF(Table1[[#This Row],[my_ent_2]]=Table1[[#This Row],[their_ent_2]], 1, 0)</f>
        <v>0</v>
      </c>
      <c r="J1097">
        <f>IF(Table1[[#This Row],[same_1]]=1 &amp; Table1[[#This Row],[same_2]]=1, 1, 0)</f>
        <v>0</v>
      </c>
      <c r="K1097">
        <f>IF(ISNUMBER(SEARCH(Table1[[#This Row],[their_ent_1]],Table1[[#This Row],[my_ent_1]])), 1, 0)</f>
        <v>0</v>
      </c>
      <c r="L1097">
        <f>IF(ISNUMBER(SEARCH(Table1[[#This Row],[their_ent_2]],Table1[[#This Row],[my_ent_2]])), 1, 0)</f>
        <v>0</v>
      </c>
    </row>
    <row r="1098" spans="1:12" hidden="1" x14ac:dyDescent="0.3">
      <c r="A1098" t="s">
        <v>3272</v>
      </c>
      <c r="B1098" t="s">
        <v>292</v>
      </c>
      <c r="C1098" t="s">
        <v>292</v>
      </c>
      <c r="D1098" t="s">
        <v>51</v>
      </c>
      <c r="E1098" t="s">
        <v>352</v>
      </c>
      <c r="F1098">
        <v>3</v>
      </c>
      <c r="G1098">
        <v>1096</v>
      </c>
      <c r="H1098">
        <f>IF(Table1[[#This Row],[my_ent_1]]=Table1[[#This Row],[their_ent_1]], 1, 0)</f>
        <v>1</v>
      </c>
      <c r="I1098">
        <f>IF(Table1[[#This Row],[my_ent_2]]=Table1[[#This Row],[their_ent_2]], 1, 0)</f>
        <v>0</v>
      </c>
      <c r="J1098">
        <f>IF(Table1[[#This Row],[same_1]]=1 &amp; Table1[[#This Row],[same_2]]=1, 1, 0)</f>
        <v>0</v>
      </c>
      <c r="K1098">
        <f>IF(ISNUMBER(SEARCH(Table1[[#This Row],[their_ent_1]],Table1[[#This Row],[my_ent_1]])), 1, 0)</f>
        <v>1</v>
      </c>
      <c r="L1098">
        <f>IF(ISNUMBER(SEARCH(Table1[[#This Row],[their_ent_2]],Table1[[#This Row],[my_ent_2]])), 1, 0)</f>
        <v>0</v>
      </c>
    </row>
    <row r="1099" spans="1:12" hidden="1" x14ac:dyDescent="0.3">
      <c r="A1099" t="s">
        <v>3100</v>
      </c>
      <c r="B1099" t="s">
        <v>3101</v>
      </c>
      <c r="C1099" t="s">
        <v>3102</v>
      </c>
      <c r="D1099" t="s">
        <v>94</v>
      </c>
      <c r="E1099" t="s">
        <v>94</v>
      </c>
      <c r="F1099">
        <v>1</v>
      </c>
      <c r="G1099">
        <v>1097</v>
      </c>
      <c r="H1099">
        <f>IF(Table1[[#This Row],[my_ent_1]]=Table1[[#This Row],[their_ent_1]], 1, 0)</f>
        <v>0</v>
      </c>
      <c r="I1099">
        <f>IF(Table1[[#This Row],[my_ent_2]]=Table1[[#This Row],[their_ent_2]], 1, 0)</f>
        <v>1</v>
      </c>
      <c r="J1099">
        <f>IF(Table1[[#This Row],[same_1]]=1 &amp; Table1[[#This Row],[same_2]]=1, 1, 0)</f>
        <v>0</v>
      </c>
      <c r="K1099">
        <f>IF(ISNUMBER(SEARCH(Table1[[#This Row],[their_ent_1]],Table1[[#This Row],[my_ent_1]])), 1, 0)</f>
        <v>0</v>
      </c>
      <c r="L1099">
        <f>IF(ISNUMBER(SEARCH(Table1[[#This Row],[their_ent_2]],Table1[[#This Row],[my_ent_2]])), 1, 0)</f>
        <v>1</v>
      </c>
    </row>
    <row r="1100" spans="1:12" hidden="1" x14ac:dyDescent="0.3">
      <c r="A1100" t="s">
        <v>3273</v>
      </c>
      <c r="B1100" t="s">
        <v>3274</v>
      </c>
      <c r="C1100" t="s">
        <v>3274</v>
      </c>
      <c r="D1100" t="s">
        <v>2043</v>
      </c>
      <c r="E1100" t="s">
        <v>382</v>
      </c>
      <c r="F1100">
        <v>1</v>
      </c>
      <c r="G1100">
        <v>1098</v>
      </c>
      <c r="H1100">
        <f>IF(Table1[[#This Row],[my_ent_1]]=Table1[[#This Row],[their_ent_1]], 1, 0)</f>
        <v>1</v>
      </c>
      <c r="I1100">
        <f>IF(Table1[[#This Row],[my_ent_2]]=Table1[[#This Row],[their_ent_2]], 1, 0)</f>
        <v>0</v>
      </c>
      <c r="J1100">
        <f>IF(Table1[[#This Row],[same_1]]=1 &amp; Table1[[#This Row],[same_2]]=1, 1, 0)</f>
        <v>0</v>
      </c>
      <c r="K1100">
        <f>IF(ISNUMBER(SEARCH(Table1[[#This Row],[their_ent_1]],Table1[[#This Row],[my_ent_1]])), 1, 0)</f>
        <v>1</v>
      </c>
      <c r="L1100">
        <f>IF(ISNUMBER(SEARCH(Table1[[#This Row],[their_ent_2]],Table1[[#This Row],[my_ent_2]])), 1, 0)</f>
        <v>0</v>
      </c>
    </row>
    <row r="1101" spans="1:12" hidden="1" x14ac:dyDescent="0.3">
      <c r="A1101" t="s">
        <v>3275</v>
      </c>
      <c r="B1101" t="s">
        <v>7</v>
      </c>
      <c r="C1101" t="s">
        <v>73</v>
      </c>
      <c r="D1101" t="s">
        <v>525</v>
      </c>
      <c r="E1101" t="s">
        <v>7</v>
      </c>
      <c r="F1101">
        <v>1</v>
      </c>
      <c r="G1101">
        <v>1099</v>
      </c>
      <c r="H1101">
        <f>IF(Table1[[#This Row],[my_ent_1]]=Table1[[#This Row],[their_ent_1]], 1, 0)</f>
        <v>0</v>
      </c>
      <c r="I1101">
        <f>IF(Table1[[#This Row],[my_ent_2]]=Table1[[#This Row],[their_ent_2]], 1, 0)</f>
        <v>0</v>
      </c>
      <c r="J1101">
        <f>IF(Table1[[#This Row],[same_1]]=1 &amp; Table1[[#This Row],[same_2]]=1, 1, 0)</f>
        <v>0</v>
      </c>
      <c r="K1101">
        <f>IF(ISNUMBER(SEARCH(Table1[[#This Row],[their_ent_1]],Table1[[#This Row],[my_ent_1]])), 1, 0)</f>
        <v>0</v>
      </c>
      <c r="L1101">
        <f>IF(ISNUMBER(SEARCH(Table1[[#This Row],[their_ent_2]],Table1[[#This Row],[my_ent_2]])), 1, 0)</f>
        <v>0</v>
      </c>
    </row>
    <row r="1102" spans="1:12" hidden="1" x14ac:dyDescent="0.3">
      <c r="A1102" t="s">
        <v>3276</v>
      </c>
      <c r="B1102" t="s">
        <v>3277</v>
      </c>
      <c r="C1102" t="s">
        <v>3278</v>
      </c>
      <c r="D1102" t="s">
        <v>54</v>
      </c>
      <c r="E1102" t="s">
        <v>3279</v>
      </c>
      <c r="F1102">
        <v>2</v>
      </c>
      <c r="G1102">
        <v>1100</v>
      </c>
      <c r="H1102">
        <f>IF(Table1[[#This Row],[my_ent_1]]=Table1[[#This Row],[their_ent_1]], 1, 0)</f>
        <v>0</v>
      </c>
      <c r="I1102">
        <f>IF(Table1[[#This Row],[my_ent_2]]=Table1[[#This Row],[their_ent_2]], 1, 0)</f>
        <v>0</v>
      </c>
      <c r="J1102">
        <f>IF(Table1[[#This Row],[same_1]]=1 &amp; Table1[[#This Row],[same_2]]=1, 1, 0)</f>
        <v>0</v>
      </c>
      <c r="K1102">
        <f>IF(ISNUMBER(SEARCH(Table1[[#This Row],[their_ent_1]],Table1[[#This Row],[my_ent_1]])), 1, 0)</f>
        <v>0</v>
      </c>
      <c r="L1102">
        <f>IF(ISNUMBER(SEARCH(Table1[[#This Row],[their_ent_2]],Table1[[#This Row],[my_ent_2]])), 1, 0)</f>
        <v>0</v>
      </c>
    </row>
    <row r="1103" spans="1:12" hidden="1" x14ac:dyDescent="0.3">
      <c r="A1103" t="s">
        <v>3280</v>
      </c>
      <c r="B1103" t="s">
        <v>73</v>
      </c>
      <c r="C1103" t="s">
        <v>200</v>
      </c>
      <c r="D1103" t="s">
        <v>200</v>
      </c>
      <c r="E1103" t="s">
        <v>460</v>
      </c>
      <c r="F1103">
        <v>2</v>
      </c>
      <c r="G1103">
        <v>1101</v>
      </c>
      <c r="H1103">
        <f>IF(Table1[[#This Row],[my_ent_1]]=Table1[[#This Row],[their_ent_1]], 1, 0)</f>
        <v>0</v>
      </c>
      <c r="I1103">
        <f>IF(Table1[[#This Row],[my_ent_2]]=Table1[[#This Row],[their_ent_2]], 1, 0)</f>
        <v>0</v>
      </c>
      <c r="J1103">
        <f>IF(Table1[[#This Row],[same_1]]=1 &amp; Table1[[#This Row],[same_2]]=1, 1, 0)</f>
        <v>0</v>
      </c>
      <c r="K1103">
        <f>IF(ISNUMBER(SEARCH(Table1[[#This Row],[their_ent_1]],Table1[[#This Row],[my_ent_1]])), 1, 0)</f>
        <v>0</v>
      </c>
      <c r="L1103">
        <f>IF(ISNUMBER(SEARCH(Table1[[#This Row],[their_ent_2]],Table1[[#This Row],[my_ent_2]])), 1, 0)</f>
        <v>0</v>
      </c>
    </row>
    <row r="1104" spans="1:12" x14ac:dyDescent="0.3">
      <c r="A1104" t="s">
        <v>3281</v>
      </c>
      <c r="B1104" t="s">
        <v>401</v>
      </c>
      <c r="C1104" t="s">
        <v>30</v>
      </c>
      <c r="D1104" t="s">
        <v>137</v>
      </c>
      <c r="E1104" t="s">
        <v>138</v>
      </c>
      <c r="F1104">
        <v>3</v>
      </c>
      <c r="G1104">
        <v>1102</v>
      </c>
      <c r="H1104">
        <f>IF(Table1[[#This Row],[my_ent_1]]=Table1[[#This Row],[their_ent_1]], 1, 0)</f>
        <v>0</v>
      </c>
      <c r="I1104">
        <f>IF(Table1[[#This Row],[my_ent_2]]=Table1[[#This Row],[their_ent_2]], 1, 0)</f>
        <v>0</v>
      </c>
      <c r="J1104">
        <f>IF(Table1[[#This Row],[same_1]]=1 &amp; Table1[[#This Row],[same_2]]=1, 1, 0)</f>
        <v>0</v>
      </c>
      <c r="K1104">
        <f>IF(ISNUMBER(SEARCH(Table1[[#This Row],[their_ent_1]],Table1[[#This Row],[my_ent_1]])), 1, 0)</f>
        <v>1</v>
      </c>
      <c r="L1104">
        <f>IF(ISNUMBER(SEARCH(Table1[[#This Row],[their_ent_2]],Table1[[#This Row],[my_ent_2]])), 1, 0)</f>
        <v>1</v>
      </c>
    </row>
    <row r="1105" spans="1:12" hidden="1" x14ac:dyDescent="0.3">
      <c r="A1105" t="s">
        <v>3282</v>
      </c>
      <c r="B1105" t="s">
        <v>3283</v>
      </c>
      <c r="C1105" t="s">
        <v>3284</v>
      </c>
      <c r="D1105" t="s">
        <v>58</v>
      </c>
      <c r="E1105" t="s">
        <v>58</v>
      </c>
      <c r="F1105">
        <v>3</v>
      </c>
      <c r="G1105">
        <v>1103</v>
      </c>
      <c r="H1105">
        <f>IF(Table1[[#This Row],[my_ent_1]]=Table1[[#This Row],[their_ent_1]], 1, 0)</f>
        <v>0</v>
      </c>
      <c r="I1105">
        <f>IF(Table1[[#This Row],[my_ent_2]]=Table1[[#This Row],[their_ent_2]], 1, 0)</f>
        <v>1</v>
      </c>
      <c r="J1105">
        <f>IF(Table1[[#This Row],[same_1]]=1 &amp; Table1[[#This Row],[same_2]]=1, 1, 0)</f>
        <v>0</v>
      </c>
      <c r="K1105">
        <f>IF(ISNUMBER(SEARCH(Table1[[#This Row],[their_ent_1]],Table1[[#This Row],[my_ent_1]])), 1, 0)</f>
        <v>0</v>
      </c>
      <c r="L1105">
        <f>IF(ISNUMBER(SEARCH(Table1[[#This Row],[their_ent_2]],Table1[[#This Row],[my_ent_2]])), 1, 0)</f>
        <v>1</v>
      </c>
    </row>
    <row r="1106" spans="1:12" hidden="1" x14ac:dyDescent="0.3">
      <c r="A1106" t="s">
        <v>3285</v>
      </c>
      <c r="B1106" t="s">
        <v>525</v>
      </c>
      <c r="C1106" t="s">
        <v>525</v>
      </c>
      <c r="D1106" t="s">
        <v>7</v>
      </c>
      <c r="E1106" t="s">
        <v>165</v>
      </c>
      <c r="F1106">
        <v>3</v>
      </c>
      <c r="G1106">
        <v>1104</v>
      </c>
      <c r="H1106">
        <f>IF(Table1[[#This Row],[my_ent_1]]=Table1[[#This Row],[their_ent_1]], 1, 0)</f>
        <v>1</v>
      </c>
      <c r="I1106">
        <f>IF(Table1[[#This Row],[my_ent_2]]=Table1[[#This Row],[their_ent_2]], 1, 0)</f>
        <v>0</v>
      </c>
      <c r="J1106">
        <f>IF(Table1[[#This Row],[same_1]]=1 &amp; Table1[[#This Row],[same_2]]=1, 1, 0)</f>
        <v>0</v>
      </c>
      <c r="K1106">
        <f>IF(ISNUMBER(SEARCH(Table1[[#This Row],[their_ent_1]],Table1[[#This Row],[my_ent_1]])), 1, 0)</f>
        <v>1</v>
      </c>
      <c r="L1106">
        <f>IF(ISNUMBER(SEARCH(Table1[[#This Row],[their_ent_2]],Table1[[#This Row],[my_ent_2]])), 1, 0)</f>
        <v>0</v>
      </c>
    </row>
    <row r="1107" spans="1:12" hidden="1" x14ac:dyDescent="0.3">
      <c r="A1107" t="s">
        <v>3286</v>
      </c>
      <c r="B1107" t="s">
        <v>2982</v>
      </c>
      <c r="C1107" t="s">
        <v>2982</v>
      </c>
      <c r="D1107" t="s">
        <v>54</v>
      </c>
      <c r="E1107" t="s">
        <v>3287</v>
      </c>
      <c r="F1107">
        <v>3</v>
      </c>
      <c r="G1107">
        <v>1105</v>
      </c>
      <c r="H1107">
        <f>IF(Table1[[#This Row],[my_ent_1]]=Table1[[#This Row],[their_ent_1]], 1, 0)</f>
        <v>1</v>
      </c>
      <c r="I1107">
        <f>IF(Table1[[#This Row],[my_ent_2]]=Table1[[#This Row],[their_ent_2]], 1, 0)</f>
        <v>0</v>
      </c>
      <c r="J1107">
        <f>IF(Table1[[#This Row],[same_1]]=1 &amp; Table1[[#This Row],[same_2]]=1, 1, 0)</f>
        <v>0</v>
      </c>
      <c r="K1107">
        <f>IF(ISNUMBER(SEARCH(Table1[[#This Row],[their_ent_1]],Table1[[#This Row],[my_ent_1]])), 1, 0)</f>
        <v>1</v>
      </c>
      <c r="L1107">
        <f>IF(ISNUMBER(SEARCH(Table1[[#This Row],[their_ent_2]],Table1[[#This Row],[my_ent_2]])), 1, 0)</f>
        <v>0</v>
      </c>
    </row>
    <row r="1108" spans="1:12" hidden="1" x14ac:dyDescent="0.3">
      <c r="A1108" t="s">
        <v>3288</v>
      </c>
      <c r="B1108" t="s">
        <v>3289</v>
      </c>
      <c r="C1108" t="s">
        <v>3290</v>
      </c>
      <c r="D1108" t="s">
        <v>845</v>
      </c>
      <c r="E1108" t="s">
        <v>1374</v>
      </c>
      <c r="F1108">
        <v>3</v>
      </c>
      <c r="G1108">
        <v>1106</v>
      </c>
      <c r="H1108">
        <f>IF(Table1[[#This Row],[my_ent_1]]=Table1[[#This Row],[their_ent_1]], 1, 0)</f>
        <v>0</v>
      </c>
      <c r="I1108">
        <f>IF(Table1[[#This Row],[my_ent_2]]=Table1[[#This Row],[their_ent_2]], 1, 0)</f>
        <v>0</v>
      </c>
      <c r="J1108">
        <f>IF(Table1[[#This Row],[same_1]]=1 &amp; Table1[[#This Row],[same_2]]=1, 1, 0)</f>
        <v>0</v>
      </c>
      <c r="K1108">
        <f>IF(ISNUMBER(SEARCH(Table1[[#This Row],[their_ent_1]],Table1[[#This Row],[my_ent_1]])), 1, 0)</f>
        <v>1</v>
      </c>
      <c r="L1108">
        <f>IF(ISNUMBER(SEARCH(Table1[[#This Row],[their_ent_2]],Table1[[#This Row],[my_ent_2]])), 1, 0)</f>
        <v>0</v>
      </c>
    </row>
    <row r="1109" spans="1:12" hidden="1" x14ac:dyDescent="0.3">
      <c r="A1109" t="s">
        <v>3291</v>
      </c>
      <c r="B1109" t="s">
        <v>525</v>
      </c>
      <c r="C1109" t="s">
        <v>525</v>
      </c>
      <c r="D1109" t="s">
        <v>7</v>
      </c>
      <c r="E1109" t="s">
        <v>1284</v>
      </c>
      <c r="F1109">
        <v>3</v>
      </c>
      <c r="G1109">
        <v>1107</v>
      </c>
      <c r="H1109">
        <f>IF(Table1[[#This Row],[my_ent_1]]=Table1[[#This Row],[their_ent_1]], 1, 0)</f>
        <v>1</v>
      </c>
      <c r="I1109">
        <f>IF(Table1[[#This Row],[my_ent_2]]=Table1[[#This Row],[their_ent_2]], 1, 0)</f>
        <v>0</v>
      </c>
      <c r="J1109">
        <f>IF(Table1[[#This Row],[same_1]]=1 &amp; Table1[[#This Row],[same_2]]=1, 1, 0)</f>
        <v>0</v>
      </c>
      <c r="K1109">
        <f>IF(ISNUMBER(SEARCH(Table1[[#This Row],[their_ent_1]],Table1[[#This Row],[my_ent_1]])), 1, 0)</f>
        <v>1</v>
      </c>
      <c r="L1109">
        <f>IF(ISNUMBER(SEARCH(Table1[[#This Row],[their_ent_2]],Table1[[#This Row],[my_ent_2]])), 1, 0)</f>
        <v>0</v>
      </c>
    </row>
    <row r="1110" spans="1:12" hidden="1" x14ac:dyDescent="0.3">
      <c r="A1110" t="s">
        <v>3008</v>
      </c>
      <c r="B1110" t="s">
        <v>2494</v>
      </c>
      <c r="C1110" t="s">
        <v>2494</v>
      </c>
      <c r="D1110" t="s">
        <v>7</v>
      </c>
      <c r="E1110" t="s">
        <v>3009</v>
      </c>
      <c r="F1110">
        <v>3</v>
      </c>
      <c r="G1110">
        <v>1108</v>
      </c>
      <c r="H1110">
        <f>IF(Table1[[#This Row],[my_ent_1]]=Table1[[#This Row],[their_ent_1]], 1, 0)</f>
        <v>1</v>
      </c>
      <c r="I1110">
        <f>IF(Table1[[#This Row],[my_ent_2]]=Table1[[#This Row],[their_ent_2]], 1, 0)</f>
        <v>0</v>
      </c>
      <c r="J1110">
        <f>IF(Table1[[#This Row],[same_1]]=1 &amp; Table1[[#This Row],[same_2]]=1, 1, 0)</f>
        <v>0</v>
      </c>
      <c r="K1110">
        <f>IF(ISNUMBER(SEARCH(Table1[[#This Row],[their_ent_1]],Table1[[#This Row],[my_ent_1]])), 1, 0)</f>
        <v>1</v>
      </c>
      <c r="L1110">
        <f>IF(ISNUMBER(SEARCH(Table1[[#This Row],[their_ent_2]],Table1[[#This Row],[my_ent_2]])), 1, 0)</f>
        <v>0</v>
      </c>
    </row>
    <row r="1111" spans="1:12" x14ac:dyDescent="0.3">
      <c r="A1111" t="s">
        <v>3292</v>
      </c>
      <c r="B1111" t="s">
        <v>2713</v>
      </c>
      <c r="C1111" t="s">
        <v>2714</v>
      </c>
      <c r="D1111" t="s">
        <v>823</v>
      </c>
      <c r="E1111" t="s">
        <v>823</v>
      </c>
      <c r="F1111">
        <v>3</v>
      </c>
      <c r="G1111">
        <v>1109</v>
      </c>
      <c r="H1111">
        <f>IF(Table1[[#This Row],[my_ent_1]]=Table1[[#This Row],[their_ent_1]], 1, 0)</f>
        <v>0</v>
      </c>
      <c r="I1111">
        <f>IF(Table1[[#This Row],[my_ent_2]]=Table1[[#This Row],[their_ent_2]], 1, 0)</f>
        <v>1</v>
      </c>
      <c r="J1111">
        <f>IF(Table1[[#This Row],[same_1]]=1 &amp; Table1[[#This Row],[same_2]]=1, 1, 0)</f>
        <v>0</v>
      </c>
      <c r="K1111">
        <f>IF(ISNUMBER(SEARCH(Table1[[#This Row],[their_ent_1]],Table1[[#This Row],[my_ent_1]])), 1, 0)</f>
        <v>1</v>
      </c>
      <c r="L1111">
        <f>IF(ISNUMBER(SEARCH(Table1[[#This Row],[their_ent_2]],Table1[[#This Row],[my_ent_2]])), 1, 0)</f>
        <v>1</v>
      </c>
    </row>
    <row r="1112" spans="1:12" hidden="1" x14ac:dyDescent="0.3">
      <c r="A1112" t="s">
        <v>3293</v>
      </c>
      <c r="B1112" t="s">
        <v>249</v>
      </c>
      <c r="C1112" t="s">
        <v>250</v>
      </c>
      <c r="D1112" t="s">
        <v>58</v>
      </c>
      <c r="E1112" t="s">
        <v>30</v>
      </c>
      <c r="F1112">
        <v>1</v>
      </c>
      <c r="G1112">
        <v>1110</v>
      </c>
      <c r="H1112">
        <f>IF(Table1[[#This Row],[my_ent_1]]=Table1[[#This Row],[their_ent_1]], 1, 0)</f>
        <v>0</v>
      </c>
      <c r="I1112">
        <f>IF(Table1[[#This Row],[my_ent_2]]=Table1[[#This Row],[their_ent_2]], 1, 0)</f>
        <v>0</v>
      </c>
      <c r="J1112">
        <f>IF(Table1[[#This Row],[same_1]]=1 &amp; Table1[[#This Row],[same_2]]=1, 1, 0)</f>
        <v>0</v>
      </c>
      <c r="K1112">
        <f>IF(ISNUMBER(SEARCH(Table1[[#This Row],[their_ent_1]],Table1[[#This Row],[my_ent_1]])), 1, 0)</f>
        <v>1</v>
      </c>
      <c r="L1112">
        <f>IF(ISNUMBER(SEARCH(Table1[[#This Row],[their_ent_2]],Table1[[#This Row],[my_ent_2]])), 1, 0)</f>
        <v>0</v>
      </c>
    </row>
    <row r="1113" spans="1:12" hidden="1" x14ac:dyDescent="0.3">
      <c r="A1113" t="s">
        <v>3294</v>
      </c>
      <c r="B1113" t="s">
        <v>3295</v>
      </c>
      <c r="C1113" t="s">
        <v>3295</v>
      </c>
      <c r="D1113" t="s">
        <v>1177</v>
      </c>
      <c r="E1113" t="s">
        <v>426</v>
      </c>
      <c r="F1113">
        <v>2</v>
      </c>
      <c r="G1113">
        <v>1111</v>
      </c>
      <c r="H1113">
        <f>IF(Table1[[#This Row],[my_ent_1]]=Table1[[#This Row],[their_ent_1]], 1, 0)</f>
        <v>1</v>
      </c>
      <c r="I1113">
        <f>IF(Table1[[#This Row],[my_ent_2]]=Table1[[#This Row],[their_ent_2]], 1, 0)</f>
        <v>0</v>
      </c>
      <c r="J1113">
        <f>IF(Table1[[#This Row],[same_1]]=1 &amp; Table1[[#This Row],[same_2]]=1, 1, 0)</f>
        <v>0</v>
      </c>
      <c r="K1113">
        <f>IF(ISNUMBER(SEARCH(Table1[[#This Row],[their_ent_1]],Table1[[#This Row],[my_ent_1]])), 1, 0)</f>
        <v>1</v>
      </c>
      <c r="L1113">
        <f>IF(ISNUMBER(SEARCH(Table1[[#This Row],[their_ent_2]],Table1[[#This Row],[my_ent_2]])), 1, 0)</f>
        <v>0</v>
      </c>
    </row>
    <row r="1114" spans="1:12" hidden="1" x14ac:dyDescent="0.3">
      <c r="A1114" t="s">
        <v>3296</v>
      </c>
      <c r="B1114" t="s">
        <v>3297</v>
      </c>
      <c r="C1114" t="s">
        <v>3297</v>
      </c>
      <c r="D1114" t="s">
        <v>3046</v>
      </c>
      <c r="E1114" t="s">
        <v>296</v>
      </c>
      <c r="F1114">
        <v>3</v>
      </c>
      <c r="G1114">
        <v>1112</v>
      </c>
      <c r="H1114">
        <f>IF(Table1[[#This Row],[my_ent_1]]=Table1[[#This Row],[their_ent_1]], 1, 0)</f>
        <v>1</v>
      </c>
      <c r="I1114">
        <f>IF(Table1[[#This Row],[my_ent_2]]=Table1[[#This Row],[their_ent_2]], 1, 0)</f>
        <v>0</v>
      </c>
      <c r="J1114">
        <f>IF(Table1[[#This Row],[same_1]]=1 &amp; Table1[[#This Row],[same_2]]=1, 1, 0)</f>
        <v>0</v>
      </c>
      <c r="K1114">
        <f>IF(ISNUMBER(SEARCH(Table1[[#This Row],[their_ent_1]],Table1[[#This Row],[my_ent_1]])), 1, 0)</f>
        <v>1</v>
      </c>
      <c r="L1114">
        <f>IF(ISNUMBER(SEARCH(Table1[[#This Row],[their_ent_2]],Table1[[#This Row],[my_ent_2]])), 1, 0)</f>
        <v>0</v>
      </c>
    </row>
    <row r="1115" spans="1:12" hidden="1" x14ac:dyDescent="0.3">
      <c r="A1115" t="s">
        <v>3298</v>
      </c>
      <c r="B1115" t="s">
        <v>904</v>
      </c>
      <c r="C1115" t="s">
        <v>905</v>
      </c>
      <c r="D1115" t="s">
        <v>480</v>
      </c>
      <c r="E1115" t="s">
        <v>2412</v>
      </c>
      <c r="F1115">
        <v>1</v>
      </c>
      <c r="G1115">
        <v>1113</v>
      </c>
      <c r="H1115">
        <f>IF(Table1[[#This Row],[my_ent_1]]=Table1[[#This Row],[their_ent_1]], 1, 0)</f>
        <v>0</v>
      </c>
      <c r="I1115">
        <f>IF(Table1[[#This Row],[my_ent_2]]=Table1[[#This Row],[their_ent_2]], 1, 0)</f>
        <v>0</v>
      </c>
      <c r="J1115">
        <f>IF(Table1[[#This Row],[same_1]]=1 &amp; Table1[[#This Row],[same_2]]=1, 1, 0)</f>
        <v>0</v>
      </c>
      <c r="K1115">
        <f>IF(ISNUMBER(SEARCH(Table1[[#This Row],[their_ent_1]],Table1[[#This Row],[my_ent_1]])), 1, 0)</f>
        <v>0</v>
      </c>
      <c r="L1115">
        <f>IF(ISNUMBER(SEARCH(Table1[[#This Row],[their_ent_2]],Table1[[#This Row],[my_ent_2]])), 1, 0)</f>
        <v>0</v>
      </c>
    </row>
    <row r="1116" spans="1:12" hidden="1" x14ac:dyDescent="0.3">
      <c r="A1116" t="s">
        <v>3299</v>
      </c>
      <c r="B1116" t="s">
        <v>3300</v>
      </c>
      <c r="C1116" t="s">
        <v>3300</v>
      </c>
      <c r="D1116" t="s">
        <v>903</v>
      </c>
      <c r="E1116" t="s">
        <v>3301</v>
      </c>
      <c r="F1116">
        <v>3</v>
      </c>
      <c r="G1116">
        <v>1114</v>
      </c>
      <c r="H1116">
        <f>IF(Table1[[#This Row],[my_ent_1]]=Table1[[#This Row],[their_ent_1]], 1, 0)</f>
        <v>1</v>
      </c>
      <c r="I1116">
        <f>IF(Table1[[#This Row],[my_ent_2]]=Table1[[#This Row],[their_ent_2]], 1, 0)</f>
        <v>0</v>
      </c>
      <c r="J1116">
        <f>IF(Table1[[#This Row],[same_1]]=1 &amp; Table1[[#This Row],[same_2]]=1, 1, 0)</f>
        <v>0</v>
      </c>
      <c r="K1116">
        <f>IF(ISNUMBER(SEARCH(Table1[[#This Row],[their_ent_1]],Table1[[#This Row],[my_ent_1]])), 1, 0)</f>
        <v>1</v>
      </c>
      <c r="L1116">
        <f>IF(ISNUMBER(SEARCH(Table1[[#This Row],[their_ent_2]],Table1[[#This Row],[my_ent_2]])), 1, 0)</f>
        <v>0</v>
      </c>
    </row>
    <row r="1117" spans="1:12" x14ac:dyDescent="0.3">
      <c r="A1117" t="s">
        <v>2745</v>
      </c>
      <c r="B1117" t="s">
        <v>58</v>
      </c>
      <c r="C1117" t="s">
        <v>58</v>
      </c>
      <c r="D1117" t="s">
        <v>149</v>
      </c>
      <c r="E1117" t="s">
        <v>150</v>
      </c>
      <c r="F1117">
        <v>3</v>
      </c>
      <c r="G1117">
        <v>1115</v>
      </c>
      <c r="H1117">
        <f>IF(Table1[[#This Row],[my_ent_1]]=Table1[[#This Row],[their_ent_1]], 1, 0)</f>
        <v>1</v>
      </c>
      <c r="I1117">
        <f>IF(Table1[[#This Row],[my_ent_2]]=Table1[[#This Row],[their_ent_2]], 1, 0)</f>
        <v>0</v>
      </c>
      <c r="J1117">
        <f>IF(Table1[[#This Row],[same_1]]=1 &amp; Table1[[#This Row],[same_2]]=1, 1, 0)</f>
        <v>0</v>
      </c>
      <c r="K1117">
        <f>IF(ISNUMBER(SEARCH(Table1[[#This Row],[their_ent_1]],Table1[[#This Row],[my_ent_1]])), 1, 0)</f>
        <v>1</v>
      </c>
      <c r="L1117">
        <f>IF(ISNUMBER(SEARCH(Table1[[#This Row],[their_ent_2]],Table1[[#This Row],[my_ent_2]])), 1, 0)</f>
        <v>1</v>
      </c>
    </row>
    <row r="1118" spans="1:12" hidden="1" x14ac:dyDescent="0.3">
      <c r="A1118" t="s">
        <v>3302</v>
      </c>
      <c r="B1118" t="s">
        <v>3303</v>
      </c>
      <c r="C1118" t="s">
        <v>3303</v>
      </c>
      <c r="D1118" t="s">
        <v>972</v>
      </c>
      <c r="E1118" t="s">
        <v>3304</v>
      </c>
      <c r="F1118">
        <v>1</v>
      </c>
      <c r="G1118">
        <v>1116</v>
      </c>
      <c r="H1118">
        <f>IF(Table1[[#This Row],[my_ent_1]]=Table1[[#This Row],[their_ent_1]], 1, 0)</f>
        <v>1</v>
      </c>
      <c r="I1118">
        <f>IF(Table1[[#This Row],[my_ent_2]]=Table1[[#This Row],[their_ent_2]], 1, 0)</f>
        <v>0</v>
      </c>
      <c r="J1118">
        <f>IF(Table1[[#This Row],[same_1]]=1 &amp; Table1[[#This Row],[same_2]]=1, 1, 0)</f>
        <v>0</v>
      </c>
      <c r="K1118">
        <f>IF(ISNUMBER(SEARCH(Table1[[#This Row],[their_ent_1]],Table1[[#This Row],[my_ent_1]])), 1, 0)</f>
        <v>1</v>
      </c>
      <c r="L1118">
        <f>IF(ISNUMBER(SEARCH(Table1[[#This Row],[their_ent_2]],Table1[[#This Row],[my_ent_2]])), 1, 0)</f>
        <v>0</v>
      </c>
    </row>
    <row r="1119" spans="1:12" hidden="1" x14ac:dyDescent="0.3">
      <c r="A1119" t="s">
        <v>2712</v>
      </c>
      <c r="B1119" t="s">
        <v>2713</v>
      </c>
      <c r="C1119" t="s">
        <v>2714</v>
      </c>
      <c r="D1119" t="s">
        <v>2715</v>
      </c>
      <c r="E1119" t="s">
        <v>2716</v>
      </c>
      <c r="F1119">
        <v>3</v>
      </c>
      <c r="G1119">
        <v>1117</v>
      </c>
      <c r="H1119">
        <f>IF(Table1[[#This Row],[my_ent_1]]=Table1[[#This Row],[their_ent_1]], 1, 0)</f>
        <v>0</v>
      </c>
      <c r="I1119">
        <f>IF(Table1[[#This Row],[my_ent_2]]=Table1[[#This Row],[their_ent_2]], 1, 0)</f>
        <v>0</v>
      </c>
      <c r="J1119">
        <f>IF(Table1[[#This Row],[same_1]]=1 &amp; Table1[[#This Row],[same_2]]=1, 1, 0)</f>
        <v>0</v>
      </c>
      <c r="K1119">
        <f>IF(ISNUMBER(SEARCH(Table1[[#This Row],[their_ent_1]],Table1[[#This Row],[my_ent_1]])), 1, 0)</f>
        <v>1</v>
      </c>
      <c r="L1119">
        <f>IF(ISNUMBER(SEARCH(Table1[[#This Row],[their_ent_2]],Table1[[#This Row],[my_ent_2]])), 1, 0)</f>
        <v>0</v>
      </c>
    </row>
    <row r="1120" spans="1:12" x14ac:dyDescent="0.3">
      <c r="A1120" t="s">
        <v>3305</v>
      </c>
      <c r="B1120" t="s">
        <v>3306</v>
      </c>
      <c r="C1120" t="s">
        <v>3306</v>
      </c>
      <c r="D1120" t="s">
        <v>3307</v>
      </c>
      <c r="E1120" t="s">
        <v>187</v>
      </c>
      <c r="F1120">
        <v>1</v>
      </c>
      <c r="G1120">
        <v>1118</v>
      </c>
      <c r="H1120">
        <f>IF(Table1[[#This Row],[my_ent_1]]=Table1[[#This Row],[their_ent_1]], 1, 0)</f>
        <v>1</v>
      </c>
      <c r="I1120">
        <f>IF(Table1[[#This Row],[my_ent_2]]=Table1[[#This Row],[their_ent_2]], 1, 0)</f>
        <v>0</v>
      </c>
      <c r="J1120">
        <f>IF(Table1[[#This Row],[same_1]]=1 &amp; Table1[[#This Row],[same_2]]=1, 1, 0)</f>
        <v>0</v>
      </c>
      <c r="K1120">
        <f>IF(ISNUMBER(SEARCH(Table1[[#This Row],[their_ent_1]],Table1[[#This Row],[my_ent_1]])), 1, 0)</f>
        <v>1</v>
      </c>
      <c r="L1120">
        <f>IF(ISNUMBER(SEARCH(Table1[[#This Row],[their_ent_2]],Table1[[#This Row],[my_ent_2]])), 1, 0)</f>
        <v>1</v>
      </c>
    </row>
    <row r="1121" spans="1:12" hidden="1" x14ac:dyDescent="0.3">
      <c r="A1121" t="s">
        <v>3308</v>
      </c>
      <c r="B1121" t="s">
        <v>2375</v>
      </c>
      <c r="C1121" t="s">
        <v>2375</v>
      </c>
      <c r="D1121" t="s">
        <v>680</v>
      </c>
      <c r="E1121" t="s">
        <v>3309</v>
      </c>
      <c r="F1121">
        <v>3</v>
      </c>
      <c r="G1121">
        <v>1119</v>
      </c>
      <c r="H1121">
        <f>IF(Table1[[#This Row],[my_ent_1]]=Table1[[#This Row],[their_ent_1]], 1, 0)</f>
        <v>1</v>
      </c>
      <c r="I1121">
        <f>IF(Table1[[#This Row],[my_ent_2]]=Table1[[#This Row],[their_ent_2]], 1, 0)</f>
        <v>0</v>
      </c>
      <c r="J1121">
        <f>IF(Table1[[#This Row],[same_1]]=1 &amp; Table1[[#This Row],[same_2]]=1, 1, 0)</f>
        <v>0</v>
      </c>
      <c r="K1121">
        <f>IF(ISNUMBER(SEARCH(Table1[[#This Row],[their_ent_1]],Table1[[#This Row],[my_ent_1]])), 1, 0)</f>
        <v>1</v>
      </c>
      <c r="L1121">
        <f>IF(ISNUMBER(SEARCH(Table1[[#This Row],[their_ent_2]],Table1[[#This Row],[my_ent_2]])), 1, 0)</f>
        <v>0</v>
      </c>
    </row>
    <row r="1122" spans="1:12" hidden="1" x14ac:dyDescent="0.3">
      <c r="A1122" t="s">
        <v>3310</v>
      </c>
      <c r="B1122" t="s">
        <v>3311</v>
      </c>
      <c r="C1122" t="s">
        <v>3311</v>
      </c>
      <c r="D1122" t="s">
        <v>3312</v>
      </c>
      <c r="E1122" t="s">
        <v>722</v>
      </c>
      <c r="F1122">
        <v>1</v>
      </c>
      <c r="G1122">
        <v>1120</v>
      </c>
      <c r="H1122">
        <f>IF(Table1[[#This Row],[my_ent_1]]=Table1[[#This Row],[their_ent_1]], 1, 0)</f>
        <v>1</v>
      </c>
      <c r="I1122">
        <f>IF(Table1[[#This Row],[my_ent_2]]=Table1[[#This Row],[their_ent_2]], 1, 0)</f>
        <v>0</v>
      </c>
      <c r="J1122">
        <f>IF(Table1[[#This Row],[same_1]]=1 &amp; Table1[[#This Row],[same_2]]=1, 1, 0)</f>
        <v>0</v>
      </c>
      <c r="K1122">
        <f>IF(ISNUMBER(SEARCH(Table1[[#This Row],[their_ent_1]],Table1[[#This Row],[my_ent_1]])), 1, 0)</f>
        <v>1</v>
      </c>
      <c r="L1122">
        <f>IF(ISNUMBER(SEARCH(Table1[[#This Row],[their_ent_2]],Table1[[#This Row],[my_ent_2]])), 1, 0)</f>
        <v>0</v>
      </c>
    </row>
    <row r="1123" spans="1:12" hidden="1" x14ac:dyDescent="0.3">
      <c r="A1123" t="s">
        <v>3313</v>
      </c>
      <c r="B1123" t="s">
        <v>187</v>
      </c>
      <c r="C1123" t="s">
        <v>30</v>
      </c>
      <c r="D1123" t="s">
        <v>464</v>
      </c>
      <c r="E1123" t="s">
        <v>464</v>
      </c>
      <c r="F1123">
        <v>1</v>
      </c>
      <c r="G1123">
        <v>1121</v>
      </c>
      <c r="H1123">
        <f>IF(Table1[[#This Row],[my_ent_1]]=Table1[[#This Row],[their_ent_1]], 1, 0)</f>
        <v>0</v>
      </c>
      <c r="I1123">
        <f>IF(Table1[[#This Row],[my_ent_2]]=Table1[[#This Row],[their_ent_2]], 1, 0)</f>
        <v>1</v>
      </c>
      <c r="J1123">
        <f>IF(Table1[[#This Row],[same_1]]=1 &amp; Table1[[#This Row],[same_2]]=1, 1, 0)</f>
        <v>0</v>
      </c>
      <c r="K1123">
        <f>IF(ISNUMBER(SEARCH(Table1[[#This Row],[their_ent_1]],Table1[[#This Row],[my_ent_1]])), 1, 0)</f>
        <v>0</v>
      </c>
      <c r="L1123">
        <f>IF(ISNUMBER(SEARCH(Table1[[#This Row],[their_ent_2]],Table1[[#This Row],[my_ent_2]])), 1, 0)</f>
        <v>1</v>
      </c>
    </row>
    <row r="1124" spans="1:12" hidden="1" x14ac:dyDescent="0.3">
      <c r="A1124" t="s">
        <v>3314</v>
      </c>
      <c r="B1124" t="s">
        <v>3315</v>
      </c>
      <c r="C1124" t="s">
        <v>3316</v>
      </c>
      <c r="D1124" t="s">
        <v>3316</v>
      </c>
      <c r="E1124" t="s">
        <v>3317</v>
      </c>
      <c r="F1124">
        <v>1</v>
      </c>
      <c r="G1124">
        <v>1122</v>
      </c>
      <c r="H1124">
        <f>IF(Table1[[#This Row],[my_ent_1]]=Table1[[#This Row],[their_ent_1]], 1, 0)</f>
        <v>0</v>
      </c>
      <c r="I1124">
        <f>IF(Table1[[#This Row],[my_ent_2]]=Table1[[#This Row],[their_ent_2]], 1, 0)</f>
        <v>0</v>
      </c>
      <c r="J1124">
        <f>IF(Table1[[#This Row],[same_1]]=1 &amp; Table1[[#This Row],[same_2]]=1, 1, 0)</f>
        <v>0</v>
      </c>
      <c r="K1124">
        <f>IF(ISNUMBER(SEARCH(Table1[[#This Row],[their_ent_1]],Table1[[#This Row],[my_ent_1]])), 1, 0)</f>
        <v>0</v>
      </c>
      <c r="L1124">
        <f>IF(ISNUMBER(SEARCH(Table1[[#This Row],[their_ent_2]],Table1[[#This Row],[my_ent_2]])), 1, 0)</f>
        <v>0</v>
      </c>
    </row>
    <row r="1125" spans="1:12" x14ac:dyDescent="0.3">
      <c r="A1125" t="s">
        <v>3318</v>
      </c>
      <c r="B1125" t="s">
        <v>30</v>
      </c>
      <c r="C1125" t="s">
        <v>30</v>
      </c>
      <c r="D1125" t="s">
        <v>137</v>
      </c>
      <c r="E1125" t="s">
        <v>138</v>
      </c>
      <c r="F1125">
        <v>3</v>
      </c>
      <c r="G1125">
        <v>1123</v>
      </c>
      <c r="H1125">
        <f>IF(Table1[[#This Row],[my_ent_1]]=Table1[[#This Row],[their_ent_1]], 1, 0)</f>
        <v>1</v>
      </c>
      <c r="I1125">
        <f>IF(Table1[[#This Row],[my_ent_2]]=Table1[[#This Row],[their_ent_2]], 1, 0)</f>
        <v>0</v>
      </c>
      <c r="J1125">
        <f>IF(Table1[[#This Row],[same_1]]=1 &amp; Table1[[#This Row],[same_2]]=1, 1, 0)</f>
        <v>0</v>
      </c>
      <c r="K1125">
        <f>IF(ISNUMBER(SEARCH(Table1[[#This Row],[their_ent_1]],Table1[[#This Row],[my_ent_1]])), 1, 0)</f>
        <v>1</v>
      </c>
      <c r="L1125">
        <f>IF(ISNUMBER(SEARCH(Table1[[#This Row],[their_ent_2]],Table1[[#This Row],[my_ent_2]])), 1, 0)</f>
        <v>1</v>
      </c>
    </row>
    <row r="1126" spans="1:12" x14ac:dyDescent="0.3">
      <c r="A1126" t="s">
        <v>3319</v>
      </c>
      <c r="B1126" t="s">
        <v>3320</v>
      </c>
      <c r="C1126" t="s">
        <v>3320</v>
      </c>
      <c r="D1126" t="s">
        <v>3321</v>
      </c>
      <c r="E1126" t="s">
        <v>3322</v>
      </c>
      <c r="F1126">
        <v>1</v>
      </c>
      <c r="G1126">
        <v>1124</v>
      </c>
      <c r="H1126">
        <f>IF(Table1[[#This Row],[my_ent_1]]=Table1[[#This Row],[their_ent_1]], 1, 0)</f>
        <v>1</v>
      </c>
      <c r="I1126">
        <f>IF(Table1[[#This Row],[my_ent_2]]=Table1[[#This Row],[their_ent_2]], 1, 0)</f>
        <v>0</v>
      </c>
      <c r="J1126">
        <f>IF(Table1[[#This Row],[same_1]]=1 &amp; Table1[[#This Row],[same_2]]=1, 1, 0)</f>
        <v>0</v>
      </c>
      <c r="K1126">
        <f>IF(ISNUMBER(SEARCH(Table1[[#This Row],[their_ent_1]],Table1[[#This Row],[my_ent_1]])), 1, 0)</f>
        <v>1</v>
      </c>
      <c r="L1126">
        <f>IF(ISNUMBER(SEARCH(Table1[[#This Row],[their_ent_2]],Table1[[#This Row],[my_ent_2]])), 1, 0)</f>
        <v>1</v>
      </c>
    </row>
    <row r="1127" spans="1:12" hidden="1" x14ac:dyDescent="0.3">
      <c r="A1127" t="s">
        <v>3323</v>
      </c>
      <c r="B1127" t="s">
        <v>2497</v>
      </c>
      <c r="C1127" t="s">
        <v>1500</v>
      </c>
      <c r="D1127" t="s">
        <v>3324</v>
      </c>
      <c r="E1127" t="s">
        <v>2497</v>
      </c>
      <c r="F1127">
        <v>3</v>
      </c>
      <c r="G1127">
        <v>1125</v>
      </c>
      <c r="H1127">
        <f>IF(Table1[[#This Row],[my_ent_1]]=Table1[[#This Row],[their_ent_1]], 1, 0)</f>
        <v>0</v>
      </c>
      <c r="I1127">
        <f>IF(Table1[[#This Row],[my_ent_2]]=Table1[[#This Row],[their_ent_2]], 1, 0)</f>
        <v>0</v>
      </c>
      <c r="J1127">
        <f>IF(Table1[[#This Row],[same_1]]=1 &amp; Table1[[#This Row],[same_2]]=1, 1, 0)</f>
        <v>0</v>
      </c>
      <c r="K1127">
        <f>IF(ISNUMBER(SEARCH(Table1[[#This Row],[their_ent_1]],Table1[[#This Row],[my_ent_1]])), 1, 0)</f>
        <v>0</v>
      </c>
      <c r="L1127">
        <f>IF(ISNUMBER(SEARCH(Table1[[#This Row],[their_ent_2]],Table1[[#This Row],[my_ent_2]])), 1, 0)</f>
        <v>0</v>
      </c>
    </row>
    <row r="1128" spans="1:12" hidden="1" x14ac:dyDescent="0.3">
      <c r="A1128" t="s">
        <v>3325</v>
      </c>
      <c r="B1128" t="s">
        <v>920</v>
      </c>
      <c r="C1128" t="s">
        <v>1219</v>
      </c>
      <c r="D1128" t="s">
        <v>7</v>
      </c>
      <c r="E1128" t="s">
        <v>165</v>
      </c>
      <c r="F1128">
        <v>3</v>
      </c>
      <c r="G1128">
        <v>1126</v>
      </c>
      <c r="H1128">
        <f>IF(Table1[[#This Row],[my_ent_1]]=Table1[[#This Row],[their_ent_1]], 1, 0)</f>
        <v>0</v>
      </c>
      <c r="I1128">
        <f>IF(Table1[[#This Row],[my_ent_2]]=Table1[[#This Row],[their_ent_2]], 1, 0)</f>
        <v>0</v>
      </c>
      <c r="J1128">
        <f>IF(Table1[[#This Row],[same_1]]=1 &amp; Table1[[#This Row],[same_2]]=1, 1, 0)</f>
        <v>0</v>
      </c>
      <c r="K1128">
        <f>IF(ISNUMBER(SEARCH(Table1[[#This Row],[their_ent_1]],Table1[[#This Row],[my_ent_1]])), 1, 0)</f>
        <v>1</v>
      </c>
      <c r="L1128">
        <f>IF(ISNUMBER(SEARCH(Table1[[#This Row],[their_ent_2]],Table1[[#This Row],[my_ent_2]])), 1, 0)</f>
        <v>0</v>
      </c>
    </row>
    <row r="1129" spans="1:12" x14ac:dyDescent="0.3">
      <c r="A1129" t="s">
        <v>3326</v>
      </c>
      <c r="B1129" t="s">
        <v>3327</v>
      </c>
      <c r="C1129" t="s">
        <v>3327</v>
      </c>
      <c r="D1129" t="s">
        <v>3328</v>
      </c>
      <c r="E1129" t="s">
        <v>3329</v>
      </c>
      <c r="F1129">
        <v>4</v>
      </c>
      <c r="G1129">
        <v>1127</v>
      </c>
      <c r="H1129">
        <f>IF(Table1[[#This Row],[my_ent_1]]=Table1[[#This Row],[their_ent_1]], 1, 0)</f>
        <v>1</v>
      </c>
      <c r="I1129">
        <f>IF(Table1[[#This Row],[my_ent_2]]=Table1[[#This Row],[their_ent_2]], 1, 0)</f>
        <v>0</v>
      </c>
      <c r="J1129">
        <f>IF(Table1[[#This Row],[same_1]]=1 &amp; Table1[[#This Row],[same_2]]=1, 1, 0)</f>
        <v>0</v>
      </c>
      <c r="K1129">
        <f>IF(ISNUMBER(SEARCH(Table1[[#This Row],[their_ent_1]],Table1[[#This Row],[my_ent_1]])), 1, 0)</f>
        <v>1</v>
      </c>
      <c r="L1129">
        <f>IF(ISNUMBER(SEARCH(Table1[[#This Row],[their_ent_2]],Table1[[#This Row],[my_ent_2]])), 1, 0)</f>
        <v>1</v>
      </c>
    </row>
    <row r="1130" spans="1:12" hidden="1" x14ac:dyDescent="0.3">
      <c r="A1130" t="s">
        <v>3330</v>
      </c>
      <c r="B1130" t="s">
        <v>241</v>
      </c>
      <c r="C1130" t="s">
        <v>957</v>
      </c>
      <c r="D1130" t="s">
        <v>401</v>
      </c>
      <c r="E1130" t="s">
        <v>98</v>
      </c>
      <c r="F1130">
        <v>3</v>
      </c>
      <c r="G1130">
        <v>1128</v>
      </c>
      <c r="H1130">
        <f>IF(Table1[[#This Row],[my_ent_1]]=Table1[[#This Row],[their_ent_1]], 1, 0)</f>
        <v>0</v>
      </c>
      <c r="I1130">
        <f>IF(Table1[[#This Row],[my_ent_2]]=Table1[[#This Row],[their_ent_2]], 1, 0)</f>
        <v>0</v>
      </c>
      <c r="J1130">
        <f>IF(Table1[[#This Row],[same_1]]=1 &amp; Table1[[#This Row],[same_2]]=1, 1, 0)</f>
        <v>0</v>
      </c>
      <c r="K1130">
        <f>IF(ISNUMBER(SEARCH(Table1[[#This Row],[their_ent_1]],Table1[[#This Row],[my_ent_1]])), 1, 0)</f>
        <v>0</v>
      </c>
      <c r="L1130">
        <f>IF(ISNUMBER(SEARCH(Table1[[#This Row],[their_ent_2]],Table1[[#This Row],[my_ent_2]])), 1, 0)</f>
        <v>0</v>
      </c>
    </row>
    <row r="1131" spans="1:12" hidden="1" x14ac:dyDescent="0.3">
      <c r="A1131" t="s">
        <v>3331</v>
      </c>
      <c r="B1131" t="s">
        <v>3332</v>
      </c>
      <c r="C1131" t="s">
        <v>3332</v>
      </c>
      <c r="D1131" t="s">
        <v>3333</v>
      </c>
      <c r="E1131" t="s">
        <v>3334</v>
      </c>
      <c r="F1131">
        <v>1</v>
      </c>
      <c r="G1131">
        <v>1129</v>
      </c>
      <c r="H1131">
        <f>IF(Table1[[#This Row],[my_ent_1]]=Table1[[#This Row],[their_ent_1]], 1, 0)</f>
        <v>1</v>
      </c>
      <c r="I1131">
        <f>IF(Table1[[#This Row],[my_ent_2]]=Table1[[#This Row],[their_ent_2]], 1, 0)</f>
        <v>0</v>
      </c>
      <c r="J1131">
        <f>IF(Table1[[#This Row],[same_1]]=1 &amp; Table1[[#This Row],[same_2]]=1, 1, 0)</f>
        <v>0</v>
      </c>
      <c r="K1131">
        <f>IF(ISNUMBER(SEARCH(Table1[[#This Row],[their_ent_1]],Table1[[#This Row],[my_ent_1]])), 1, 0)</f>
        <v>1</v>
      </c>
      <c r="L1131">
        <f>IF(ISNUMBER(SEARCH(Table1[[#This Row],[their_ent_2]],Table1[[#This Row],[my_ent_2]])), 1, 0)</f>
        <v>0</v>
      </c>
    </row>
    <row r="1132" spans="1:12" x14ac:dyDescent="0.3">
      <c r="A1132" t="s">
        <v>3335</v>
      </c>
      <c r="B1132" t="s">
        <v>3336</v>
      </c>
      <c r="C1132" t="s">
        <v>3337</v>
      </c>
      <c r="D1132" t="s">
        <v>3338</v>
      </c>
      <c r="E1132" t="s">
        <v>3339</v>
      </c>
      <c r="F1132">
        <v>3</v>
      </c>
      <c r="G1132">
        <v>1130</v>
      </c>
      <c r="H1132">
        <f>IF(Table1[[#This Row],[my_ent_1]]=Table1[[#This Row],[their_ent_1]], 1, 0)</f>
        <v>0</v>
      </c>
      <c r="I1132">
        <f>IF(Table1[[#This Row],[my_ent_2]]=Table1[[#This Row],[their_ent_2]], 1, 0)</f>
        <v>0</v>
      </c>
      <c r="J1132">
        <f>IF(Table1[[#This Row],[same_1]]=1 &amp; Table1[[#This Row],[same_2]]=1, 1, 0)</f>
        <v>0</v>
      </c>
      <c r="K1132">
        <f>IF(ISNUMBER(SEARCH(Table1[[#This Row],[their_ent_1]],Table1[[#This Row],[my_ent_1]])), 1, 0)</f>
        <v>1</v>
      </c>
      <c r="L1132">
        <f>IF(ISNUMBER(SEARCH(Table1[[#This Row],[their_ent_2]],Table1[[#This Row],[my_ent_2]])), 1, 0)</f>
        <v>1</v>
      </c>
    </row>
    <row r="1133" spans="1:12" x14ac:dyDescent="0.3">
      <c r="A1133" t="s">
        <v>3340</v>
      </c>
      <c r="B1133" t="s">
        <v>3341</v>
      </c>
      <c r="C1133" t="s">
        <v>3342</v>
      </c>
      <c r="D1133" t="s">
        <v>3343</v>
      </c>
      <c r="E1133" t="s">
        <v>3343</v>
      </c>
      <c r="F1133">
        <v>3</v>
      </c>
      <c r="G1133">
        <v>1131</v>
      </c>
      <c r="H1133">
        <f>IF(Table1[[#This Row],[my_ent_1]]=Table1[[#This Row],[their_ent_1]], 1, 0)</f>
        <v>0</v>
      </c>
      <c r="I1133">
        <f>IF(Table1[[#This Row],[my_ent_2]]=Table1[[#This Row],[their_ent_2]], 1, 0)</f>
        <v>1</v>
      </c>
      <c r="J1133">
        <f>IF(Table1[[#This Row],[same_1]]=1 &amp; Table1[[#This Row],[same_2]]=1, 1, 0)</f>
        <v>0</v>
      </c>
      <c r="K1133">
        <f>IF(ISNUMBER(SEARCH(Table1[[#This Row],[their_ent_1]],Table1[[#This Row],[my_ent_1]])), 1, 0)</f>
        <v>1</v>
      </c>
      <c r="L1133">
        <f>IF(ISNUMBER(SEARCH(Table1[[#This Row],[their_ent_2]],Table1[[#This Row],[my_ent_2]])), 1, 0)</f>
        <v>1</v>
      </c>
    </row>
    <row r="1134" spans="1:12" x14ac:dyDescent="0.3">
      <c r="A1134" t="s">
        <v>3344</v>
      </c>
      <c r="B1134" t="s">
        <v>3345</v>
      </c>
      <c r="C1134" t="s">
        <v>3346</v>
      </c>
      <c r="D1134" t="s">
        <v>7</v>
      </c>
      <c r="E1134" t="s">
        <v>7</v>
      </c>
      <c r="F1134">
        <v>3</v>
      </c>
      <c r="G1134">
        <v>1132</v>
      </c>
      <c r="H1134">
        <f>IF(Table1[[#This Row],[my_ent_1]]=Table1[[#This Row],[their_ent_1]], 1, 0)</f>
        <v>0</v>
      </c>
      <c r="I1134">
        <f>IF(Table1[[#This Row],[my_ent_2]]=Table1[[#This Row],[their_ent_2]], 1, 0)</f>
        <v>1</v>
      </c>
      <c r="J1134">
        <f>IF(Table1[[#This Row],[same_1]]=1 &amp; Table1[[#This Row],[same_2]]=1, 1, 0)</f>
        <v>0</v>
      </c>
      <c r="K1134">
        <f>IF(ISNUMBER(SEARCH(Table1[[#This Row],[their_ent_1]],Table1[[#This Row],[my_ent_1]])), 1, 0)</f>
        <v>1</v>
      </c>
      <c r="L1134">
        <f>IF(ISNUMBER(SEARCH(Table1[[#This Row],[their_ent_2]],Table1[[#This Row],[my_ent_2]])), 1, 0)</f>
        <v>1</v>
      </c>
    </row>
    <row r="1135" spans="1:12" hidden="1" x14ac:dyDescent="0.3">
      <c r="A1135" t="s">
        <v>3347</v>
      </c>
      <c r="B1135" t="s">
        <v>3348</v>
      </c>
      <c r="C1135" t="s">
        <v>3348</v>
      </c>
      <c r="D1135" t="s">
        <v>1518</v>
      </c>
      <c r="E1135" t="s">
        <v>3349</v>
      </c>
      <c r="F1135">
        <v>1</v>
      </c>
      <c r="G1135">
        <v>1133</v>
      </c>
      <c r="H1135">
        <f>IF(Table1[[#This Row],[my_ent_1]]=Table1[[#This Row],[their_ent_1]], 1, 0)</f>
        <v>1</v>
      </c>
      <c r="I1135">
        <f>IF(Table1[[#This Row],[my_ent_2]]=Table1[[#This Row],[their_ent_2]], 1, 0)</f>
        <v>0</v>
      </c>
      <c r="J1135">
        <f>IF(Table1[[#This Row],[same_1]]=1 &amp; Table1[[#This Row],[same_2]]=1, 1, 0)</f>
        <v>0</v>
      </c>
      <c r="K1135">
        <f>IF(ISNUMBER(SEARCH(Table1[[#This Row],[their_ent_1]],Table1[[#This Row],[my_ent_1]])), 1, 0)</f>
        <v>1</v>
      </c>
      <c r="L1135">
        <f>IF(ISNUMBER(SEARCH(Table1[[#This Row],[their_ent_2]],Table1[[#This Row],[my_ent_2]])), 1, 0)</f>
        <v>0</v>
      </c>
    </row>
    <row r="1136" spans="1:12" x14ac:dyDescent="0.3">
      <c r="A1136" t="s">
        <v>3350</v>
      </c>
      <c r="B1136" t="s">
        <v>1987</v>
      </c>
      <c r="C1136" t="s">
        <v>1987</v>
      </c>
      <c r="D1136" t="s">
        <v>3351</v>
      </c>
      <c r="E1136" t="s">
        <v>138</v>
      </c>
      <c r="F1136">
        <v>3</v>
      </c>
      <c r="G1136">
        <v>1134</v>
      </c>
      <c r="H1136">
        <f>IF(Table1[[#This Row],[my_ent_1]]=Table1[[#This Row],[their_ent_1]], 1, 0)</f>
        <v>1</v>
      </c>
      <c r="I1136">
        <f>IF(Table1[[#This Row],[my_ent_2]]=Table1[[#This Row],[their_ent_2]], 1, 0)</f>
        <v>0</v>
      </c>
      <c r="J1136">
        <f>IF(Table1[[#This Row],[same_1]]=1 &amp; Table1[[#This Row],[same_2]]=1, 1, 0)</f>
        <v>0</v>
      </c>
      <c r="K1136">
        <f>IF(ISNUMBER(SEARCH(Table1[[#This Row],[their_ent_1]],Table1[[#This Row],[my_ent_1]])), 1, 0)</f>
        <v>1</v>
      </c>
      <c r="L1136">
        <f>IF(ISNUMBER(SEARCH(Table1[[#This Row],[their_ent_2]],Table1[[#This Row],[my_ent_2]])), 1, 0)</f>
        <v>1</v>
      </c>
    </row>
    <row r="1137" spans="1:12" hidden="1" x14ac:dyDescent="0.3">
      <c r="A1137" t="s">
        <v>3352</v>
      </c>
      <c r="B1137" t="s">
        <v>3353</v>
      </c>
      <c r="C1137" t="s">
        <v>3354</v>
      </c>
      <c r="D1137" t="s">
        <v>3354</v>
      </c>
      <c r="E1137" t="s">
        <v>3355</v>
      </c>
      <c r="F1137">
        <v>1</v>
      </c>
      <c r="G1137">
        <v>1135</v>
      </c>
      <c r="H1137">
        <f>IF(Table1[[#This Row],[my_ent_1]]=Table1[[#This Row],[their_ent_1]], 1, 0)</f>
        <v>0</v>
      </c>
      <c r="I1137">
        <f>IF(Table1[[#This Row],[my_ent_2]]=Table1[[#This Row],[their_ent_2]], 1, 0)</f>
        <v>0</v>
      </c>
      <c r="J1137">
        <f>IF(Table1[[#This Row],[same_1]]=1 &amp; Table1[[#This Row],[same_2]]=1, 1, 0)</f>
        <v>0</v>
      </c>
      <c r="K1137">
        <f>IF(ISNUMBER(SEARCH(Table1[[#This Row],[their_ent_1]],Table1[[#This Row],[my_ent_1]])), 1, 0)</f>
        <v>1</v>
      </c>
      <c r="L1137">
        <f>IF(ISNUMBER(SEARCH(Table1[[#This Row],[their_ent_2]],Table1[[#This Row],[my_ent_2]])), 1, 0)</f>
        <v>0</v>
      </c>
    </row>
    <row r="1138" spans="1:12" x14ac:dyDescent="0.3">
      <c r="A1138" t="s">
        <v>3356</v>
      </c>
      <c r="B1138" t="s">
        <v>3357</v>
      </c>
      <c r="C1138" t="s">
        <v>2744</v>
      </c>
      <c r="D1138" t="s">
        <v>3358</v>
      </c>
      <c r="E1138" t="s">
        <v>3358</v>
      </c>
      <c r="F1138">
        <v>1</v>
      </c>
      <c r="G1138">
        <v>1136</v>
      </c>
      <c r="H1138">
        <f>IF(Table1[[#This Row],[my_ent_1]]=Table1[[#This Row],[their_ent_1]], 1, 0)</f>
        <v>0</v>
      </c>
      <c r="I1138">
        <f>IF(Table1[[#This Row],[my_ent_2]]=Table1[[#This Row],[their_ent_2]], 1, 0)</f>
        <v>1</v>
      </c>
      <c r="J1138">
        <f>IF(Table1[[#This Row],[same_1]]=1 &amp; Table1[[#This Row],[same_2]]=1, 1, 0)</f>
        <v>0</v>
      </c>
      <c r="K1138">
        <f>IF(ISNUMBER(SEARCH(Table1[[#This Row],[their_ent_1]],Table1[[#This Row],[my_ent_1]])), 1, 0)</f>
        <v>1</v>
      </c>
      <c r="L1138">
        <f>IF(ISNUMBER(SEARCH(Table1[[#This Row],[their_ent_2]],Table1[[#This Row],[my_ent_2]])), 1, 0)</f>
        <v>1</v>
      </c>
    </row>
    <row r="1139" spans="1:12" hidden="1" x14ac:dyDescent="0.3">
      <c r="A1139" t="s">
        <v>3359</v>
      </c>
      <c r="B1139" t="s">
        <v>3360</v>
      </c>
      <c r="C1139" t="s">
        <v>3360</v>
      </c>
      <c r="D1139" t="s">
        <v>3361</v>
      </c>
      <c r="E1139" t="s">
        <v>3362</v>
      </c>
      <c r="F1139">
        <v>1</v>
      </c>
      <c r="G1139">
        <v>1137</v>
      </c>
      <c r="H1139">
        <f>IF(Table1[[#This Row],[my_ent_1]]=Table1[[#This Row],[their_ent_1]], 1, 0)</f>
        <v>1</v>
      </c>
      <c r="I1139">
        <f>IF(Table1[[#This Row],[my_ent_2]]=Table1[[#This Row],[their_ent_2]], 1, 0)</f>
        <v>0</v>
      </c>
      <c r="J1139">
        <f>IF(Table1[[#This Row],[same_1]]=1 &amp; Table1[[#This Row],[same_2]]=1, 1, 0)</f>
        <v>0</v>
      </c>
      <c r="K1139">
        <f>IF(ISNUMBER(SEARCH(Table1[[#This Row],[their_ent_1]],Table1[[#This Row],[my_ent_1]])), 1, 0)</f>
        <v>1</v>
      </c>
      <c r="L1139">
        <f>IF(ISNUMBER(SEARCH(Table1[[#This Row],[their_ent_2]],Table1[[#This Row],[my_ent_2]])), 1, 0)</f>
        <v>0</v>
      </c>
    </row>
    <row r="1140" spans="1:12" x14ac:dyDescent="0.3">
      <c r="A1140" t="s">
        <v>3363</v>
      </c>
      <c r="B1140" t="s">
        <v>142</v>
      </c>
      <c r="C1140" t="s">
        <v>143</v>
      </c>
      <c r="D1140" t="s">
        <v>428</v>
      </c>
      <c r="E1140" t="s">
        <v>428</v>
      </c>
      <c r="F1140">
        <v>1</v>
      </c>
      <c r="G1140">
        <v>1138</v>
      </c>
      <c r="H1140">
        <f>IF(Table1[[#This Row],[my_ent_1]]=Table1[[#This Row],[their_ent_1]], 1, 0)</f>
        <v>0</v>
      </c>
      <c r="I1140">
        <f>IF(Table1[[#This Row],[my_ent_2]]=Table1[[#This Row],[their_ent_2]], 1, 0)</f>
        <v>1</v>
      </c>
      <c r="J1140">
        <f>IF(Table1[[#This Row],[same_1]]=1 &amp; Table1[[#This Row],[same_2]]=1, 1, 0)</f>
        <v>0</v>
      </c>
      <c r="K1140">
        <f>IF(ISNUMBER(SEARCH(Table1[[#This Row],[their_ent_1]],Table1[[#This Row],[my_ent_1]])), 1, 0)</f>
        <v>1</v>
      </c>
      <c r="L1140">
        <f>IF(ISNUMBER(SEARCH(Table1[[#This Row],[their_ent_2]],Table1[[#This Row],[my_ent_2]])), 1, 0)</f>
        <v>1</v>
      </c>
    </row>
    <row r="1141" spans="1:12" x14ac:dyDescent="0.3">
      <c r="A1141" t="s">
        <v>3364</v>
      </c>
      <c r="B1141" t="s">
        <v>28</v>
      </c>
      <c r="C1141" t="s">
        <v>58</v>
      </c>
      <c r="D1141" t="s">
        <v>137</v>
      </c>
      <c r="E1141" t="s">
        <v>138</v>
      </c>
      <c r="F1141">
        <v>4</v>
      </c>
      <c r="G1141">
        <v>1139</v>
      </c>
      <c r="H1141">
        <f>IF(Table1[[#This Row],[my_ent_1]]=Table1[[#This Row],[their_ent_1]], 1, 0)</f>
        <v>0</v>
      </c>
      <c r="I1141">
        <f>IF(Table1[[#This Row],[my_ent_2]]=Table1[[#This Row],[their_ent_2]], 1, 0)</f>
        <v>0</v>
      </c>
      <c r="J1141">
        <f>IF(Table1[[#This Row],[same_1]]=1 &amp; Table1[[#This Row],[same_2]]=1, 1, 0)</f>
        <v>0</v>
      </c>
      <c r="K1141">
        <f>IF(ISNUMBER(SEARCH(Table1[[#This Row],[their_ent_1]],Table1[[#This Row],[my_ent_1]])), 1, 0)</f>
        <v>1</v>
      </c>
      <c r="L1141">
        <f>IF(ISNUMBER(SEARCH(Table1[[#This Row],[their_ent_2]],Table1[[#This Row],[my_ent_2]])), 1, 0)</f>
        <v>1</v>
      </c>
    </row>
    <row r="1142" spans="1:12" hidden="1" x14ac:dyDescent="0.3">
      <c r="A1142" t="s">
        <v>3365</v>
      </c>
      <c r="B1142" t="s">
        <v>94</v>
      </c>
      <c r="C1142" t="s">
        <v>195</v>
      </c>
      <c r="D1142" t="s">
        <v>195</v>
      </c>
      <c r="E1142" t="s">
        <v>148</v>
      </c>
      <c r="F1142">
        <v>1</v>
      </c>
      <c r="G1142">
        <v>1140</v>
      </c>
      <c r="H1142">
        <f>IF(Table1[[#This Row],[my_ent_1]]=Table1[[#This Row],[their_ent_1]], 1, 0)</f>
        <v>0</v>
      </c>
      <c r="I1142">
        <f>IF(Table1[[#This Row],[my_ent_2]]=Table1[[#This Row],[their_ent_2]], 1, 0)</f>
        <v>0</v>
      </c>
      <c r="J1142">
        <f>IF(Table1[[#This Row],[same_1]]=1 &amp; Table1[[#This Row],[same_2]]=1, 1, 0)</f>
        <v>0</v>
      </c>
      <c r="K1142">
        <f>IF(ISNUMBER(SEARCH(Table1[[#This Row],[their_ent_1]],Table1[[#This Row],[my_ent_1]])), 1, 0)</f>
        <v>0</v>
      </c>
      <c r="L1142">
        <f>IF(ISNUMBER(SEARCH(Table1[[#This Row],[their_ent_2]],Table1[[#This Row],[my_ent_2]])), 1, 0)</f>
        <v>0</v>
      </c>
    </row>
    <row r="1143" spans="1:12" hidden="1" x14ac:dyDescent="0.3">
      <c r="A1143" t="s">
        <v>3366</v>
      </c>
      <c r="B1143" t="s">
        <v>3367</v>
      </c>
      <c r="C1143" t="s">
        <v>3367</v>
      </c>
      <c r="D1143" t="s">
        <v>3368</v>
      </c>
      <c r="E1143" t="s">
        <v>3369</v>
      </c>
      <c r="F1143">
        <v>1</v>
      </c>
      <c r="G1143">
        <v>1141</v>
      </c>
      <c r="H1143">
        <f>IF(Table1[[#This Row],[my_ent_1]]=Table1[[#This Row],[their_ent_1]], 1, 0)</f>
        <v>1</v>
      </c>
      <c r="I1143">
        <f>IF(Table1[[#This Row],[my_ent_2]]=Table1[[#This Row],[their_ent_2]], 1, 0)</f>
        <v>0</v>
      </c>
      <c r="J1143">
        <f>IF(Table1[[#This Row],[same_1]]=1 &amp; Table1[[#This Row],[same_2]]=1, 1, 0)</f>
        <v>0</v>
      </c>
      <c r="K1143">
        <f>IF(ISNUMBER(SEARCH(Table1[[#This Row],[their_ent_1]],Table1[[#This Row],[my_ent_1]])), 1, 0)</f>
        <v>1</v>
      </c>
      <c r="L1143">
        <f>IF(ISNUMBER(SEARCH(Table1[[#This Row],[their_ent_2]],Table1[[#This Row],[my_ent_2]])), 1, 0)</f>
        <v>0</v>
      </c>
    </row>
    <row r="1144" spans="1:12" hidden="1" x14ac:dyDescent="0.3">
      <c r="A1144" t="s">
        <v>3370</v>
      </c>
      <c r="B1144" t="s">
        <v>3371</v>
      </c>
      <c r="C1144" t="s">
        <v>3372</v>
      </c>
      <c r="D1144" t="s">
        <v>3373</v>
      </c>
      <c r="E1144" t="s">
        <v>3369</v>
      </c>
      <c r="F1144">
        <v>3</v>
      </c>
      <c r="G1144">
        <v>1142</v>
      </c>
      <c r="H1144">
        <f>IF(Table1[[#This Row],[my_ent_1]]=Table1[[#This Row],[their_ent_1]], 1, 0)</f>
        <v>0</v>
      </c>
      <c r="I1144">
        <f>IF(Table1[[#This Row],[my_ent_2]]=Table1[[#This Row],[their_ent_2]], 1, 0)</f>
        <v>0</v>
      </c>
      <c r="J1144">
        <f>IF(Table1[[#This Row],[same_1]]=1 &amp; Table1[[#This Row],[same_2]]=1, 1, 0)</f>
        <v>0</v>
      </c>
      <c r="K1144">
        <f>IF(ISNUMBER(SEARCH(Table1[[#This Row],[their_ent_1]],Table1[[#This Row],[my_ent_1]])), 1, 0)</f>
        <v>1</v>
      </c>
      <c r="L1144">
        <f>IF(ISNUMBER(SEARCH(Table1[[#This Row],[their_ent_2]],Table1[[#This Row],[my_ent_2]])), 1, 0)</f>
        <v>0</v>
      </c>
    </row>
    <row r="1145" spans="1:12" hidden="1" x14ac:dyDescent="0.3">
      <c r="A1145" t="s">
        <v>3374</v>
      </c>
      <c r="B1145" t="s">
        <v>1405</v>
      </c>
      <c r="C1145" t="s">
        <v>3375</v>
      </c>
      <c r="D1145" t="s">
        <v>3376</v>
      </c>
      <c r="E1145" t="s">
        <v>3377</v>
      </c>
      <c r="F1145">
        <v>3</v>
      </c>
      <c r="G1145">
        <v>1143</v>
      </c>
      <c r="H1145">
        <f>IF(Table1[[#This Row],[my_ent_1]]=Table1[[#This Row],[their_ent_1]], 1, 0)</f>
        <v>0</v>
      </c>
      <c r="I1145">
        <f>IF(Table1[[#This Row],[my_ent_2]]=Table1[[#This Row],[their_ent_2]], 1, 0)</f>
        <v>0</v>
      </c>
      <c r="J1145">
        <f>IF(Table1[[#This Row],[same_1]]=1 &amp; Table1[[#This Row],[same_2]]=1, 1, 0)</f>
        <v>0</v>
      </c>
      <c r="K1145">
        <f>IF(ISNUMBER(SEARCH(Table1[[#This Row],[their_ent_1]],Table1[[#This Row],[my_ent_1]])), 1, 0)</f>
        <v>0</v>
      </c>
      <c r="L1145">
        <f>IF(ISNUMBER(SEARCH(Table1[[#This Row],[their_ent_2]],Table1[[#This Row],[my_ent_2]])), 1, 0)</f>
        <v>0</v>
      </c>
    </row>
    <row r="1146" spans="1:12" hidden="1" x14ac:dyDescent="0.3">
      <c r="A1146" t="s">
        <v>3378</v>
      </c>
      <c r="B1146" t="s">
        <v>184</v>
      </c>
      <c r="C1146" t="s">
        <v>184</v>
      </c>
      <c r="D1146" t="s">
        <v>94</v>
      </c>
      <c r="E1146" t="s">
        <v>3379</v>
      </c>
      <c r="F1146">
        <v>1</v>
      </c>
      <c r="G1146">
        <v>1144</v>
      </c>
      <c r="H1146">
        <f>IF(Table1[[#This Row],[my_ent_1]]=Table1[[#This Row],[their_ent_1]], 1, 0)</f>
        <v>1</v>
      </c>
      <c r="I1146">
        <f>IF(Table1[[#This Row],[my_ent_2]]=Table1[[#This Row],[their_ent_2]], 1, 0)</f>
        <v>0</v>
      </c>
      <c r="J1146">
        <f>IF(Table1[[#This Row],[same_1]]=1 &amp; Table1[[#This Row],[same_2]]=1, 1, 0)</f>
        <v>0</v>
      </c>
      <c r="K1146">
        <f>IF(ISNUMBER(SEARCH(Table1[[#This Row],[their_ent_1]],Table1[[#This Row],[my_ent_1]])), 1, 0)</f>
        <v>1</v>
      </c>
      <c r="L1146">
        <f>IF(ISNUMBER(SEARCH(Table1[[#This Row],[their_ent_2]],Table1[[#This Row],[my_ent_2]])), 1, 0)</f>
        <v>0</v>
      </c>
    </row>
    <row r="1147" spans="1:12" hidden="1" x14ac:dyDescent="0.3">
      <c r="A1147" t="s">
        <v>3380</v>
      </c>
      <c r="B1147" t="s">
        <v>125</v>
      </c>
      <c r="C1147" t="s">
        <v>3381</v>
      </c>
      <c r="D1147" t="s">
        <v>3382</v>
      </c>
      <c r="E1147" t="s">
        <v>3383</v>
      </c>
      <c r="F1147">
        <v>1</v>
      </c>
      <c r="G1147">
        <v>1145</v>
      </c>
      <c r="H1147">
        <f>IF(Table1[[#This Row],[my_ent_1]]=Table1[[#This Row],[their_ent_1]], 1, 0)</f>
        <v>0</v>
      </c>
      <c r="I1147">
        <f>IF(Table1[[#This Row],[my_ent_2]]=Table1[[#This Row],[their_ent_2]], 1, 0)</f>
        <v>0</v>
      </c>
      <c r="J1147">
        <f>IF(Table1[[#This Row],[same_1]]=1 &amp; Table1[[#This Row],[same_2]]=1, 1, 0)</f>
        <v>0</v>
      </c>
      <c r="K1147">
        <f>IF(ISNUMBER(SEARCH(Table1[[#This Row],[their_ent_1]],Table1[[#This Row],[my_ent_1]])), 1, 0)</f>
        <v>0</v>
      </c>
      <c r="L1147">
        <f>IF(ISNUMBER(SEARCH(Table1[[#This Row],[their_ent_2]],Table1[[#This Row],[my_ent_2]])), 1, 0)</f>
        <v>1</v>
      </c>
    </row>
    <row r="1148" spans="1:12" hidden="1" x14ac:dyDescent="0.3">
      <c r="A1148" t="s">
        <v>3071</v>
      </c>
      <c r="B1148" t="s">
        <v>3072</v>
      </c>
      <c r="C1148" t="s">
        <v>3072</v>
      </c>
      <c r="D1148" t="s">
        <v>7</v>
      </c>
      <c r="E1148" t="s">
        <v>138</v>
      </c>
      <c r="F1148">
        <v>3</v>
      </c>
      <c r="G1148">
        <v>1146</v>
      </c>
      <c r="H1148">
        <f>IF(Table1[[#This Row],[my_ent_1]]=Table1[[#This Row],[their_ent_1]], 1, 0)</f>
        <v>1</v>
      </c>
      <c r="I1148">
        <f>IF(Table1[[#This Row],[my_ent_2]]=Table1[[#This Row],[their_ent_2]], 1, 0)</f>
        <v>0</v>
      </c>
      <c r="J1148">
        <f>IF(Table1[[#This Row],[same_1]]=1 &amp; Table1[[#This Row],[same_2]]=1, 1, 0)</f>
        <v>0</v>
      </c>
      <c r="K1148">
        <f>IF(ISNUMBER(SEARCH(Table1[[#This Row],[their_ent_1]],Table1[[#This Row],[my_ent_1]])), 1, 0)</f>
        <v>1</v>
      </c>
      <c r="L1148">
        <f>IF(ISNUMBER(SEARCH(Table1[[#This Row],[their_ent_2]],Table1[[#This Row],[my_ent_2]])), 1, 0)</f>
        <v>0</v>
      </c>
    </row>
    <row r="1149" spans="1:12" hidden="1" x14ac:dyDescent="0.3">
      <c r="A1149" t="s">
        <v>3384</v>
      </c>
      <c r="B1149" t="s">
        <v>3385</v>
      </c>
      <c r="C1149" t="s">
        <v>3386</v>
      </c>
      <c r="D1149" t="s">
        <v>58</v>
      </c>
      <c r="E1149" t="s">
        <v>58</v>
      </c>
      <c r="F1149">
        <v>3</v>
      </c>
      <c r="G1149">
        <v>1147</v>
      </c>
      <c r="H1149">
        <f>IF(Table1[[#This Row],[my_ent_1]]=Table1[[#This Row],[their_ent_1]], 1, 0)</f>
        <v>0</v>
      </c>
      <c r="I1149">
        <f>IF(Table1[[#This Row],[my_ent_2]]=Table1[[#This Row],[their_ent_2]], 1, 0)</f>
        <v>1</v>
      </c>
      <c r="J1149">
        <f>IF(Table1[[#This Row],[same_1]]=1 &amp; Table1[[#This Row],[same_2]]=1, 1, 0)</f>
        <v>0</v>
      </c>
      <c r="K1149">
        <f>IF(ISNUMBER(SEARCH(Table1[[#This Row],[their_ent_1]],Table1[[#This Row],[my_ent_1]])), 1, 0)</f>
        <v>0</v>
      </c>
      <c r="L1149">
        <f>IF(ISNUMBER(SEARCH(Table1[[#This Row],[their_ent_2]],Table1[[#This Row],[my_ent_2]])), 1, 0)</f>
        <v>1</v>
      </c>
    </row>
    <row r="1150" spans="1:12" hidden="1" x14ac:dyDescent="0.3">
      <c r="A1150" t="s">
        <v>3387</v>
      </c>
      <c r="B1150" t="s">
        <v>3388</v>
      </c>
      <c r="C1150" t="s">
        <v>3389</v>
      </c>
      <c r="D1150" t="s">
        <v>3390</v>
      </c>
      <c r="E1150" t="s">
        <v>3390</v>
      </c>
      <c r="F1150">
        <v>3</v>
      </c>
      <c r="G1150">
        <v>1148</v>
      </c>
      <c r="H1150">
        <f>IF(Table1[[#This Row],[my_ent_1]]=Table1[[#This Row],[their_ent_1]], 1, 0)</f>
        <v>0</v>
      </c>
      <c r="I1150">
        <f>IF(Table1[[#This Row],[my_ent_2]]=Table1[[#This Row],[their_ent_2]], 1, 0)</f>
        <v>1</v>
      </c>
      <c r="J1150">
        <f>IF(Table1[[#This Row],[same_1]]=1 &amp; Table1[[#This Row],[same_2]]=1, 1, 0)</f>
        <v>0</v>
      </c>
      <c r="K1150">
        <f>IF(ISNUMBER(SEARCH(Table1[[#This Row],[their_ent_1]],Table1[[#This Row],[my_ent_1]])), 1, 0)</f>
        <v>0</v>
      </c>
      <c r="L1150">
        <f>IF(ISNUMBER(SEARCH(Table1[[#This Row],[their_ent_2]],Table1[[#This Row],[my_ent_2]])), 1, 0)</f>
        <v>1</v>
      </c>
    </row>
    <row r="1151" spans="1:12" x14ac:dyDescent="0.3">
      <c r="A1151" t="s">
        <v>3391</v>
      </c>
      <c r="B1151" t="s">
        <v>3392</v>
      </c>
      <c r="C1151" t="s">
        <v>3393</v>
      </c>
      <c r="D1151" t="s">
        <v>1137</v>
      </c>
      <c r="E1151" t="s">
        <v>7</v>
      </c>
      <c r="F1151">
        <v>3</v>
      </c>
      <c r="G1151">
        <v>1149</v>
      </c>
      <c r="H1151">
        <f>IF(Table1[[#This Row],[my_ent_1]]=Table1[[#This Row],[their_ent_1]], 1, 0)</f>
        <v>0</v>
      </c>
      <c r="I1151">
        <f>IF(Table1[[#This Row],[my_ent_2]]=Table1[[#This Row],[their_ent_2]], 1, 0)</f>
        <v>0</v>
      </c>
      <c r="J1151">
        <f>IF(Table1[[#This Row],[same_1]]=1 &amp; Table1[[#This Row],[same_2]]=1, 1, 0)</f>
        <v>0</v>
      </c>
      <c r="K1151">
        <f>IF(ISNUMBER(SEARCH(Table1[[#This Row],[their_ent_1]],Table1[[#This Row],[my_ent_1]])), 1, 0)</f>
        <v>1</v>
      </c>
      <c r="L1151">
        <f>IF(ISNUMBER(SEARCH(Table1[[#This Row],[their_ent_2]],Table1[[#This Row],[my_ent_2]])), 1, 0)</f>
        <v>1</v>
      </c>
    </row>
    <row r="1152" spans="1:12" hidden="1" x14ac:dyDescent="0.3">
      <c r="A1152" t="s">
        <v>3394</v>
      </c>
      <c r="B1152" t="s">
        <v>525</v>
      </c>
      <c r="C1152" t="s">
        <v>525</v>
      </c>
      <c r="D1152" t="s">
        <v>7</v>
      </c>
      <c r="E1152" t="s">
        <v>165</v>
      </c>
      <c r="F1152">
        <v>3</v>
      </c>
      <c r="G1152">
        <v>1150</v>
      </c>
      <c r="H1152">
        <f>IF(Table1[[#This Row],[my_ent_1]]=Table1[[#This Row],[their_ent_1]], 1, 0)</f>
        <v>1</v>
      </c>
      <c r="I1152">
        <f>IF(Table1[[#This Row],[my_ent_2]]=Table1[[#This Row],[their_ent_2]], 1, 0)</f>
        <v>0</v>
      </c>
      <c r="J1152">
        <f>IF(Table1[[#This Row],[same_1]]=1 &amp; Table1[[#This Row],[same_2]]=1, 1, 0)</f>
        <v>0</v>
      </c>
      <c r="K1152">
        <f>IF(ISNUMBER(SEARCH(Table1[[#This Row],[their_ent_1]],Table1[[#This Row],[my_ent_1]])), 1, 0)</f>
        <v>1</v>
      </c>
      <c r="L1152">
        <f>IF(ISNUMBER(SEARCH(Table1[[#This Row],[their_ent_2]],Table1[[#This Row],[my_ent_2]])), 1, 0)</f>
        <v>0</v>
      </c>
    </row>
    <row r="1153" spans="1:12" hidden="1" x14ac:dyDescent="0.3">
      <c r="A1153" t="s">
        <v>3395</v>
      </c>
      <c r="B1153" t="s">
        <v>316</v>
      </c>
      <c r="C1153" t="s">
        <v>316</v>
      </c>
      <c r="D1153" t="s">
        <v>2153</v>
      </c>
      <c r="E1153" t="s">
        <v>3396</v>
      </c>
      <c r="F1153">
        <v>3</v>
      </c>
      <c r="G1153">
        <v>1151</v>
      </c>
      <c r="H1153">
        <f>IF(Table1[[#This Row],[my_ent_1]]=Table1[[#This Row],[their_ent_1]], 1, 0)</f>
        <v>1</v>
      </c>
      <c r="I1153">
        <f>IF(Table1[[#This Row],[my_ent_2]]=Table1[[#This Row],[their_ent_2]], 1, 0)</f>
        <v>0</v>
      </c>
      <c r="J1153">
        <f>IF(Table1[[#This Row],[same_1]]=1 &amp; Table1[[#This Row],[same_2]]=1, 1, 0)</f>
        <v>0</v>
      </c>
      <c r="K1153">
        <f>IF(ISNUMBER(SEARCH(Table1[[#This Row],[their_ent_1]],Table1[[#This Row],[my_ent_1]])), 1, 0)</f>
        <v>1</v>
      </c>
      <c r="L1153">
        <f>IF(ISNUMBER(SEARCH(Table1[[#This Row],[their_ent_2]],Table1[[#This Row],[my_ent_2]])), 1, 0)</f>
        <v>0</v>
      </c>
    </row>
    <row r="1154" spans="1:12" hidden="1" x14ac:dyDescent="0.3">
      <c r="A1154" t="s">
        <v>3397</v>
      </c>
      <c r="B1154" t="s">
        <v>3398</v>
      </c>
      <c r="C1154" t="s">
        <v>3399</v>
      </c>
      <c r="D1154" t="s">
        <v>3400</v>
      </c>
      <c r="E1154" t="s">
        <v>3401</v>
      </c>
      <c r="F1154">
        <v>3</v>
      </c>
      <c r="G1154">
        <v>1152</v>
      </c>
      <c r="H1154">
        <f>IF(Table1[[#This Row],[my_ent_1]]=Table1[[#This Row],[their_ent_1]], 1, 0)</f>
        <v>0</v>
      </c>
      <c r="I1154">
        <f>IF(Table1[[#This Row],[my_ent_2]]=Table1[[#This Row],[their_ent_2]], 1, 0)</f>
        <v>0</v>
      </c>
      <c r="J1154">
        <f>IF(Table1[[#This Row],[same_1]]=1 &amp; Table1[[#This Row],[same_2]]=1, 1, 0)</f>
        <v>0</v>
      </c>
      <c r="K1154">
        <f>IF(ISNUMBER(SEARCH(Table1[[#This Row],[their_ent_1]],Table1[[#This Row],[my_ent_1]])), 1, 0)</f>
        <v>0</v>
      </c>
      <c r="L1154">
        <f>IF(ISNUMBER(SEARCH(Table1[[#This Row],[their_ent_2]],Table1[[#This Row],[my_ent_2]])), 1, 0)</f>
        <v>1</v>
      </c>
    </row>
    <row r="1155" spans="1:12" hidden="1" x14ac:dyDescent="0.3">
      <c r="A1155" t="s">
        <v>3402</v>
      </c>
      <c r="B1155" t="s">
        <v>3403</v>
      </c>
      <c r="C1155" t="s">
        <v>800</v>
      </c>
      <c r="D1155" t="s">
        <v>94</v>
      </c>
      <c r="E1155" t="s">
        <v>94</v>
      </c>
      <c r="F1155">
        <v>3</v>
      </c>
      <c r="G1155">
        <v>1153</v>
      </c>
      <c r="H1155">
        <f>IF(Table1[[#This Row],[my_ent_1]]=Table1[[#This Row],[their_ent_1]], 1, 0)</f>
        <v>0</v>
      </c>
      <c r="I1155">
        <f>IF(Table1[[#This Row],[my_ent_2]]=Table1[[#This Row],[their_ent_2]], 1, 0)</f>
        <v>1</v>
      </c>
      <c r="J1155">
        <f>IF(Table1[[#This Row],[same_1]]=1 &amp; Table1[[#This Row],[same_2]]=1, 1, 0)</f>
        <v>0</v>
      </c>
      <c r="K1155">
        <f>IF(ISNUMBER(SEARCH(Table1[[#This Row],[their_ent_1]],Table1[[#This Row],[my_ent_1]])), 1, 0)</f>
        <v>0</v>
      </c>
      <c r="L1155">
        <f>IF(ISNUMBER(SEARCH(Table1[[#This Row],[their_ent_2]],Table1[[#This Row],[my_ent_2]])), 1, 0)</f>
        <v>1</v>
      </c>
    </row>
    <row r="1156" spans="1:12" hidden="1" x14ac:dyDescent="0.3">
      <c r="A1156" t="s">
        <v>2718</v>
      </c>
      <c r="B1156" t="s">
        <v>2719</v>
      </c>
      <c r="C1156" t="s">
        <v>2719</v>
      </c>
      <c r="D1156" t="s">
        <v>2720</v>
      </c>
      <c r="E1156" t="s">
        <v>2721</v>
      </c>
      <c r="F1156">
        <v>3</v>
      </c>
      <c r="G1156">
        <v>1154</v>
      </c>
      <c r="H1156">
        <f>IF(Table1[[#This Row],[my_ent_1]]=Table1[[#This Row],[their_ent_1]], 1, 0)</f>
        <v>1</v>
      </c>
      <c r="I1156">
        <f>IF(Table1[[#This Row],[my_ent_2]]=Table1[[#This Row],[their_ent_2]], 1, 0)</f>
        <v>0</v>
      </c>
      <c r="J1156">
        <f>IF(Table1[[#This Row],[same_1]]=1 &amp; Table1[[#This Row],[same_2]]=1, 1, 0)</f>
        <v>0</v>
      </c>
      <c r="K1156">
        <f>IF(ISNUMBER(SEARCH(Table1[[#This Row],[their_ent_1]],Table1[[#This Row],[my_ent_1]])), 1, 0)</f>
        <v>1</v>
      </c>
      <c r="L1156">
        <f>IF(ISNUMBER(SEARCH(Table1[[#This Row],[their_ent_2]],Table1[[#This Row],[my_ent_2]])), 1, 0)</f>
        <v>0</v>
      </c>
    </row>
    <row r="1157" spans="1:12" hidden="1" x14ac:dyDescent="0.3">
      <c r="A1157" t="s">
        <v>3404</v>
      </c>
      <c r="B1157" t="s">
        <v>290</v>
      </c>
      <c r="C1157" t="s">
        <v>404</v>
      </c>
      <c r="D1157" t="s">
        <v>1284</v>
      </c>
      <c r="E1157" t="s">
        <v>1284</v>
      </c>
      <c r="F1157">
        <v>3</v>
      </c>
      <c r="G1157">
        <v>1155</v>
      </c>
      <c r="H1157">
        <f>IF(Table1[[#This Row],[my_ent_1]]=Table1[[#This Row],[their_ent_1]], 1, 0)</f>
        <v>0</v>
      </c>
      <c r="I1157">
        <f>IF(Table1[[#This Row],[my_ent_2]]=Table1[[#This Row],[their_ent_2]], 1, 0)</f>
        <v>1</v>
      </c>
      <c r="J1157">
        <f>IF(Table1[[#This Row],[same_1]]=1 &amp; Table1[[#This Row],[same_2]]=1, 1, 0)</f>
        <v>0</v>
      </c>
      <c r="K1157">
        <f>IF(ISNUMBER(SEARCH(Table1[[#This Row],[their_ent_1]],Table1[[#This Row],[my_ent_1]])), 1, 0)</f>
        <v>0</v>
      </c>
      <c r="L1157">
        <f>IF(ISNUMBER(SEARCH(Table1[[#This Row],[their_ent_2]],Table1[[#This Row],[my_ent_2]])), 1, 0)</f>
        <v>1</v>
      </c>
    </row>
    <row r="1158" spans="1:12" hidden="1" x14ac:dyDescent="0.3">
      <c r="A1158" t="s">
        <v>3405</v>
      </c>
      <c r="B1158" t="s">
        <v>3406</v>
      </c>
      <c r="C1158" t="s">
        <v>3406</v>
      </c>
      <c r="D1158" t="s">
        <v>1241</v>
      </c>
      <c r="E1158" t="s">
        <v>296</v>
      </c>
      <c r="F1158">
        <v>4</v>
      </c>
      <c r="G1158">
        <v>1156</v>
      </c>
      <c r="H1158">
        <f>IF(Table1[[#This Row],[my_ent_1]]=Table1[[#This Row],[their_ent_1]], 1, 0)</f>
        <v>1</v>
      </c>
      <c r="I1158">
        <f>IF(Table1[[#This Row],[my_ent_2]]=Table1[[#This Row],[their_ent_2]], 1, 0)</f>
        <v>0</v>
      </c>
      <c r="J1158">
        <f>IF(Table1[[#This Row],[same_1]]=1 &amp; Table1[[#This Row],[same_2]]=1, 1, 0)</f>
        <v>0</v>
      </c>
      <c r="K1158">
        <f>IF(ISNUMBER(SEARCH(Table1[[#This Row],[their_ent_1]],Table1[[#This Row],[my_ent_1]])), 1, 0)</f>
        <v>1</v>
      </c>
      <c r="L1158">
        <f>IF(ISNUMBER(SEARCH(Table1[[#This Row],[their_ent_2]],Table1[[#This Row],[my_ent_2]])), 1, 0)</f>
        <v>0</v>
      </c>
    </row>
    <row r="1159" spans="1:12" hidden="1" x14ac:dyDescent="0.3">
      <c r="A1159" t="s">
        <v>3407</v>
      </c>
      <c r="B1159" t="s">
        <v>7</v>
      </c>
      <c r="C1159" t="s">
        <v>165</v>
      </c>
      <c r="D1159" t="s">
        <v>845</v>
      </c>
      <c r="E1159" t="s">
        <v>845</v>
      </c>
      <c r="F1159">
        <v>3</v>
      </c>
      <c r="G1159">
        <v>1157</v>
      </c>
      <c r="H1159">
        <f>IF(Table1[[#This Row],[my_ent_1]]=Table1[[#This Row],[their_ent_1]], 1, 0)</f>
        <v>0</v>
      </c>
      <c r="I1159">
        <f>IF(Table1[[#This Row],[my_ent_2]]=Table1[[#This Row],[their_ent_2]], 1, 0)</f>
        <v>1</v>
      </c>
      <c r="J1159">
        <f>IF(Table1[[#This Row],[same_1]]=1 &amp; Table1[[#This Row],[same_2]]=1, 1, 0)</f>
        <v>0</v>
      </c>
      <c r="K1159">
        <f>IF(ISNUMBER(SEARCH(Table1[[#This Row],[their_ent_1]],Table1[[#This Row],[my_ent_1]])), 1, 0)</f>
        <v>0</v>
      </c>
      <c r="L1159">
        <f>IF(ISNUMBER(SEARCH(Table1[[#This Row],[their_ent_2]],Table1[[#This Row],[my_ent_2]])), 1, 0)</f>
        <v>1</v>
      </c>
    </row>
    <row r="1160" spans="1:12" x14ac:dyDescent="0.3">
      <c r="A1160" t="s">
        <v>3408</v>
      </c>
      <c r="B1160" t="s">
        <v>3409</v>
      </c>
      <c r="C1160" t="s">
        <v>432</v>
      </c>
      <c r="D1160" t="s">
        <v>58</v>
      </c>
      <c r="E1160" t="s">
        <v>58</v>
      </c>
      <c r="F1160">
        <v>3</v>
      </c>
      <c r="G1160">
        <v>1158</v>
      </c>
      <c r="H1160">
        <f>IF(Table1[[#This Row],[my_ent_1]]=Table1[[#This Row],[their_ent_1]], 1, 0)</f>
        <v>0</v>
      </c>
      <c r="I1160">
        <f>IF(Table1[[#This Row],[my_ent_2]]=Table1[[#This Row],[their_ent_2]], 1, 0)</f>
        <v>1</v>
      </c>
      <c r="J1160">
        <f>IF(Table1[[#This Row],[same_1]]=1 &amp; Table1[[#This Row],[same_2]]=1, 1, 0)</f>
        <v>0</v>
      </c>
      <c r="K1160">
        <f>IF(ISNUMBER(SEARCH(Table1[[#This Row],[their_ent_1]],Table1[[#This Row],[my_ent_1]])), 1, 0)</f>
        <v>1</v>
      </c>
      <c r="L1160">
        <f>IF(ISNUMBER(SEARCH(Table1[[#This Row],[their_ent_2]],Table1[[#This Row],[my_ent_2]])), 1, 0)</f>
        <v>1</v>
      </c>
    </row>
    <row r="1161" spans="1:12" hidden="1" x14ac:dyDescent="0.3">
      <c r="A1161" t="s">
        <v>3410</v>
      </c>
      <c r="B1161" t="s">
        <v>3053</v>
      </c>
      <c r="C1161" t="s">
        <v>3411</v>
      </c>
      <c r="D1161" t="s">
        <v>1297</v>
      </c>
      <c r="E1161" t="s">
        <v>470</v>
      </c>
      <c r="F1161">
        <v>3</v>
      </c>
      <c r="G1161">
        <v>1159</v>
      </c>
      <c r="H1161">
        <f>IF(Table1[[#This Row],[my_ent_1]]=Table1[[#This Row],[their_ent_1]], 1, 0)</f>
        <v>0</v>
      </c>
      <c r="I1161">
        <f>IF(Table1[[#This Row],[my_ent_2]]=Table1[[#This Row],[their_ent_2]], 1, 0)</f>
        <v>0</v>
      </c>
      <c r="J1161">
        <f>IF(Table1[[#This Row],[same_1]]=1 &amp; Table1[[#This Row],[same_2]]=1, 1, 0)</f>
        <v>0</v>
      </c>
      <c r="K1161">
        <f>IF(ISNUMBER(SEARCH(Table1[[#This Row],[their_ent_1]],Table1[[#This Row],[my_ent_1]])), 1, 0)</f>
        <v>0</v>
      </c>
      <c r="L1161">
        <f>IF(ISNUMBER(SEARCH(Table1[[#This Row],[their_ent_2]],Table1[[#This Row],[my_ent_2]])), 1, 0)</f>
        <v>0</v>
      </c>
    </row>
    <row r="1162" spans="1:12" hidden="1" x14ac:dyDescent="0.3">
      <c r="A1162" t="s">
        <v>3412</v>
      </c>
      <c r="B1162" t="s">
        <v>992</v>
      </c>
      <c r="C1162" t="s">
        <v>3413</v>
      </c>
      <c r="D1162" t="s">
        <v>3414</v>
      </c>
      <c r="E1162" t="s">
        <v>3415</v>
      </c>
      <c r="F1162">
        <v>3</v>
      </c>
      <c r="G1162">
        <v>1160</v>
      </c>
      <c r="H1162">
        <f>IF(Table1[[#This Row],[my_ent_1]]=Table1[[#This Row],[their_ent_1]], 1, 0)</f>
        <v>0</v>
      </c>
      <c r="I1162">
        <f>IF(Table1[[#This Row],[my_ent_2]]=Table1[[#This Row],[their_ent_2]], 1, 0)</f>
        <v>0</v>
      </c>
      <c r="J1162">
        <f>IF(Table1[[#This Row],[same_1]]=1 &amp; Table1[[#This Row],[same_2]]=1, 1, 0)</f>
        <v>0</v>
      </c>
      <c r="K1162">
        <f>IF(ISNUMBER(SEARCH(Table1[[#This Row],[their_ent_1]],Table1[[#This Row],[my_ent_1]])), 1, 0)</f>
        <v>0</v>
      </c>
      <c r="L1162">
        <f>IF(ISNUMBER(SEARCH(Table1[[#This Row],[their_ent_2]],Table1[[#This Row],[my_ent_2]])), 1, 0)</f>
        <v>0</v>
      </c>
    </row>
    <row r="1163" spans="1:12" x14ac:dyDescent="0.3">
      <c r="A1163" t="s">
        <v>3416</v>
      </c>
      <c r="B1163" t="s">
        <v>3417</v>
      </c>
      <c r="C1163" t="s">
        <v>3418</v>
      </c>
      <c r="D1163" t="s">
        <v>3419</v>
      </c>
      <c r="E1163" t="s">
        <v>2599</v>
      </c>
      <c r="F1163">
        <v>3</v>
      </c>
      <c r="G1163">
        <v>1161</v>
      </c>
      <c r="H1163">
        <f>IF(Table1[[#This Row],[my_ent_1]]=Table1[[#This Row],[their_ent_1]], 1, 0)</f>
        <v>0</v>
      </c>
      <c r="I1163">
        <f>IF(Table1[[#This Row],[my_ent_2]]=Table1[[#This Row],[their_ent_2]], 1, 0)</f>
        <v>0</v>
      </c>
      <c r="J1163">
        <f>IF(Table1[[#This Row],[same_1]]=1 &amp; Table1[[#This Row],[same_2]]=1, 1, 0)</f>
        <v>0</v>
      </c>
      <c r="K1163">
        <f>IF(ISNUMBER(SEARCH(Table1[[#This Row],[their_ent_1]],Table1[[#This Row],[my_ent_1]])), 1, 0)</f>
        <v>1</v>
      </c>
      <c r="L1163">
        <f>IF(ISNUMBER(SEARCH(Table1[[#This Row],[their_ent_2]],Table1[[#This Row],[my_ent_2]])), 1, 0)</f>
        <v>1</v>
      </c>
    </row>
    <row r="1164" spans="1:12" hidden="1" x14ac:dyDescent="0.3">
      <c r="A1164" t="s">
        <v>3420</v>
      </c>
      <c r="B1164" t="s">
        <v>3421</v>
      </c>
      <c r="C1164" t="s">
        <v>3422</v>
      </c>
      <c r="D1164" t="s">
        <v>1206</v>
      </c>
      <c r="E1164" t="s">
        <v>3421</v>
      </c>
      <c r="F1164">
        <v>3</v>
      </c>
      <c r="G1164">
        <v>1162</v>
      </c>
      <c r="H1164">
        <f>IF(Table1[[#This Row],[my_ent_1]]=Table1[[#This Row],[their_ent_1]], 1, 0)</f>
        <v>0</v>
      </c>
      <c r="I1164">
        <f>IF(Table1[[#This Row],[my_ent_2]]=Table1[[#This Row],[their_ent_2]], 1, 0)</f>
        <v>0</v>
      </c>
      <c r="J1164">
        <f>IF(Table1[[#This Row],[same_1]]=1 &amp; Table1[[#This Row],[same_2]]=1, 1, 0)</f>
        <v>0</v>
      </c>
      <c r="K1164">
        <f>IF(ISNUMBER(SEARCH(Table1[[#This Row],[their_ent_1]],Table1[[#This Row],[my_ent_1]])), 1, 0)</f>
        <v>0</v>
      </c>
      <c r="L1164">
        <f>IF(ISNUMBER(SEARCH(Table1[[#This Row],[their_ent_2]],Table1[[#This Row],[my_ent_2]])), 1, 0)</f>
        <v>0</v>
      </c>
    </row>
    <row r="1165" spans="1:12" hidden="1" x14ac:dyDescent="0.3">
      <c r="A1165" t="s">
        <v>3423</v>
      </c>
      <c r="B1165" t="s">
        <v>3424</v>
      </c>
      <c r="C1165" t="s">
        <v>3425</v>
      </c>
      <c r="D1165" t="s">
        <v>3425</v>
      </c>
      <c r="E1165" t="s">
        <v>3426</v>
      </c>
      <c r="F1165">
        <v>3</v>
      </c>
      <c r="G1165">
        <v>1163</v>
      </c>
      <c r="H1165">
        <f>IF(Table1[[#This Row],[my_ent_1]]=Table1[[#This Row],[their_ent_1]], 1, 0)</f>
        <v>0</v>
      </c>
      <c r="I1165">
        <f>IF(Table1[[#This Row],[my_ent_2]]=Table1[[#This Row],[their_ent_2]], 1, 0)</f>
        <v>0</v>
      </c>
      <c r="J1165">
        <f>IF(Table1[[#This Row],[same_1]]=1 &amp; Table1[[#This Row],[same_2]]=1, 1, 0)</f>
        <v>0</v>
      </c>
      <c r="K1165">
        <f>IF(ISNUMBER(SEARCH(Table1[[#This Row],[their_ent_1]],Table1[[#This Row],[my_ent_1]])), 1, 0)</f>
        <v>0</v>
      </c>
      <c r="L1165">
        <f>IF(ISNUMBER(SEARCH(Table1[[#This Row],[their_ent_2]],Table1[[#This Row],[my_ent_2]])), 1, 0)</f>
        <v>0</v>
      </c>
    </row>
    <row r="1166" spans="1:12" hidden="1" x14ac:dyDescent="0.3">
      <c r="A1166" t="s">
        <v>3427</v>
      </c>
      <c r="B1166" t="s">
        <v>3428</v>
      </c>
      <c r="C1166" t="s">
        <v>2376</v>
      </c>
      <c r="D1166" t="s">
        <v>263</v>
      </c>
      <c r="E1166" t="s">
        <v>378</v>
      </c>
      <c r="F1166">
        <v>3</v>
      </c>
      <c r="G1166">
        <v>1164</v>
      </c>
      <c r="H1166">
        <f>IF(Table1[[#This Row],[my_ent_1]]=Table1[[#This Row],[their_ent_1]], 1, 0)</f>
        <v>0</v>
      </c>
      <c r="I1166">
        <f>IF(Table1[[#This Row],[my_ent_2]]=Table1[[#This Row],[their_ent_2]], 1, 0)</f>
        <v>0</v>
      </c>
      <c r="J1166">
        <f>IF(Table1[[#This Row],[same_1]]=1 &amp; Table1[[#This Row],[same_2]]=1, 1, 0)</f>
        <v>0</v>
      </c>
      <c r="K1166">
        <f>IF(ISNUMBER(SEARCH(Table1[[#This Row],[their_ent_1]],Table1[[#This Row],[my_ent_1]])), 1, 0)</f>
        <v>0</v>
      </c>
      <c r="L1166">
        <f>IF(ISNUMBER(SEARCH(Table1[[#This Row],[their_ent_2]],Table1[[#This Row],[my_ent_2]])), 1, 0)</f>
        <v>0</v>
      </c>
    </row>
    <row r="1167" spans="1:12" x14ac:dyDescent="0.3">
      <c r="A1167" t="s">
        <v>3429</v>
      </c>
      <c r="B1167" t="s">
        <v>3430</v>
      </c>
      <c r="C1167" t="s">
        <v>3430</v>
      </c>
      <c r="D1167" t="s">
        <v>3431</v>
      </c>
      <c r="E1167" t="s">
        <v>1516</v>
      </c>
      <c r="F1167">
        <v>3</v>
      </c>
      <c r="G1167">
        <v>1165</v>
      </c>
      <c r="H1167">
        <f>IF(Table1[[#This Row],[my_ent_1]]=Table1[[#This Row],[their_ent_1]], 1, 0)</f>
        <v>1</v>
      </c>
      <c r="I1167">
        <f>IF(Table1[[#This Row],[my_ent_2]]=Table1[[#This Row],[their_ent_2]], 1, 0)</f>
        <v>0</v>
      </c>
      <c r="J1167">
        <f>IF(Table1[[#This Row],[same_1]]=1 &amp; Table1[[#This Row],[same_2]]=1, 1, 0)</f>
        <v>0</v>
      </c>
      <c r="K1167">
        <f>IF(ISNUMBER(SEARCH(Table1[[#This Row],[their_ent_1]],Table1[[#This Row],[my_ent_1]])), 1, 0)</f>
        <v>1</v>
      </c>
      <c r="L1167">
        <f>IF(ISNUMBER(SEARCH(Table1[[#This Row],[their_ent_2]],Table1[[#This Row],[my_ent_2]])), 1, 0)</f>
        <v>1</v>
      </c>
    </row>
    <row r="1168" spans="1:12" x14ac:dyDescent="0.3">
      <c r="A1168" t="s">
        <v>3432</v>
      </c>
      <c r="B1168" t="s">
        <v>2959</v>
      </c>
      <c r="C1168" t="s">
        <v>2959</v>
      </c>
      <c r="D1168" t="s">
        <v>3433</v>
      </c>
      <c r="E1168" t="s">
        <v>1073</v>
      </c>
      <c r="F1168">
        <v>3</v>
      </c>
      <c r="G1168">
        <v>1166</v>
      </c>
      <c r="H1168">
        <f>IF(Table1[[#This Row],[my_ent_1]]=Table1[[#This Row],[their_ent_1]], 1, 0)</f>
        <v>1</v>
      </c>
      <c r="I1168">
        <f>IF(Table1[[#This Row],[my_ent_2]]=Table1[[#This Row],[their_ent_2]], 1, 0)</f>
        <v>0</v>
      </c>
      <c r="J1168">
        <f>IF(Table1[[#This Row],[same_1]]=1 &amp; Table1[[#This Row],[same_2]]=1, 1, 0)</f>
        <v>0</v>
      </c>
      <c r="K1168">
        <f>IF(ISNUMBER(SEARCH(Table1[[#This Row],[their_ent_1]],Table1[[#This Row],[my_ent_1]])), 1, 0)</f>
        <v>1</v>
      </c>
      <c r="L1168">
        <f>IF(ISNUMBER(SEARCH(Table1[[#This Row],[their_ent_2]],Table1[[#This Row],[my_ent_2]])), 1, 0)</f>
        <v>1</v>
      </c>
    </row>
    <row r="1169" spans="1:12" hidden="1" x14ac:dyDescent="0.3">
      <c r="A1169" t="s">
        <v>3434</v>
      </c>
      <c r="B1169" t="s">
        <v>3435</v>
      </c>
      <c r="C1169" t="s">
        <v>3436</v>
      </c>
      <c r="D1169" t="s">
        <v>3436</v>
      </c>
      <c r="E1169" t="s">
        <v>236</v>
      </c>
      <c r="F1169">
        <v>4</v>
      </c>
      <c r="G1169">
        <v>1167</v>
      </c>
      <c r="H1169">
        <f>IF(Table1[[#This Row],[my_ent_1]]=Table1[[#This Row],[their_ent_1]], 1, 0)</f>
        <v>0</v>
      </c>
      <c r="I1169">
        <f>IF(Table1[[#This Row],[my_ent_2]]=Table1[[#This Row],[their_ent_2]], 1, 0)</f>
        <v>0</v>
      </c>
      <c r="J1169">
        <f>IF(Table1[[#This Row],[same_1]]=1 &amp; Table1[[#This Row],[same_2]]=1, 1, 0)</f>
        <v>0</v>
      </c>
      <c r="K1169">
        <f>IF(ISNUMBER(SEARCH(Table1[[#This Row],[their_ent_1]],Table1[[#This Row],[my_ent_1]])), 1, 0)</f>
        <v>0</v>
      </c>
      <c r="L1169">
        <f>IF(ISNUMBER(SEARCH(Table1[[#This Row],[their_ent_2]],Table1[[#This Row],[my_ent_2]])), 1, 0)</f>
        <v>0</v>
      </c>
    </row>
    <row r="1170" spans="1:12" x14ac:dyDescent="0.3">
      <c r="A1170" t="s">
        <v>3437</v>
      </c>
      <c r="B1170" t="s">
        <v>3438</v>
      </c>
      <c r="C1170" t="s">
        <v>3438</v>
      </c>
      <c r="D1170" t="s">
        <v>3439</v>
      </c>
      <c r="E1170" t="s">
        <v>165</v>
      </c>
      <c r="F1170">
        <v>1</v>
      </c>
      <c r="G1170">
        <v>1168</v>
      </c>
      <c r="H1170">
        <f>IF(Table1[[#This Row],[my_ent_1]]=Table1[[#This Row],[their_ent_1]], 1, 0)</f>
        <v>1</v>
      </c>
      <c r="I1170">
        <f>IF(Table1[[#This Row],[my_ent_2]]=Table1[[#This Row],[their_ent_2]], 1, 0)</f>
        <v>0</v>
      </c>
      <c r="J1170">
        <f>IF(Table1[[#This Row],[same_1]]=1 &amp; Table1[[#This Row],[same_2]]=1, 1, 0)</f>
        <v>0</v>
      </c>
      <c r="K1170">
        <f>IF(ISNUMBER(SEARCH(Table1[[#This Row],[their_ent_1]],Table1[[#This Row],[my_ent_1]])), 1, 0)</f>
        <v>1</v>
      </c>
      <c r="L1170">
        <f>IF(ISNUMBER(SEARCH(Table1[[#This Row],[their_ent_2]],Table1[[#This Row],[my_ent_2]])), 1, 0)</f>
        <v>1</v>
      </c>
    </row>
    <row r="1171" spans="1:12" x14ac:dyDescent="0.3">
      <c r="A1171" t="s">
        <v>3440</v>
      </c>
      <c r="B1171" t="s">
        <v>401</v>
      </c>
      <c r="C1171" t="s">
        <v>30</v>
      </c>
      <c r="D1171" t="s">
        <v>58</v>
      </c>
      <c r="E1171" t="s">
        <v>58</v>
      </c>
      <c r="F1171">
        <v>1</v>
      </c>
      <c r="G1171">
        <v>1169</v>
      </c>
      <c r="H1171">
        <f>IF(Table1[[#This Row],[my_ent_1]]=Table1[[#This Row],[their_ent_1]], 1, 0)</f>
        <v>0</v>
      </c>
      <c r="I1171">
        <f>IF(Table1[[#This Row],[my_ent_2]]=Table1[[#This Row],[their_ent_2]], 1, 0)</f>
        <v>1</v>
      </c>
      <c r="J1171">
        <f>IF(Table1[[#This Row],[same_1]]=1 &amp; Table1[[#This Row],[same_2]]=1, 1, 0)</f>
        <v>0</v>
      </c>
      <c r="K1171">
        <f>IF(ISNUMBER(SEARCH(Table1[[#This Row],[their_ent_1]],Table1[[#This Row],[my_ent_1]])), 1, 0)</f>
        <v>1</v>
      </c>
      <c r="L1171">
        <f>IF(ISNUMBER(SEARCH(Table1[[#This Row],[their_ent_2]],Table1[[#This Row],[my_ent_2]])), 1, 0)</f>
        <v>1</v>
      </c>
    </row>
    <row r="1172" spans="1:12" hidden="1" x14ac:dyDescent="0.3">
      <c r="A1172" t="s">
        <v>3275</v>
      </c>
      <c r="B1172" t="s">
        <v>7</v>
      </c>
      <c r="C1172" t="s">
        <v>73</v>
      </c>
      <c r="D1172" t="s">
        <v>525</v>
      </c>
      <c r="E1172" t="s">
        <v>7</v>
      </c>
      <c r="F1172">
        <v>1</v>
      </c>
      <c r="G1172">
        <v>1170</v>
      </c>
      <c r="H1172">
        <f>IF(Table1[[#This Row],[my_ent_1]]=Table1[[#This Row],[their_ent_1]], 1, 0)</f>
        <v>0</v>
      </c>
      <c r="I1172">
        <f>IF(Table1[[#This Row],[my_ent_2]]=Table1[[#This Row],[their_ent_2]], 1, 0)</f>
        <v>0</v>
      </c>
      <c r="J1172">
        <f>IF(Table1[[#This Row],[same_1]]=1 &amp; Table1[[#This Row],[same_2]]=1, 1, 0)</f>
        <v>0</v>
      </c>
      <c r="K1172">
        <f>IF(ISNUMBER(SEARCH(Table1[[#This Row],[their_ent_1]],Table1[[#This Row],[my_ent_1]])), 1, 0)</f>
        <v>0</v>
      </c>
      <c r="L1172">
        <f>IF(ISNUMBER(SEARCH(Table1[[#This Row],[their_ent_2]],Table1[[#This Row],[my_ent_2]])), 1, 0)</f>
        <v>0</v>
      </c>
    </row>
    <row r="1173" spans="1:12" hidden="1" x14ac:dyDescent="0.3">
      <c r="A1173" t="s">
        <v>3441</v>
      </c>
      <c r="B1173" t="s">
        <v>73</v>
      </c>
      <c r="C1173" t="s">
        <v>196</v>
      </c>
      <c r="D1173" t="s">
        <v>7</v>
      </c>
      <c r="E1173" t="s">
        <v>7</v>
      </c>
      <c r="F1173">
        <v>3</v>
      </c>
      <c r="G1173">
        <v>1171</v>
      </c>
      <c r="H1173">
        <f>IF(Table1[[#This Row],[my_ent_1]]=Table1[[#This Row],[their_ent_1]], 1, 0)</f>
        <v>0</v>
      </c>
      <c r="I1173">
        <f>IF(Table1[[#This Row],[my_ent_2]]=Table1[[#This Row],[their_ent_2]], 1, 0)</f>
        <v>1</v>
      </c>
      <c r="J1173">
        <f>IF(Table1[[#This Row],[same_1]]=1 &amp; Table1[[#This Row],[same_2]]=1, 1, 0)</f>
        <v>0</v>
      </c>
      <c r="K1173">
        <f>IF(ISNUMBER(SEARCH(Table1[[#This Row],[their_ent_1]],Table1[[#This Row],[my_ent_1]])), 1, 0)</f>
        <v>0</v>
      </c>
      <c r="L1173">
        <f>IF(ISNUMBER(SEARCH(Table1[[#This Row],[their_ent_2]],Table1[[#This Row],[my_ent_2]])), 1, 0)</f>
        <v>1</v>
      </c>
    </row>
    <row r="1174" spans="1:12" hidden="1" x14ac:dyDescent="0.3">
      <c r="A1174" t="s">
        <v>3442</v>
      </c>
      <c r="B1174" t="s">
        <v>7</v>
      </c>
      <c r="C1174" t="s">
        <v>165</v>
      </c>
      <c r="D1174" t="s">
        <v>3443</v>
      </c>
      <c r="E1174" t="s">
        <v>3443</v>
      </c>
      <c r="F1174">
        <v>4</v>
      </c>
      <c r="G1174">
        <v>1172</v>
      </c>
      <c r="H1174">
        <f>IF(Table1[[#This Row],[my_ent_1]]=Table1[[#This Row],[their_ent_1]], 1, 0)</f>
        <v>0</v>
      </c>
      <c r="I1174">
        <f>IF(Table1[[#This Row],[my_ent_2]]=Table1[[#This Row],[their_ent_2]], 1, 0)</f>
        <v>1</v>
      </c>
      <c r="J1174">
        <f>IF(Table1[[#This Row],[same_1]]=1 &amp; Table1[[#This Row],[same_2]]=1, 1, 0)</f>
        <v>0</v>
      </c>
      <c r="K1174">
        <f>IF(ISNUMBER(SEARCH(Table1[[#This Row],[their_ent_1]],Table1[[#This Row],[my_ent_1]])), 1, 0)</f>
        <v>0</v>
      </c>
      <c r="L1174">
        <f>IF(ISNUMBER(SEARCH(Table1[[#This Row],[their_ent_2]],Table1[[#This Row],[my_ent_2]])), 1, 0)</f>
        <v>1</v>
      </c>
    </row>
    <row r="1175" spans="1:12" hidden="1" x14ac:dyDescent="0.3">
      <c r="A1175" t="s">
        <v>3444</v>
      </c>
      <c r="B1175" t="s">
        <v>3445</v>
      </c>
      <c r="C1175" t="s">
        <v>255</v>
      </c>
      <c r="D1175" t="s">
        <v>2544</v>
      </c>
      <c r="E1175" t="s">
        <v>3445</v>
      </c>
      <c r="F1175">
        <v>2</v>
      </c>
      <c r="G1175">
        <v>1173</v>
      </c>
      <c r="H1175">
        <f>IF(Table1[[#This Row],[my_ent_1]]=Table1[[#This Row],[their_ent_1]], 1, 0)</f>
        <v>0</v>
      </c>
      <c r="I1175">
        <f>IF(Table1[[#This Row],[my_ent_2]]=Table1[[#This Row],[their_ent_2]], 1, 0)</f>
        <v>0</v>
      </c>
      <c r="J1175">
        <f>IF(Table1[[#This Row],[same_1]]=1 &amp; Table1[[#This Row],[same_2]]=1, 1, 0)</f>
        <v>0</v>
      </c>
      <c r="K1175">
        <f>IF(ISNUMBER(SEARCH(Table1[[#This Row],[their_ent_1]],Table1[[#This Row],[my_ent_1]])), 1, 0)</f>
        <v>0</v>
      </c>
      <c r="L1175">
        <f>IF(ISNUMBER(SEARCH(Table1[[#This Row],[their_ent_2]],Table1[[#This Row],[my_ent_2]])), 1, 0)</f>
        <v>0</v>
      </c>
    </row>
    <row r="1176" spans="1:12" x14ac:dyDescent="0.3">
      <c r="A1176" t="s">
        <v>3446</v>
      </c>
      <c r="B1176" t="s">
        <v>7</v>
      </c>
      <c r="C1176" t="s">
        <v>7</v>
      </c>
      <c r="D1176" t="s">
        <v>3447</v>
      </c>
      <c r="E1176" t="s">
        <v>3448</v>
      </c>
      <c r="F1176">
        <v>1</v>
      </c>
      <c r="G1176">
        <v>1174</v>
      </c>
      <c r="H1176">
        <f>IF(Table1[[#This Row],[my_ent_1]]=Table1[[#This Row],[their_ent_1]], 1, 0)</f>
        <v>1</v>
      </c>
      <c r="I1176">
        <f>IF(Table1[[#This Row],[my_ent_2]]=Table1[[#This Row],[their_ent_2]], 1, 0)</f>
        <v>0</v>
      </c>
      <c r="J1176">
        <f>IF(Table1[[#This Row],[same_1]]=1 &amp; Table1[[#This Row],[same_2]]=1, 1, 0)</f>
        <v>0</v>
      </c>
      <c r="K1176">
        <f>IF(ISNUMBER(SEARCH(Table1[[#This Row],[their_ent_1]],Table1[[#This Row],[my_ent_1]])), 1, 0)</f>
        <v>1</v>
      </c>
      <c r="L1176">
        <f>IF(ISNUMBER(SEARCH(Table1[[#This Row],[their_ent_2]],Table1[[#This Row],[my_ent_2]])), 1, 0)</f>
        <v>1</v>
      </c>
    </row>
    <row r="1177" spans="1:12" hidden="1" x14ac:dyDescent="0.3">
      <c r="A1177" t="s">
        <v>3449</v>
      </c>
      <c r="B1177" t="s">
        <v>1532</v>
      </c>
      <c r="C1177" t="s">
        <v>94</v>
      </c>
      <c r="D1177" t="s">
        <v>94</v>
      </c>
      <c r="E1177" t="s">
        <v>30</v>
      </c>
      <c r="F1177">
        <v>2</v>
      </c>
      <c r="G1177">
        <v>1175</v>
      </c>
      <c r="H1177">
        <f>IF(Table1[[#This Row],[my_ent_1]]=Table1[[#This Row],[their_ent_1]], 1, 0)</f>
        <v>0</v>
      </c>
      <c r="I1177">
        <f>IF(Table1[[#This Row],[my_ent_2]]=Table1[[#This Row],[their_ent_2]], 1, 0)</f>
        <v>0</v>
      </c>
      <c r="J1177">
        <f>IF(Table1[[#This Row],[same_1]]=1 &amp; Table1[[#This Row],[same_2]]=1, 1, 0)</f>
        <v>0</v>
      </c>
      <c r="K1177">
        <f>IF(ISNUMBER(SEARCH(Table1[[#This Row],[their_ent_1]],Table1[[#This Row],[my_ent_1]])), 1, 0)</f>
        <v>0</v>
      </c>
      <c r="L1177">
        <f>IF(ISNUMBER(SEARCH(Table1[[#This Row],[their_ent_2]],Table1[[#This Row],[my_ent_2]])), 1, 0)</f>
        <v>0</v>
      </c>
    </row>
    <row r="1178" spans="1:12" x14ac:dyDescent="0.3">
      <c r="A1178" t="s">
        <v>2740</v>
      </c>
      <c r="B1178" t="s">
        <v>2741</v>
      </c>
      <c r="C1178" t="s">
        <v>2742</v>
      </c>
      <c r="D1178" t="s">
        <v>845</v>
      </c>
      <c r="E1178" t="s">
        <v>845</v>
      </c>
      <c r="F1178">
        <v>3</v>
      </c>
      <c r="G1178">
        <v>1176</v>
      </c>
      <c r="H1178">
        <f>IF(Table1[[#This Row],[my_ent_1]]=Table1[[#This Row],[their_ent_1]], 1, 0)</f>
        <v>0</v>
      </c>
      <c r="I1178">
        <f>IF(Table1[[#This Row],[my_ent_2]]=Table1[[#This Row],[their_ent_2]], 1, 0)</f>
        <v>1</v>
      </c>
      <c r="J1178">
        <f>IF(Table1[[#This Row],[same_1]]=1 &amp; Table1[[#This Row],[same_2]]=1, 1, 0)</f>
        <v>0</v>
      </c>
      <c r="K1178">
        <f>IF(ISNUMBER(SEARCH(Table1[[#This Row],[their_ent_1]],Table1[[#This Row],[my_ent_1]])), 1, 0)</f>
        <v>1</v>
      </c>
      <c r="L1178">
        <f>IF(ISNUMBER(SEARCH(Table1[[#This Row],[their_ent_2]],Table1[[#This Row],[my_ent_2]])), 1, 0)</f>
        <v>1</v>
      </c>
    </row>
    <row r="1179" spans="1:12" hidden="1" x14ac:dyDescent="0.3">
      <c r="A1179" t="s">
        <v>2728</v>
      </c>
      <c r="B1179" t="s">
        <v>58</v>
      </c>
      <c r="C1179" t="s">
        <v>58</v>
      </c>
      <c r="D1179" t="s">
        <v>1206</v>
      </c>
      <c r="E1179" t="s">
        <v>98</v>
      </c>
      <c r="F1179">
        <v>3</v>
      </c>
      <c r="G1179">
        <v>1177</v>
      </c>
      <c r="H1179">
        <f>IF(Table1[[#This Row],[my_ent_1]]=Table1[[#This Row],[their_ent_1]], 1, 0)</f>
        <v>1</v>
      </c>
      <c r="I1179">
        <f>IF(Table1[[#This Row],[my_ent_2]]=Table1[[#This Row],[their_ent_2]], 1, 0)</f>
        <v>0</v>
      </c>
      <c r="J1179">
        <f>IF(Table1[[#This Row],[same_1]]=1 &amp; Table1[[#This Row],[same_2]]=1, 1, 0)</f>
        <v>0</v>
      </c>
      <c r="K1179">
        <f>IF(ISNUMBER(SEARCH(Table1[[#This Row],[their_ent_1]],Table1[[#This Row],[my_ent_1]])), 1, 0)</f>
        <v>1</v>
      </c>
      <c r="L1179">
        <f>IF(ISNUMBER(SEARCH(Table1[[#This Row],[their_ent_2]],Table1[[#This Row],[my_ent_2]])), 1, 0)</f>
        <v>0</v>
      </c>
    </row>
    <row r="1180" spans="1:12" hidden="1" x14ac:dyDescent="0.3">
      <c r="A1180" t="s">
        <v>3450</v>
      </c>
      <c r="B1180" t="s">
        <v>3451</v>
      </c>
      <c r="C1180" t="s">
        <v>3451</v>
      </c>
      <c r="D1180" t="s">
        <v>3452</v>
      </c>
      <c r="E1180" t="s">
        <v>3453</v>
      </c>
      <c r="F1180">
        <v>3</v>
      </c>
      <c r="G1180">
        <v>1178</v>
      </c>
      <c r="H1180">
        <f>IF(Table1[[#This Row],[my_ent_1]]=Table1[[#This Row],[their_ent_1]], 1, 0)</f>
        <v>1</v>
      </c>
      <c r="I1180">
        <f>IF(Table1[[#This Row],[my_ent_2]]=Table1[[#This Row],[their_ent_2]], 1, 0)</f>
        <v>0</v>
      </c>
      <c r="J1180">
        <f>IF(Table1[[#This Row],[same_1]]=1 &amp; Table1[[#This Row],[same_2]]=1, 1, 0)</f>
        <v>0</v>
      </c>
      <c r="K1180">
        <f>IF(ISNUMBER(SEARCH(Table1[[#This Row],[their_ent_1]],Table1[[#This Row],[my_ent_1]])), 1, 0)</f>
        <v>1</v>
      </c>
      <c r="L1180">
        <f>IF(ISNUMBER(SEARCH(Table1[[#This Row],[their_ent_2]],Table1[[#This Row],[my_ent_2]])), 1, 0)</f>
        <v>0</v>
      </c>
    </row>
    <row r="1181" spans="1:12" hidden="1" x14ac:dyDescent="0.3">
      <c r="A1181" t="s">
        <v>3454</v>
      </c>
      <c r="B1181" t="s">
        <v>3455</v>
      </c>
      <c r="C1181" t="s">
        <v>3455</v>
      </c>
      <c r="D1181" t="s">
        <v>3456</v>
      </c>
      <c r="E1181" t="s">
        <v>2500</v>
      </c>
      <c r="F1181">
        <v>1</v>
      </c>
      <c r="G1181">
        <v>1179</v>
      </c>
      <c r="H1181">
        <f>IF(Table1[[#This Row],[my_ent_1]]=Table1[[#This Row],[their_ent_1]], 1, 0)</f>
        <v>1</v>
      </c>
      <c r="I1181">
        <f>IF(Table1[[#This Row],[my_ent_2]]=Table1[[#This Row],[their_ent_2]], 1, 0)</f>
        <v>0</v>
      </c>
      <c r="J1181">
        <f>IF(Table1[[#This Row],[same_1]]=1 &amp; Table1[[#This Row],[same_2]]=1, 1, 0)</f>
        <v>0</v>
      </c>
      <c r="K1181">
        <f>IF(ISNUMBER(SEARCH(Table1[[#This Row],[their_ent_1]],Table1[[#This Row],[my_ent_1]])), 1, 0)</f>
        <v>1</v>
      </c>
      <c r="L1181">
        <f>IF(ISNUMBER(SEARCH(Table1[[#This Row],[their_ent_2]],Table1[[#This Row],[my_ent_2]])), 1, 0)</f>
        <v>0</v>
      </c>
    </row>
    <row r="1182" spans="1:12" hidden="1" x14ac:dyDescent="0.3">
      <c r="A1182" t="s">
        <v>3457</v>
      </c>
      <c r="B1182" t="s">
        <v>899</v>
      </c>
      <c r="C1182" t="s">
        <v>3458</v>
      </c>
      <c r="D1182" t="s">
        <v>3459</v>
      </c>
      <c r="E1182" t="s">
        <v>3459</v>
      </c>
      <c r="F1182">
        <v>1</v>
      </c>
      <c r="G1182">
        <v>1180</v>
      </c>
      <c r="H1182">
        <f>IF(Table1[[#This Row],[my_ent_1]]=Table1[[#This Row],[their_ent_1]], 1, 0)</f>
        <v>0</v>
      </c>
      <c r="I1182">
        <f>IF(Table1[[#This Row],[my_ent_2]]=Table1[[#This Row],[their_ent_2]], 1, 0)</f>
        <v>1</v>
      </c>
      <c r="J1182">
        <f>IF(Table1[[#This Row],[same_1]]=1 &amp; Table1[[#This Row],[same_2]]=1, 1, 0)</f>
        <v>0</v>
      </c>
      <c r="K1182">
        <f>IF(ISNUMBER(SEARCH(Table1[[#This Row],[their_ent_1]],Table1[[#This Row],[my_ent_1]])), 1, 0)</f>
        <v>0</v>
      </c>
      <c r="L1182">
        <f>IF(ISNUMBER(SEARCH(Table1[[#This Row],[their_ent_2]],Table1[[#This Row],[my_ent_2]])), 1, 0)</f>
        <v>1</v>
      </c>
    </row>
    <row r="1183" spans="1:12" hidden="1" x14ac:dyDescent="0.3">
      <c r="A1183" t="s">
        <v>3460</v>
      </c>
      <c r="B1183" t="s">
        <v>599</v>
      </c>
      <c r="C1183" t="s">
        <v>599</v>
      </c>
      <c r="D1183" t="s">
        <v>705</v>
      </c>
      <c r="E1183" t="s">
        <v>3461</v>
      </c>
      <c r="F1183">
        <v>4</v>
      </c>
      <c r="G1183">
        <v>1181</v>
      </c>
      <c r="H1183">
        <f>IF(Table1[[#This Row],[my_ent_1]]=Table1[[#This Row],[their_ent_1]], 1, 0)</f>
        <v>1</v>
      </c>
      <c r="I1183">
        <f>IF(Table1[[#This Row],[my_ent_2]]=Table1[[#This Row],[their_ent_2]], 1, 0)</f>
        <v>0</v>
      </c>
      <c r="J1183">
        <f>IF(Table1[[#This Row],[same_1]]=1 &amp; Table1[[#This Row],[same_2]]=1, 1, 0)</f>
        <v>0</v>
      </c>
      <c r="K1183">
        <f>IF(ISNUMBER(SEARCH(Table1[[#This Row],[their_ent_1]],Table1[[#This Row],[my_ent_1]])), 1, 0)</f>
        <v>1</v>
      </c>
      <c r="L1183">
        <f>IF(ISNUMBER(SEARCH(Table1[[#This Row],[their_ent_2]],Table1[[#This Row],[my_ent_2]])), 1, 0)</f>
        <v>0</v>
      </c>
    </row>
    <row r="1184" spans="1:12" x14ac:dyDescent="0.3">
      <c r="A1184" t="s">
        <v>3462</v>
      </c>
      <c r="B1184" t="s">
        <v>3463</v>
      </c>
      <c r="C1184" t="s">
        <v>3463</v>
      </c>
      <c r="D1184" t="s">
        <v>3464</v>
      </c>
      <c r="E1184" t="s">
        <v>3465</v>
      </c>
      <c r="F1184">
        <v>3</v>
      </c>
      <c r="G1184">
        <v>1182</v>
      </c>
      <c r="H1184">
        <f>IF(Table1[[#This Row],[my_ent_1]]=Table1[[#This Row],[their_ent_1]], 1, 0)</f>
        <v>1</v>
      </c>
      <c r="I1184">
        <f>IF(Table1[[#This Row],[my_ent_2]]=Table1[[#This Row],[their_ent_2]], 1, 0)</f>
        <v>0</v>
      </c>
      <c r="J1184">
        <f>IF(Table1[[#This Row],[same_1]]=1 &amp; Table1[[#This Row],[same_2]]=1, 1, 0)</f>
        <v>0</v>
      </c>
      <c r="K1184">
        <f>IF(ISNUMBER(SEARCH(Table1[[#This Row],[their_ent_1]],Table1[[#This Row],[my_ent_1]])), 1, 0)</f>
        <v>1</v>
      </c>
      <c r="L1184">
        <f>IF(ISNUMBER(SEARCH(Table1[[#This Row],[their_ent_2]],Table1[[#This Row],[my_ent_2]])), 1, 0)</f>
        <v>1</v>
      </c>
    </row>
    <row r="1185" spans="1:12" hidden="1" x14ac:dyDescent="0.3">
      <c r="A1185" t="s">
        <v>3466</v>
      </c>
      <c r="B1185" t="s">
        <v>3467</v>
      </c>
      <c r="C1185" t="s">
        <v>3468</v>
      </c>
      <c r="D1185" t="s">
        <v>7</v>
      </c>
      <c r="E1185" t="s">
        <v>7</v>
      </c>
      <c r="F1185">
        <v>3</v>
      </c>
      <c r="G1185">
        <v>1183</v>
      </c>
      <c r="H1185">
        <f>IF(Table1[[#This Row],[my_ent_1]]=Table1[[#This Row],[their_ent_1]], 1, 0)</f>
        <v>0</v>
      </c>
      <c r="I1185">
        <f>IF(Table1[[#This Row],[my_ent_2]]=Table1[[#This Row],[their_ent_2]], 1, 0)</f>
        <v>1</v>
      </c>
      <c r="J1185">
        <f>IF(Table1[[#This Row],[same_1]]=1 &amp; Table1[[#This Row],[same_2]]=1, 1, 0)</f>
        <v>0</v>
      </c>
      <c r="K1185">
        <f>IF(ISNUMBER(SEARCH(Table1[[#This Row],[their_ent_1]],Table1[[#This Row],[my_ent_1]])), 1, 0)</f>
        <v>0</v>
      </c>
      <c r="L1185">
        <f>IF(ISNUMBER(SEARCH(Table1[[#This Row],[their_ent_2]],Table1[[#This Row],[my_ent_2]])), 1, 0)</f>
        <v>1</v>
      </c>
    </row>
    <row r="1186" spans="1:12" hidden="1" x14ac:dyDescent="0.3">
      <c r="A1186" t="s">
        <v>3469</v>
      </c>
      <c r="B1186" t="s">
        <v>3470</v>
      </c>
      <c r="C1186" t="s">
        <v>378</v>
      </c>
      <c r="D1186" t="s">
        <v>3471</v>
      </c>
      <c r="E1186" t="s">
        <v>3471</v>
      </c>
      <c r="F1186">
        <v>4</v>
      </c>
      <c r="G1186">
        <v>1184</v>
      </c>
      <c r="H1186">
        <f>IF(Table1[[#This Row],[my_ent_1]]=Table1[[#This Row],[their_ent_1]], 1, 0)</f>
        <v>0</v>
      </c>
      <c r="I1186">
        <f>IF(Table1[[#This Row],[my_ent_2]]=Table1[[#This Row],[their_ent_2]], 1, 0)</f>
        <v>1</v>
      </c>
      <c r="J1186">
        <f>IF(Table1[[#This Row],[same_1]]=1 &amp; Table1[[#This Row],[same_2]]=1, 1, 0)</f>
        <v>0</v>
      </c>
      <c r="K1186">
        <f>IF(ISNUMBER(SEARCH(Table1[[#This Row],[their_ent_1]],Table1[[#This Row],[my_ent_1]])), 1, 0)</f>
        <v>0</v>
      </c>
      <c r="L1186">
        <f>IF(ISNUMBER(SEARCH(Table1[[#This Row],[their_ent_2]],Table1[[#This Row],[my_ent_2]])), 1, 0)</f>
        <v>1</v>
      </c>
    </row>
    <row r="1187" spans="1:12" hidden="1" x14ac:dyDescent="0.3">
      <c r="A1187" t="s">
        <v>3472</v>
      </c>
      <c r="B1187" t="s">
        <v>2833</v>
      </c>
      <c r="C1187" t="s">
        <v>3473</v>
      </c>
      <c r="D1187" t="s">
        <v>1252</v>
      </c>
      <c r="E1187" t="s">
        <v>1252</v>
      </c>
      <c r="F1187">
        <v>4</v>
      </c>
      <c r="G1187">
        <v>1185</v>
      </c>
      <c r="H1187">
        <f>IF(Table1[[#This Row],[my_ent_1]]=Table1[[#This Row],[their_ent_1]], 1, 0)</f>
        <v>0</v>
      </c>
      <c r="I1187">
        <f>IF(Table1[[#This Row],[my_ent_2]]=Table1[[#This Row],[their_ent_2]], 1, 0)</f>
        <v>1</v>
      </c>
      <c r="J1187">
        <f>IF(Table1[[#This Row],[same_1]]=1 &amp; Table1[[#This Row],[same_2]]=1, 1, 0)</f>
        <v>0</v>
      </c>
      <c r="K1187">
        <f>IF(ISNUMBER(SEARCH(Table1[[#This Row],[their_ent_1]],Table1[[#This Row],[my_ent_1]])), 1, 0)</f>
        <v>0</v>
      </c>
      <c r="L1187">
        <f>IF(ISNUMBER(SEARCH(Table1[[#This Row],[their_ent_2]],Table1[[#This Row],[my_ent_2]])), 1, 0)</f>
        <v>1</v>
      </c>
    </row>
    <row r="1188" spans="1:12" hidden="1" x14ac:dyDescent="0.3">
      <c r="A1188" t="s">
        <v>3474</v>
      </c>
      <c r="B1188" t="s">
        <v>3475</v>
      </c>
      <c r="C1188" t="s">
        <v>404</v>
      </c>
      <c r="D1188" t="s">
        <v>3476</v>
      </c>
      <c r="E1188" t="s">
        <v>2375</v>
      </c>
      <c r="F1188">
        <v>3</v>
      </c>
      <c r="G1188">
        <v>1186</v>
      </c>
      <c r="H1188">
        <f>IF(Table1[[#This Row],[my_ent_1]]=Table1[[#This Row],[their_ent_1]], 1, 0)</f>
        <v>0</v>
      </c>
      <c r="I1188">
        <f>IF(Table1[[#This Row],[my_ent_2]]=Table1[[#This Row],[their_ent_2]], 1, 0)</f>
        <v>0</v>
      </c>
      <c r="J1188">
        <f>IF(Table1[[#This Row],[same_1]]=1 &amp; Table1[[#This Row],[same_2]]=1, 1, 0)</f>
        <v>0</v>
      </c>
      <c r="K1188">
        <f>IF(ISNUMBER(SEARCH(Table1[[#This Row],[their_ent_1]],Table1[[#This Row],[my_ent_1]])), 1, 0)</f>
        <v>0</v>
      </c>
      <c r="L1188">
        <f>IF(ISNUMBER(SEARCH(Table1[[#This Row],[their_ent_2]],Table1[[#This Row],[my_ent_2]])), 1, 0)</f>
        <v>0</v>
      </c>
    </row>
    <row r="1189" spans="1:12" hidden="1" x14ac:dyDescent="0.3">
      <c r="A1189" t="s">
        <v>3477</v>
      </c>
      <c r="B1189" t="s">
        <v>3478</v>
      </c>
      <c r="C1189" t="s">
        <v>3479</v>
      </c>
      <c r="D1189" t="s">
        <v>3479</v>
      </c>
      <c r="E1189" t="s">
        <v>3480</v>
      </c>
      <c r="F1189">
        <v>1</v>
      </c>
      <c r="G1189">
        <v>1187</v>
      </c>
      <c r="H1189">
        <f>IF(Table1[[#This Row],[my_ent_1]]=Table1[[#This Row],[their_ent_1]], 1, 0)</f>
        <v>0</v>
      </c>
      <c r="I1189">
        <f>IF(Table1[[#This Row],[my_ent_2]]=Table1[[#This Row],[their_ent_2]], 1, 0)</f>
        <v>0</v>
      </c>
      <c r="J1189">
        <f>IF(Table1[[#This Row],[same_1]]=1 &amp; Table1[[#This Row],[same_2]]=1, 1, 0)</f>
        <v>0</v>
      </c>
      <c r="K1189">
        <f>IF(ISNUMBER(SEARCH(Table1[[#This Row],[their_ent_1]],Table1[[#This Row],[my_ent_1]])), 1, 0)</f>
        <v>0</v>
      </c>
      <c r="L1189">
        <f>IF(ISNUMBER(SEARCH(Table1[[#This Row],[their_ent_2]],Table1[[#This Row],[my_ent_2]])), 1, 0)</f>
        <v>0</v>
      </c>
    </row>
    <row r="1190" spans="1:12" hidden="1" x14ac:dyDescent="0.3">
      <c r="A1190" t="s">
        <v>3481</v>
      </c>
      <c r="B1190" t="s">
        <v>3482</v>
      </c>
      <c r="C1190" t="s">
        <v>3483</v>
      </c>
      <c r="D1190" t="s">
        <v>3483</v>
      </c>
      <c r="E1190" t="s">
        <v>2136</v>
      </c>
      <c r="F1190">
        <v>3</v>
      </c>
      <c r="G1190">
        <v>1188</v>
      </c>
      <c r="H1190">
        <f>IF(Table1[[#This Row],[my_ent_1]]=Table1[[#This Row],[their_ent_1]], 1, 0)</f>
        <v>0</v>
      </c>
      <c r="I1190">
        <f>IF(Table1[[#This Row],[my_ent_2]]=Table1[[#This Row],[their_ent_2]], 1, 0)</f>
        <v>0</v>
      </c>
      <c r="J1190">
        <f>IF(Table1[[#This Row],[same_1]]=1 &amp; Table1[[#This Row],[same_2]]=1, 1, 0)</f>
        <v>0</v>
      </c>
      <c r="K1190">
        <f>IF(ISNUMBER(SEARCH(Table1[[#This Row],[their_ent_1]],Table1[[#This Row],[my_ent_1]])), 1, 0)</f>
        <v>0</v>
      </c>
      <c r="L1190">
        <f>IF(ISNUMBER(SEARCH(Table1[[#This Row],[their_ent_2]],Table1[[#This Row],[my_ent_2]])), 1, 0)</f>
        <v>0</v>
      </c>
    </row>
    <row r="1191" spans="1:12" x14ac:dyDescent="0.3">
      <c r="A1191" t="s">
        <v>3484</v>
      </c>
      <c r="B1191" t="s">
        <v>3485</v>
      </c>
      <c r="C1191" t="s">
        <v>3485</v>
      </c>
      <c r="D1191" t="s">
        <v>3486</v>
      </c>
      <c r="E1191" t="s">
        <v>1431</v>
      </c>
      <c r="F1191">
        <v>3</v>
      </c>
      <c r="G1191">
        <v>1189</v>
      </c>
      <c r="H1191">
        <f>IF(Table1[[#This Row],[my_ent_1]]=Table1[[#This Row],[their_ent_1]], 1, 0)</f>
        <v>1</v>
      </c>
      <c r="I1191">
        <f>IF(Table1[[#This Row],[my_ent_2]]=Table1[[#This Row],[their_ent_2]], 1, 0)</f>
        <v>0</v>
      </c>
      <c r="J1191">
        <f>IF(Table1[[#This Row],[same_1]]=1 &amp; Table1[[#This Row],[same_2]]=1, 1, 0)</f>
        <v>0</v>
      </c>
      <c r="K1191">
        <f>IF(ISNUMBER(SEARCH(Table1[[#This Row],[their_ent_1]],Table1[[#This Row],[my_ent_1]])), 1, 0)</f>
        <v>1</v>
      </c>
      <c r="L1191">
        <f>IF(ISNUMBER(SEARCH(Table1[[#This Row],[their_ent_2]],Table1[[#This Row],[my_ent_2]])), 1, 0)</f>
        <v>1</v>
      </c>
    </row>
    <row r="1192" spans="1:12" x14ac:dyDescent="0.3">
      <c r="A1192" t="s">
        <v>2642</v>
      </c>
      <c r="B1192" t="s">
        <v>2643</v>
      </c>
      <c r="C1192" t="s">
        <v>2644</v>
      </c>
      <c r="D1192" t="s">
        <v>7</v>
      </c>
      <c r="E1192" t="s">
        <v>7</v>
      </c>
      <c r="F1192">
        <v>3</v>
      </c>
      <c r="G1192">
        <v>1190</v>
      </c>
      <c r="H1192">
        <f>IF(Table1[[#This Row],[my_ent_1]]=Table1[[#This Row],[their_ent_1]], 1, 0)</f>
        <v>0</v>
      </c>
      <c r="I1192">
        <f>IF(Table1[[#This Row],[my_ent_2]]=Table1[[#This Row],[their_ent_2]], 1, 0)</f>
        <v>1</v>
      </c>
      <c r="J1192">
        <f>IF(Table1[[#This Row],[same_1]]=1 &amp; Table1[[#This Row],[same_2]]=1, 1, 0)</f>
        <v>0</v>
      </c>
      <c r="K1192">
        <f>IF(ISNUMBER(SEARCH(Table1[[#This Row],[their_ent_1]],Table1[[#This Row],[my_ent_1]])), 1, 0)</f>
        <v>1</v>
      </c>
      <c r="L1192">
        <f>IF(ISNUMBER(SEARCH(Table1[[#This Row],[their_ent_2]],Table1[[#This Row],[my_ent_2]])), 1, 0)</f>
        <v>1</v>
      </c>
    </row>
    <row r="1193" spans="1:12" x14ac:dyDescent="0.3">
      <c r="A1193" t="s">
        <v>3487</v>
      </c>
      <c r="B1193" t="s">
        <v>754</v>
      </c>
      <c r="C1193" t="s">
        <v>754</v>
      </c>
      <c r="D1193" t="s">
        <v>1289</v>
      </c>
      <c r="E1193" t="s">
        <v>1290</v>
      </c>
      <c r="F1193">
        <v>3</v>
      </c>
      <c r="G1193">
        <v>1191</v>
      </c>
      <c r="H1193">
        <f>IF(Table1[[#This Row],[my_ent_1]]=Table1[[#This Row],[their_ent_1]], 1, 0)</f>
        <v>1</v>
      </c>
      <c r="I1193">
        <f>IF(Table1[[#This Row],[my_ent_2]]=Table1[[#This Row],[their_ent_2]], 1, 0)</f>
        <v>0</v>
      </c>
      <c r="J1193">
        <f>IF(Table1[[#This Row],[same_1]]=1 &amp; Table1[[#This Row],[same_2]]=1, 1, 0)</f>
        <v>0</v>
      </c>
      <c r="K1193">
        <f>IF(ISNUMBER(SEARCH(Table1[[#This Row],[their_ent_1]],Table1[[#This Row],[my_ent_1]])), 1, 0)</f>
        <v>1</v>
      </c>
      <c r="L1193">
        <f>IF(ISNUMBER(SEARCH(Table1[[#This Row],[their_ent_2]],Table1[[#This Row],[my_ent_2]])), 1, 0)</f>
        <v>1</v>
      </c>
    </row>
    <row r="1194" spans="1:12" hidden="1" x14ac:dyDescent="0.3">
      <c r="A1194" t="s">
        <v>3488</v>
      </c>
      <c r="B1194" t="s">
        <v>3489</v>
      </c>
      <c r="C1194" t="s">
        <v>3489</v>
      </c>
      <c r="D1194" t="s">
        <v>94</v>
      </c>
      <c r="E1194" t="s">
        <v>3490</v>
      </c>
      <c r="F1194">
        <v>3</v>
      </c>
      <c r="G1194">
        <v>1192</v>
      </c>
      <c r="H1194">
        <f>IF(Table1[[#This Row],[my_ent_1]]=Table1[[#This Row],[their_ent_1]], 1, 0)</f>
        <v>1</v>
      </c>
      <c r="I1194">
        <f>IF(Table1[[#This Row],[my_ent_2]]=Table1[[#This Row],[their_ent_2]], 1, 0)</f>
        <v>0</v>
      </c>
      <c r="J1194">
        <f>IF(Table1[[#This Row],[same_1]]=1 &amp; Table1[[#This Row],[same_2]]=1, 1, 0)</f>
        <v>0</v>
      </c>
      <c r="K1194">
        <f>IF(ISNUMBER(SEARCH(Table1[[#This Row],[their_ent_1]],Table1[[#This Row],[my_ent_1]])), 1, 0)</f>
        <v>1</v>
      </c>
      <c r="L1194">
        <f>IF(ISNUMBER(SEARCH(Table1[[#This Row],[their_ent_2]],Table1[[#This Row],[my_ent_2]])), 1, 0)</f>
        <v>0</v>
      </c>
    </row>
    <row r="1195" spans="1:12" hidden="1" x14ac:dyDescent="0.3">
      <c r="A1195" t="s">
        <v>3491</v>
      </c>
      <c r="B1195" t="s">
        <v>3492</v>
      </c>
      <c r="C1195" t="s">
        <v>3492</v>
      </c>
      <c r="D1195" t="s">
        <v>3493</v>
      </c>
      <c r="E1195" t="s">
        <v>1252</v>
      </c>
      <c r="F1195">
        <v>1</v>
      </c>
      <c r="G1195">
        <v>1193</v>
      </c>
      <c r="H1195">
        <f>IF(Table1[[#This Row],[my_ent_1]]=Table1[[#This Row],[their_ent_1]], 1, 0)</f>
        <v>1</v>
      </c>
      <c r="I1195">
        <f>IF(Table1[[#This Row],[my_ent_2]]=Table1[[#This Row],[their_ent_2]], 1, 0)</f>
        <v>0</v>
      </c>
      <c r="J1195">
        <f>IF(Table1[[#This Row],[same_1]]=1 &amp; Table1[[#This Row],[same_2]]=1, 1, 0)</f>
        <v>0</v>
      </c>
      <c r="K1195">
        <f>IF(ISNUMBER(SEARCH(Table1[[#This Row],[their_ent_1]],Table1[[#This Row],[my_ent_1]])), 1, 0)</f>
        <v>1</v>
      </c>
      <c r="L1195">
        <f>IF(ISNUMBER(SEARCH(Table1[[#This Row],[their_ent_2]],Table1[[#This Row],[my_ent_2]])), 1, 0)</f>
        <v>0</v>
      </c>
    </row>
    <row r="1196" spans="1:12" hidden="1" x14ac:dyDescent="0.3">
      <c r="A1196" t="s">
        <v>3494</v>
      </c>
      <c r="B1196" t="s">
        <v>3495</v>
      </c>
      <c r="C1196" t="s">
        <v>3496</v>
      </c>
      <c r="D1196" t="s">
        <v>3497</v>
      </c>
      <c r="E1196" t="s">
        <v>3498</v>
      </c>
      <c r="F1196">
        <v>3</v>
      </c>
      <c r="G1196">
        <v>1194</v>
      </c>
      <c r="H1196">
        <f>IF(Table1[[#This Row],[my_ent_1]]=Table1[[#This Row],[their_ent_1]], 1, 0)</f>
        <v>0</v>
      </c>
      <c r="I1196">
        <f>IF(Table1[[#This Row],[my_ent_2]]=Table1[[#This Row],[their_ent_2]], 1, 0)</f>
        <v>0</v>
      </c>
      <c r="J1196">
        <f>IF(Table1[[#This Row],[same_1]]=1 &amp; Table1[[#This Row],[same_2]]=1, 1, 0)</f>
        <v>0</v>
      </c>
      <c r="K1196">
        <f>IF(ISNUMBER(SEARCH(Table1[[#This Row],[their_ent_1]],Table1[[#This Row],[my_ent_1]])), 1, 0)</f>
        <v>0</v>
      </c>
      <c r="L1196">
        <f>IF(ISNUMBER(SEARCH(Table1[[#This Row],[their_ent_2]],Table1[[#This Row],[my_ent_2]])), 1, 0)</f>
        <v>0</v>
      </c>
    </row>
    <row r="1197" spans="1:12" hidden="1" x14ac:dyDescent="0.3">
      <c r="A1197" t="s">
        <v>3499</v>
      </c>
      <c r="B1197" t="s">
        <v>3500</v>
      </c>
      <c r="C1197" t="s">
        <v>3501</v>
      </c>
      <c r="D1197" t="s">
        <v>3501</v>
      </c>
      <c r="E1197" t="s">
        <v>3502</v>
      </c>
      <c r="F1197">
        <v>2</v>
      </c>
      <c r="G1197">
        <v>1195</v>
      </c>
      <c r="H1197">
        <f>IF(Table1[[#This Row],[my_ent_1]]=Table1[[#This Row],[their_ent_1]], 1, 0)</f>
        <v>0</v>
      </c>
      <c r="I1197">
        <f>IF(Table1[[#This Row],[my_ent_2]]=Table1[[#This Row],[their_ent_2]], 1, 0)</f>
        <v>0</v>
      </c>
      <c r="J1197">
        <f>IF(Table1[[#This Row],[same_1]]=1 &amp; Table1[[#This Row],[same_2]]=1, 1, 0)</f>
        <v>0</v>
      </c>
      <c r="K1197">
        <f>IF(ISNUMBER(SEARCH(Table1[[#This Row],[their_ent_1]],Table1[[#This Row],[my_ent_1]])), 1, 0)</f>
        <v>0</v>
      </c>
      <c r="L1197">
        <f>IF(ISNUMBER(SEARCH(Table1[[#This Row],[their_ent_2]],Table1[[#This Row],[my_ent_2]])), 1, 0)</f>
        <v>0</v>
      </c>
    </row>
    <row r="1198" spans="1:12" x14ac:dyDescent="0.3">
      <c r="A1198" t="s">
        <v>3503</v>
      </c>
      <c r="B1198" t="s">
        <v>3504</v>
      </c>
      <c r="C1198" t="s">
        <v>30</v>
      </c>
      <c r="D1198" t="s">
        <v>137</v>
      </c>
      <c r="E1198" t="s">
        <v>138</v>
      </c>
      <c r="F1198">
        <v>3</v>
      </c>
      <c r="G1198">
        <v>1196</v>
      </c>
      <c r="H1198">
        <f>IF(Table1[[#This Row],[my_ent_1]]=Table1[[#This Row],[their_ent_1]], 1, 0)</f>
        <v>0</v>
      </c>
      <c r="I1198">
        <f>IF(Table1[[#This Row],[my_ent_2]]=Table1[[#This Row],[their_ent_2]], 1, 0)</f>
        <v>0</v>
      </c>
      <c r="J1198">
        <f>IF(Table1[[#This Row],[same_1]]=1 &amp; Table1[[#This Row],[same_2]]=1, 1, 0)</f>
        <v>0</v>
      </c>
      <c r="K1198">
        <f>IF(ISNUMBER(SEARCH(Table1[[#This Row],[their_ent_1]],Table1[[#This Row],[my_ent_1]])), 1, 0)</f>
        <v>1</v>
      </c>
      <c r="L1198">
        <f>IF(ISNUMBER(SEARCH(Table1[[#This Row],[their_ent_2]],Table1[[#This Row],[my_ent_2]])), 1, 0)</f>
        <v>1</v>
      </c>
    </row>
    <row r="1199" spans="1:12" hidden="1" x14ac:dyDescent="0.3">
      <c r="A1199" t="s">
        <v>3505</v>
      </c>
      <c r="B1199" t="s">
        <v>812</v>
      </c>
      <c r="C1199" t="s">
        <v>812</v>
      </c>
      <c r="D1199" t="s">
        <v>292</v>
      </c>
      <c r="E1199" t="s">
        <v>3506</v>
      </c>
      <c r="F1199">
        <v>3</v>
      </c>
      <c r="G1199">
        <v>1197</v>
      </c>
      <c r="H1199">
        <f>IF(Table1[[#This Row],[my_ent_1]]=Table1[[#This Row],[their_ent_1]], 1, 0)</f>
        <v>1</v>
      </c>
      <c r="I1199">
        <f>IF(Table1[[#This Row],[my_ent_2]]=Table1[[#This Row],[their_ent_2]], 1, 0)</f>
        <v>0</v>
      </c>
      <c r="J1199">
        <f>IF(Table1[[#This Row],[same_1]]=1 &amp; Table1[[#This Row],[same_2]]=1, 1, 0)</f>
        <v>0</v>
      </c>
      <c r="K1199">
        <f>IF(ISNUMBER(SEARCH(Table1[[#This Row],[their_ent_1]],Table1[[#This Row],[my_ent_1]])), 1, 0)</f>
        <v>1</v>
      </c>
      <c r="L1199">
        <f>IF(ISNUMBER(SEARCH(Table1[[#This Row],[their_ent_2]],Table1[[#This Row],[my_ent_2]])), 1, 0)</f>
        <v>0</v>
      </c>
    </row>
    <row r="1200" spans="1:12" hidden="1" x14ac:dyDescent="0.3">
      <c r="A1200" t="s">
        <v>3507</v>
      </c>
      <c r="B1200" t="s">
        <v>1251</v>
      </c>
      <c r="C1200" t="s">
        <v>754</v>
      </c>
      <c r="D1200" t="s">
        <v>3508</v>
      </c>
      <c r="E1200" t="s">
        <v>1241</v>
      </c>
      <c r="F1200">
        <v>3</v>
      </c>
      <c r="G1200">
        <v>1198</v>
      </c>
      <c r="H1200">
        <f>IF(Table1[[#This Row],[my_ent_1]]=Table1[[#This Row],[their_ent_1]], 1, 0)</f>
        <v>0</v>
      </c>
      <c r="I1200">
        <f>IF(Table1[[#This Row],[my_ent_2]]=Table1[[#This Row],[their_ent_2]], 1, 0)</f>
        <v>0</v>
      </c>
      <c r="J1200">
        <f>IF(Table1[[#This Row],[same_1]]=1 &amp; Table1[[#This Row],[same_2]]=1, 1, 0)</f>
        <v>0</v>
      </c>
      <c r="K1200">
        <f>IF(ISNUMBER(SEARCH(Table1[[#This Row],[their_ent_1]],Table1[[#This Row],[my_ent_1]])), 1, 0)</f>
        <v>1</v>
      </c>
      <c r="L1200">
        <f>IF(ISNUMBER(SEARCH(Table1[[#This Row],[their_ent_2]],Table1[[#This Row],[my_ent_2]])), 1, 0)</f>
        <v>0</v>
      </c>
    </row>
    <row r="1201" spans="1:12" hidden="1" x14ac:dyDescent="0.3">
      <c r="A1201" t="s">
        <v>3509</v>
      </c>
      <c r="B1201" t="s">
        <v>3510</v>
      </c>
      <c r="C1201" t="s">
        <v>148</v>
      </c>
      <c r="D1201" t="s">
        <v>51</v>
      </c>
      <c r="E1201" t="s">
        <v>3511</v>
      </c>
      <c r="F1201">
        <v>3</v>
      </c>
      <c r="G1201">
        <v>1199</v>
      </c>
      <c r="H1201">
        <f>IF(Table1[[#This Row],[my_ent_1]]=Table1[[#This Row],[their_ent_1]], 1, 0)</f>
        <v>0</v>
      </c>
      <c r="I1201">
        <f>IF(Table1[[#This Row],[my_ent_2]]=Table1[[#This Row],[their_ent_2]], 1, 0)</f>
        <v>0</v>
      </c>
      <c r="J1201">
        <f>IF(Table1[[#This Row],[same_1]]=1 &amp; Table1[[#This Row],[same_2]]=1, 1, 0)</f>
        <v>0</v>
      </c>
      <c r="K1201">
        <f>IF(ISNUMBER(SEARCH(Table1[[#This Row],[their_ent_1]],Table1[[#This Row],[my_ent_1]])), 1, 0)</f>
        <v>0</v>
      </c>
      <c r="L1201">
        <f>IF(ISNUMBER(SEARCH(Table1[[#This Row],[their_ent_2]],Table1[[#This Row],[my_ent_2]])), 1, 0)</f>
        <v>0</v>
      </c>
    </row>
    <row r="1202" spans="1:12" hidden="1" x14ac:dyDescent="0.3">
      <c r="A1202" t="s">
        <v>3512</v>
      </c>
      <c r="B1202" t="s">
        <v>267</v>
      </c>
      <c r="C1202" t="s">
        <v>236</v>
      </c>
      <c r="D1202" t="s">
        <v>290</v>
      </c>
      <c r="E1202" t="s">
        <v>290</v>
      </c>
      <c r="F1202">
        <v>3</v>
      </c>
      <c r="G1202">
        <v>1200</v>
      </c>
      <c r="H1202">
        <f>IF(Table1[[#This Row],[my_ent_1]]=Table1[[#This Row],[their_ent_1]], 1, 0)</f>
        <v>0</v>
      </c>
      <c r="I1202">
        <f>IF(Table1[[#This Row],[my_ent_2]]=Table1[[#This Row],[their_ent_2]], 1, 0)</f>
        <v>1</v>
      </c>
      <c r="J1202">
        <f>IF(Table1[[#This Row],[same_1]]=1 &amp; Table1[[#This Row],[same_2]]=1, 1, 0)</f>
        <v>0</v>
      </c>
      <c r="K1202">
        <f>IF(ISNUMBER(SEARCH(Table1[[#This Row],[their_ent_1]],Table1[[#This Row],[my_ent_1]])), 1, 0)</f>
        <v>0</v>
      </c>
      <c r="L1202">
        <f>IF(ISNUMBER(SEARCH(Table1[[#This Row],[their_ent_2]],Table1[[#This Row],[my_ent_2]])), 1, 0)</f>
        <v>1</v>
      </c>
    </row>
    <row r="1203" spans="1:12" hidden="1" x14ac:dyDescent="0.3">
      <c r="A1203" t="s">
        <v>3513</v>
      </c>
      <c r="B1203" t="s">
        <v>267</v>
      </c>
      <c r="C1203" t="s">
        <v>7</v>
      </c>
      <c r="D1203" t="s">
        <v>94</v>
      </c>
      <c r="E1203" t="s">
        <v>3038</v>
      </c>
      <c r="F1203">
        <v>3</v>
      </c>
      <c r="G1203">
        <v>1201</v>
      </c>
      <c r="H1203">
        <f>IF(Table1[[#This Row],[my_ent_1]]=Table1[[#This Row],[their_ent_1]], 1, 0)</f>
        <v>0</v>
      </c>
      <c r="I1203">
        <f>IF(Table1[[#This Row],[my_ent_2]]=Table1[[#This Row],[their_ent_2]], 1, 0)</f>
        <v>0</v>
      </c>
      <c r="J1203">
        <f>IF(Table1[[#This Row],[same_1]]=1 &amp; Table1[[#This Row],[same_2]]=1, 1, 0)</f>
        <v>0</v>
      </c>
      <c r="K1203">
        <f>IF(ISNUMBER(SEARCH(Table1[[#This Row],[their_ent_1]],Table1[[#This Row],[my_ent_1]])), 1, 0)</f>
        <v>0</v>
      </c>
      <c r="L1203">
        <f>IF(ISNUMBER(SEARCH(Table1[[#This Row],[their_ent_2]],Table1[[#This Row],[my_ent_2]])), 1, 0)</f>
        <v>0</v>
      </c>
    </row>
    <row r="1204" spans="1:12" hidden="1" x14ac:dyDescent="0.3">
      <c r="A1204" t="s">
        <v>3514</v>
      </c>
      <c r="B1204" t="s">
        <v>7</v>
      </c>
      <c r="C1204" t="s">
        <v>3515</v>
      </c>
      <c r="D1204" t="s">
        <v>263</v>
      </c>
      <c r="E1204" t="s">
        <v>7</v>
      </c>
      <c r="F1204">
        <v>3</v>
      </c>
      <c r="G1204">
        <v>1202</v>
      </c>
      <c r="H1204">
        <f>IF(Table1[[#This Row],[my_ent_1]]=Table1[[#This Row],[their_ent_1]], 1, 0)</f>
        <v>0</v>
      </c>
      <c r="I1204">
        <f>IF(Table1[[#This Row],[my_ent_2]]=Table1[[#This Row],[their_ent_2]], 1, 0)</f>
        <v>0</v>
      </c>
      <c r="J1204">
        <f>IF(Table1[[#This Row],[same_1]]=1 &amp; Table1[[#This Row],[same_2]]=1, 1, 0)</f>
        <v>0</v>
      </c>
      <c r="K1204">
        <f>IF(ISNUMBER(SEARCH(Table1[[#This Row],[their_ent_1]],Table1[[#This Row],[my_ent_1]])), 1, 0)</f>
        <v>0</v>
      </c>
      <c r="L1204">
        <f>IF(ISNUMBER(SEARCH(Table1[[#This Row],[their_ent_2]],Table1[[#This Row],[my_ent_2]])), 1, 0)</f>
        <v>0</v>
      </c>
    </row>
    <row r="1205" spans="1:12" hidden="1" x14ac:dyDescent="0.3">
      <c r="A1205" t="s">
        <v>3516</v>
      </c>
      <c r="B1205" t="s">
        <v>3517</v>
      </c>
      <c r="C1205" t="s">
        <v>3518</v>
      </c>
      <c r="D1205" t="s">
        <v>3518</v>
      </c>
      <c r="E1205" t="s">
        <v>7</v>
      </c>
      <c r="F1205">
        <v>1</v>
      </c>
      <c r="G1205">
        <v>1203</v>
      </c>
      <c r="H1205">
        <f>IF(Table1[[#This Row],[my_ent_1]]=Table1[[#This Row],[their_ent_1]], 1, 0)</f>
        <v>0</v>
      </c>
      <c r="I1205">
        <f>IF(Table1[[#This Row],[my_ent_2]]=Table1[[#This Row],[their_ent_2]], 1, 0)</f>
        <v>0</v>
      </c>
      <c r="J1205">
        <f>IF(Table1[[#This Row],[same_1]]=1 &amp; Table1[[#This Row],[same_2]]=1, 1, 0)</f>
        <v>0</v>
      </c>
      <c r="K1205">
        <f>IF(ISNUMBER(SEARCH(Table1[[#This Row],[their_ent_1]],Table1[[#This Row],[my_ent_1]])), 1, 0)</f>
        <v>1</v>
      </c>
      <c r="L1205">
        <f>IF(ISNUMBER(SEARCH(Table1[[#This Row],[their_ent_2]],Table1[[#This Row],[my_ent_2]])), 1, 0)</f>
        <v>0</v>
      </c>
    </row>
    <row r="1206" spans="1:12" hidden="1" x14ac:dyDescent="0.3">
      <c r="A1206" t="s">
        <v>3519</v>
      </c>
      <c r="B1206" t="s">
        <v>3520</v>
      </c>
      <c r="C1206" t="s">
        <v>3520</v>
      </c>
      <c r="D1206" t="s">
        <v>263</v>
      </c>
      <c r="E1206" t="s">
        <v>3521</v>
      </c>
      <c r="F1206">
        <v>1</v>
      </c>
      <c r="G1206">
        <v>1204</v>
      </c>
      <c r="H1206">
        <f>IF(Table1[[#This Row],[my_ent_1]]=Table1[[#This Row],[their_ent_1]], 1, 0)</f>
        <v>1</v>
      </c>
      <c r="I1206">
        <f>IF(Table1[[#This Row],[my_ent_2]]=Table1[[#This Row],[their_ent_2]], 1, 0)</f>
        <v>0</v>
      </c>
      <c r="J1206">
        <f>IF(Table1[[#This Row],[same_1]]=1 &amp; Table1[[#This Row],[same_2]]=1, 1, 0)</f>
        <v>0</v>
      </c>
      <c r="K1206">
        <f>IF(ISNUMBER(SEARCH(Table1[[#This Row],[their_ent_1]],Table1[[#This Row],[my_ent_1]])), 1, 0)</f>
        <v>1</v>
      </c>
      <c r="L1206">
        <f>IF(ISNUMBER(SEARCH(Table1[[#This Row],[their_ent_2]],Table1[[#This Row],[my_ent_2]])), 1, 0)</f>
        <v>0</v>
      </c>
    </row>
  </sheetData>
  <phoneticPr fontId="18"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CFDC0-4A3F-4A59-9636-00F803A425FF}">
  <dimension ref="A1:A227"/>
  <sheetViews>
    <sheetView tabSelected="1" topLeftCell="A190" workbookViewId="0">
      <selection activeCell="B195" sqref="B195"/>
    </sheetView>
  </sheetViews>
  <sheetFormatPr defaultRowHeight="14.4" x14ac:dyDescent="0.3"/>
  <cols>
    <col min="1" max="1" width="5.5546875" bestFit="1" customWidth="1"/>
    <col min="2" max="2" width="54.6640625" bestFit="1" customWidth="1"/>
    <col min="3" max="3" width="48.44140625" bestFit="1" customWidth="1"/>
    <col min="4" max="5" width="58.33203125" bestFit="1" customWidth="1"/>
    <col min="6" max="6" width="2" bestFit="1" customWidth="1"/>
  </cols>
  <sheetData>
    <row r="1" spans="1:1" x14ac:dyDescent="0.3">
      <c r="A1">
        <v>19</v>
      </c>
    </row>
    <row r="2" spans="1:1" x14ac:dyDescent="0.3">
      <c r="A2">
        <v>33</v>
      </c>
    </row>
    <row r="3" spans="1:1" x14ac:dyDescent="0.3">
      <c r="A3">
        <v>57</v>
      </c>
    </row>
    <row r="4" spans="1:1" x14ac:dyDescent="0.3">
      <c r="A4">
        <v>59</v>
      </c>
    </row>
    <row r="5" spans="1:1" x14ac:dyDescent="0.3">
      <c r="A5">
        <v>60</v>
      </c>
    </row>
    <row r="6" spans="1:1" x14ac:dyDescent="0.3">
      <c r="A6">
        <v>61</v>
      </c>
    </row>
    <row r="7" spans="1:1" x14ac:dyDescent="0.3">
      <c r="A7">
        <v>71</v>
      </c>
    </row>
    <row r="8" spans="1:1" x14ac:dyDescent="0.3">
      <c r="A8">
        <v>80</v>
      </c>
    </row>
    <row r="9" spans="1:1" x14ac:dyDescent="0.3">
      <c r="A9">
        <v>98</v>
      </c>
    </row>
    <row r="10" spans="1:1" x14ac:dyDescent="0.3">
      <c r="A10">
        <v>104</v>
      </c>
    </row>
    <row r="11" spans="1:1" x14ac:dyDescent="0.3">
      <c r="A11">
        <v>105</v>
      </c>
    </row>
    <row r="12" spans="1:1" x14ac:dyDescent="0.3">
      <c r="A12">
        <v>106</v>
      </c>
    </row>
    <row r="13" spans="1:1" x14ac:dyDescent="0.3">
      <c r="A13">
        <v>110</v>
      </c>
    </row>
    <row r="14" spans="1:1" x14ac:dyDescent="0.3">
      <c r="A14">
        <v>124</v>
      </c>
    </row>
    <row r="15" spans="1:1" x14ac:dyDescent="0.3">
      <c r="A15">
        <v>129</v>
      </c>
    </row>
    <row r="16" spans="1:1" x14ac:dyDescent="0.3">
      <c r="A16">
        <v>130</v>
      </c>
    </row>
    <row r="17" spans="1:1" x14ac:dyDescent="0.3">
      <c r="A17">
        <v>140</v>
      </c>
    </row>
    <row r="18" spans="1:1" x14ac:dyDescent="0.3">
      <c r="A18">
        <v>146</v>
      </c>
    </row>
    <row r="19" spans="1:1" x14ac:dyDescent="0.3">
      <c r="A19">
        <v>151</v>
      </c>
    </row>
    <row r="20" spans="1:1" x14ac:dyDescent="0.3">
      <c r="A20">
        <v>160</v>
      </c>
    </row>
    <row r="21" spans="1:1" x14ac:dyDescent="0.3">
      <c r="A21">
        <v>166</v>
      </c>
    </row>
    <row r="22" spans="1:1" x14ac:dyDescent="0.3">
      <c r="A22">
        <v>169</v>
      </c>
    </row>
    <row r="23" spans="1:1" x14ac:dyDescent="0.3">
      <c r="A23">
        <v>170</v>
      </c>
    </row>
    <row r="24" spans="1:1" x14ac:dyDescent="0.3">
      <c r="A24">
        <v>172</v>
      </c>
    </row>
    <row r="25" spans="1:1" x14ac:dyDescent="0.3">
      <c r="A25">
        <v>180</v>
      </c>
    </row>
    <row r="26" spans="1:1" x14ac:dyDescent="0.3">
      <c r="A26">
        <v>181</v>
      </c>
    </row>
    <row r="27" spans="1:1" x14ac:dyDescent="0.3">
      <c r="A27">
        <v>183</v>
      </c>
    </row>
    <row r="28" spans="1:1" x14ac:dyDescent="0.3">
      <c r="A28">
        <v>185</v>
      </c>
    </row>
    <row r="29" spans="1:1" x14ac:dyDescent="0.3">
      <c r="A29">
        <v>186</v>
      </c>
    </row>
    <row r="30" spans="1:1" x14ac:dyDescent="0.3">
      <c r="A30">
        <v>207</v>
      </c>
    </row>
    <row r="31" spans="1:1" x14ac:dyDescent="0.3">
      <c r="A31">
        <v>211</v>
      </c>
    </row>
    <row r="32" spans="1:1" x14ac:dyDescent="0.3">
      <c r="A32">
        <v>221</v>
      </c>
    </row>
    <row r="33" spans="1:1" x14ac:dyDescent="0.3">
      <c r="A33">
        <v>223</v>
      </c>
    </row>
    <row r="34" spans="1:1" x14ac:dyDescent="0.3">
      <c r="A34">
        <v>228</v>
      </c>
    </row>
    <row r="35" spans="1:1" x14ac:dyDescent="0.3">
      <c r="A35">
        <v>232</v>
      </c>
    </row>
    <row r="36" spans="1:1" x14ac:dyDescent="0.3">
      <c r="A36">
        <v>234</v>
      </c>
    </row>
    <row r="37" spans="1:1" x14ac:dyDescent="0.3">
      <c r="A37">
        <v>239</v>
      </c>
    </row>
    <row r="38" spans="1:1" x14ac:dyDescent="0.3">
      <c r="A38">
        <v>242</v>
      </c>
    </row>
    <row r="39" spans="1:1" x14ac:dyDescent="0.3">
      <c r="A39">
        <v>247</v>
      </c>
    </row>
    <row r="40" spans="1:1" x14ac:dyDescent="0.3">
      <c r="A40">
        <v>255</v>
      </c>
    </row>
    <row r="41" spans="1:1" x14ac:dyDescent="0.3">
      <c r="A41">
        <v>261</v>
      </c>
    </row>
    <row r="42" spans="1:1" x14ac:dyDescent="0.3">
      <c r="A42">
        <v>268</v>
      </c>
    </row>
    <row r="43" spans="1:1" x14ac:dyDescent="0.3">
      <c r="A43">
        <v>284</v>
      </c>
    </row>
    <row r="44" spans="1:1" x14ac:dyDescent="0.3">
      <c r="A44">
        <v>287</v>
      </c>
    </row>
    <row r="45" spans="1:1" x14ac:dyDescent="0.3">
      <c r="A45">
        <v>288</v>
      </c>
    </row>
    <row r="46" spans="1:1" x14ac:dyDescent="0.3">
      <c r="A46">
        <v>294</v>
      </c>
    </row>
    <row r="47" spans="1:1" x14ac:dyDescent="0.3">
      <c r="A47">
        <v>300</v>
      </c>
    </row>
    <row r="48" spans="1:1" x14ac:dyDescent="0.3">
      <c r="A48">
        <v>303</v>
      </c>
    </row>
    <row r="49" spans="1:1" x14ac:dyDescent="0.3">
      <c r="A49">
        <v>316</v>
      </c>
    </row>
    <row r="50" spans="1:1" x14ac:dyDescent="0.3">
      <c r="A50">
        <v>321</v>
      </c>
    </row>
    <row r="51" spans="1:1" x14ac:dyDescent="0.3">
      <c r="A51">
        <v>336</v>
      </c>
    </row>
    <row r="52" spans="1:1" x14ac:dyDescent="0.3">
      <c r="A52">
        <v>340</v>
      </c>
    </row>
    <row r="53" spans="1:1" x14ac:dyDescent="0.3">
      <c r="A53">
        <v>342</v>
      </c>
    </row>
    <row r="54" spans="1:1" x14ac:dyDescent="0.3">
      <c r="A54">
        <v>348</v>
      </c>
    </row>
    <row r="55" spans="1:1" x14ac:dyDescent="0.3">
      <c r="A55">
        <v>349</v>
      </c>
    </row>
    <row r="56" spans="1:1" x14ac:dyDescent="0.3">
      <c r="A56">
        <v>357</v>
      </c>
    </row>
    <row r="57" spans="1:1" x14ac:dyDescent="0.3">
      <c r="A57">
        <v>375</v>
      </c>
    </row>
    <row r="58" spans="1:1" x14ac:dyDescent="0.3">
      <c r="A58">
        <v>392</v>
      </c>
    </row>
    <row r="59" spans="1:1" x14ac:dyDescent="0.3">
      <c r="A59">
        <v>408</v>
      </c>
    </row>
    <row r="60" spans="1:1" x14ac:dyDescent="0.3">
      <c r="A60">
        <v>410</v>
      </c>
    </row>
    <row r="61" spans="1:1" x14ac:dyDescent="0.3">
      <c r="A61">
        <v>417</v>
      </c>
    </row>
    <row r="62" spans="1:1" x14ac:dyDescent="0.3">
      <c r="A62">
        <v>418</v>
      </c>
    </row>
    <row r="63" spans="1:1" x14ac:dyDescent="0.3">
      <c r="A63">
        <v>419</v>
      </c>
    </row>
    <row r="64" spans="1:1" x14ac:dyDescent="0.3">
      <c r="A64">
        <v>424</v>
      </c>
    </row>
    <row r="65" spans="1:1" x14ac:dyDescent="0.3">
      <c r="A65">
        <v>440</v>
      </c>
    </row>
    <row r="66" spans="1:1" x14ac:dyDescent="0.3">
      <c r="A66">
        <v>441</v>
      </c>
    </row>
    <row r="67" spans="1:1" x14ac:dyDescent="0.3">
      <c r="A67">
        <v>445</v>
      </c>
    </row>
    <row r="68" spans="1:1" x14ac:dyDescent="0.3">
      <c r="A68">
        <v>464</v>
      </c>
    </row>
    <row r="69" spans="1:1" x14ac:dyDescent="0.3">
      <c r="A69">
        <v>471</v>
      </c>
    </row>
    <row r="70" spans="1:1" x14ac:dyDescent="0.3">
      <c r="A70">
        <v>475</v>
      </c>
    </row>
    <row r="71" spans="1:1" x14ac:dyDescent="0.3">
      <c r="A71">
        <v>491</v>
      </c>
    </row>
    <row r="72" spans="1:1" x14ac:dyDescent="0.3">
      <c r="A72">
        <v>498</v>
      </c>
    </row>
    <row r="73" spans="1:1" x14ac:dyDescent="0.3">
      <c r="A73">
        <v>500</v>
      </c>
    </row>
    <row r="74" spans="1:1" x14ac:dyDescent="0.3">
      <c r="A74">
        <v>507</v>
      </c>
    </row>
    <row r="75" spans="1:1" x14ac:dyDescent="0.3">
      <c r="A75">
        <v>515</v>
      </c>
    </row>
    <row r="76" spans="1:1" x14ac:dyDescent="0.3">
      <c r="A76">
        <v>528</v>
      </c>
    </row>
    <row r="77" spans="1:1" x14ac:dyDescent="0.3">
      <c r="A77">
        <v>529</v>
      </c>
    </row>
    <row r="78" spans="1:1" x14ac:dyDescent="0.3">
      <c r="A78">
        <v>530</v>
      </c>
    </row>
    <row r="79" spans="1:1" x14ac:dyDescent="0.3">
      <c r="A79">
        <v>533</v>
      </c>
    </row>
    <row r="80" spans="1:1" x14ac:dyDescent="0.3">
      <c r="A80">
        <v>534</v>
      </c>
    </row>
    <row r="81" spans="1:1" x14ac:dyDescent="0.3">
      <c r="A81">
        <v>539</v>
      </c>
    </row>
    <row r="82" spans="1:1" x14ac:dyDescent="0.3">
      <c r="A82">
        <v>540</v>
      </c>
    </row>
    <row r="83" spans="1:1" x14ac:dyDescent="0.3">
      <c r="A83">
        <v>542</v>
      </c>
    </row>
    <row r="84" spans="1:1" x14ac:dyDescent="0.3">
      <c r="A84">
        <v>543</v>
      </c>
    </row>
    <row r="85" spans="1:1" x14ac:dyDescent="0.3">
      <c r="A85">
        <v>549</v>
      </c>
    </row>
    <row r="86" spans="1:1" x14ac:dyDescent="0.3">
      <c r="A86">
        <v>563</v>
      </c>
    </row>
    <row r="87" spans="1:1" x14ac:dyDescent="0.3">
      <c r="A87">
        <v>566</v>
      </c>
    </row>
    <row r="88" spans="1:1" x14ac:dyDescent="0.3">
      <c r="A88">
        <v>581</v>
      </c>
    </row>
    <row r="89" spans="1:1" x14ac:dyDescent="0.3">
      <c r="A89">
        <v>583</v>
      </c>
    </row>
    <row r="90" spans="1:1" x14ac:dyDescent="0.3">
      <c r="A90">
        <v>596</v>
      </c>
    </row>
    <row r="91" spans="1:1" x14ac:dyDescent="0.3">
      <c r="A91">
        <v>604</v>
      </c>
    </row>
    <row r="92" spans="1:1" x14ac:dyDescent="0.3">
      <c r="A92">
        <v>605</v>
      </c>
    </row>
    <row r="93" spans="1:1" x14ac:dyDescent="0.3">
      <c r="A93">
        <v>615</v>
      </c>
    </row>
    <row r="94" spans="1:1" x14ac:dyDescent="0.3">
      <c r="A94">
        <v>621</v>
      </c>
    </row>
    <row r="95" spans="1:1" x14ac:dyDescent="0.3">
      <c r="A95">
        <v>634</v>
      </c>
    </row>
    <row r="96" spans="1:1" x14ac:dyDescent="0.3">
      <c r="A96">
        <v>636</v>
      </c>
    </row>
    <row r="97" spans="1:1" x14ac:dyDescent="0.3">
      <c r="A97">
        <v>641</v>
      </c>
    </row>
    <row r="98" spans="1:1" x14ac:dyDescent="0.3">
      <c r="A98">
        <v>643</v>
      </c>
    </row>
    <row r="99" spans="1:1" x14ac:dyDescent="0.3">
      <c r="A99">
        <v>648</v>
      </c>
    </row>
    <row r="100" spans="1:1" x14ac:dyDescent="0.3">
      <c r="A100">
        <v>651</v>
      </c>
    </row>
    <row r="101" spans="1:1" x14ac:dyDescent="0.3">
      <c r="A101">
        <v>657</v>
      </c>
    </row>
    <row r="102" spans="1:1" x14ac:dyDescent="0.3">
      <c r="A102">
        <v>661</v>
      </c>
    </row>
    <row r="103" spans="1:1" x14ac:dyDescent="0.3">
      <c r="A103">
        <v>665</v>
      </c>
    </row>
    <row r="104" spans="1:1" x14ac:dyDescent="0.3">
      <c r="A104">
        <v>670</v>
      </c>
    </row>
    <row r="105" spans="1:1" x14ac:dyDescent="0.3">
      <c r="A105">
        <v>674</v>
      </c>
    </row>
    <row r="106" spans="1:1" x14ac:dyDescent="0.3">
      <c r="A106">
        <v>675</v>
      </c>
    </row>
    <row r="107" spans="1:1" x14ac:dyDescent="0.3">
      <c r="A107">
        <v>685</v>
      </c>
    </row>
    <row r="108" spans="1:1" x14ac:dyDescent="0.3">
      <c r="A108">
        <v>689</v>
      </c>
    </row>
    <row r="109" spans="1:1" x14ac:dyDescent="0.3">
      <c r="A109">
        <v>694</v>
      </c>
    </row>
    <row r="110" spans="1:1" x14ac:dyDescent="0.3">
      <c r="A110">
        <v>709</v>
      </c>
    </row>
    <row r="111" spans="1:1" x14ac:dyDescent="0.3">
      <c r="A111">
        <v>717</v>
      </c>
    </row>
    <row r="112" spans="1:1" x14ac:dyDescent="0.3">
      <c r="A112">
        <v>718</v>
      </c>
    </row>
    <row r="113" spans="1:1" x14ac:dyDescent="0.3">
      <c r="A113">
        <v>720</v>
      </c>
    </row>
    <row r="114" spans="1:1" x14ac:dyDescent="0.3">
      <c r="A114">
        <v>732</v>
      </c>
    </row>
    <row r="115" spans="1:1" x14ac:dyDescent="0.3">
      <c r="A115">
        <v>733</v>
      </c>
    </row>
    <row r="116" spans="1:1" x14ac:dyDescent="0.3">
      <c r="A116">
        <v>743</v>
      </c>
    </row>
    <row r="117" spans="1:1" x14ac:dyDescent="0.3">
      <c r="A117">
        <v>767</v>
      </c>
    </row>
    <row r="118" spans="1:1" x14ac:dyDescent="0.3">
      <c r="A118">
        <v>769</v>
      </c>
    </row>
    <row r="119" spans="1:1" x14ac:dyDescent="0.3">
      <c r="A119">
        <v>774</v>
      </c>
    </row>
    <row r="120" spans="1:1" x14ac:dyDescent="0.3">
      <c r="A120">
        <v>776</v>
      </c>
    </row>
    <row r="121" spans="1:1" x14ac:dyDescent="0.3">
      <c r="A121">
        <v>780</v>
      </c>
    </row>
    <row r="122" spans="1:1" x14ac:dyDescent="0.3">
      <c r="A122">
        <v>785</v>
      </c>
    </row>
    <row r="123" spans="1:1" x14ac:dyDescent="0.3">
      <c r="A123">
        <v>788</v>
      </c>
    </row>
    <row r="124" spans="1:1" x14ac:dyDescent="0.3">
      <c r="A124">
        <v>794</v>
      </c>
    </row>
    <row r="125" spans="1:1" x14ac:dyDescent="0.3">
      <c r="A125">
        <v>804</v>
      </c>
    </row>
    <row r="126" spans="1:1" x14ac:dyDescent="0.3">
      <c r="A126">
        <v>805</v>
      </c>
    </row>
    <row r="127" spans="1:1" x14ac:dyDescent="0.3">
      <c r="A127">
        <v>821</v>
      </c>
    </row>
    <row r="128" spans="1:1" x14ac:dyDescent="0.3">
      <c r="A128">
        <v>829</v>
      </c>
    </row>
    <row r="129" spans="1:1" x14ac:dyDescent="0.3">
      <c r="A129">
        <v>830</v>
      </c>
    </row>
    <row r="130" spans="1:1" x14ac:dyDescent="0.3">
      <c r="A130">
        <v>835</v>
      </c>
    </row>
    <row r="131" spans="1:1" x14ac:dyDescent="0.3">
      <c r="A131">
        <v>838</v>
      </c>
    </row>
    <row r="132" spans="1:1" x14ac:dyDescent="0.3">
      <c r="A132">
        <v>841</v>
      </c>
    </row>
    <row r="133" spans="1:1" x14ac:dyDescent="0.3">
      <c r="A133">
        <v>843</v>
      </c>
    </row>
    <row r="134" spans="1:1" x14ac:dyDescent="0.3">
      <c r="A134">
        <v>855</v>
      </c>
    </row>
    <row r="135" spans="1:1" x14ac:dyDescent="0.3">
      <c r="A135">
        <v>866</v>
      </c>
    </row>
    <row r="136" spans="1:1" x14ac:dyDescent="0.3">
      <c r="A136">
        <v>868</v>
      </c>
    </row>
    <row r="137" spans="1:1" x14ac:dyDescent="0.3">
      <c r="A137">
        <v>871</v>
      </c>
    </row>
    <row r="138" spans="1:1" x14ac:dyDescent="0.3">
      <c r="A138">
        <v>875</v>
      </c>
    </row>
    <row r="139" spans="1:1" x14ac:dyDescent="0.3">
      <c r="A139">
        <v>879</v>
      </c>
    </row>
    <row r="140" spans="1:1" x14ac:dyDescent="0.3">
      <c r="A140">
        <v>881</v>
      </c>
    </row>
    <row r="141" spans="1:1" x14ac:dyDescent="0.3">
      <c r="A141">
        <v>889</v>
      </c>
    </row>
    <row r="142" spans="1:1" x14ac:dyDescent="0.3">
      <c r="A142">
        <v>890</v>
      </c>
    </row>
    <row r="143" spans="1:1" x14ac:dyDescent="0.3">
      <c r="A143">
        <v>891</v>
      </c>
    </row>
    <row r="144" spans="1:1" x14ac:dyDescent="0.3">
      <c r="A144">
        <v>895</v>
      </c>
    </row>
    <row r="145" spans="1:1" x14ac:dyDescent="0.3">
      <c r="A145">
        <v>909</v>
      </c>
    </row>
    <row r="146" spans="1:1" x14ac:dyDescent="0.3">
      <c r="A146">
        <v>911</v>
      </c>
    </row>
    <row r="147" spans="1:1" x14ac:dyDescent="0.3">
      <c r="A147">
        <v>912</v>
      </c>
    </row>
    <row r="148" spans="1:1" x14ac:dyDescent="0.3">
      <c r="A148">
        <v>915</v>
      </c>
    </row>
    <row r="149" spans="1:1" x14ac:dyDescent="0.3">
      <c r="A149">
        <v>917</v>
      </c>
    </row>
    <row r="150" spans="1:1" x14ac:dyDescent="0.3">
      <c r="A150">
        <v>921</v>
      </c>
    </row>
    <row r="151" spans="1:1" x14ac:dyDescent="0.3">
      <c r="A151">
        <v>927</v>
      </c>
    </row>
    <row r="152" spans="1:1" x14ac:dyDescent="0.3">
      <c r="A152">
        <v>928</v>
      </c>
    </row>
    <row r="153" spans="1:1" x14ac:dyDescent="0.3">
      <c r="A153">
        <v>931</v>
      </c>
    </row>
    <row r="154" spans="1:1" x14ac:dyDescent="0.3">
      <c r="A154">
        <v>933</v>
      </c>
    </row>
    <row r="155" spans="1:1" x14ac:dyDescent="0.3">
      <c r="A155">
        <v>941</v>
      </c>
    </row>
    <row r="156" spans="1:1" x14ac:dyDescent="0.3">
      <c r="A156">
        <v>945</v>
      </c>
    </row>
    <row r="157" spans="1:1" x14ac:dyDescent="0.3">
      <c r="A157">
        <v>947</v>
      </c>
    </row>
    <row r="158" spans="1:1" x14ac:dyDescent="0.3">
      <c r="A158">
        <v>950</v>
      </c>
    </row>
    <row r="159" spans="1:1" x14ac:dyDescent="0.3">
      <c r="A159">
        <v>955</v>
      </c>
    </row>
    <row r="160" spans="1:1" x14ac:dyDescent="0.3">
      <c r="A160">
        <v>965</v>
      </c>
    </row>
    <row r="161" spans="1:1" x14ac:dyDescent="0.3">
      <c r="A161">
        <v>973</v>
      </c>
    </row>
    <row r="162" spans="1:1" x14ac:dyDescent="0.3">
      <c r="A162">
        <v>975</v>
      </c>
    </row>
    <row r="163" spans="1:1" x14ac:dyDescent="0.3">
      <c r="A163">
        <v>978</v>
      </c>
    </row>
    <row r="164" spans="1:1" x14ac:dyDescent="0.3">
      <c r="A164">
        <v>985</v>
      </c>
    </row>
    <row r="165" spans="1:1" x14ac:dyDescent="0.3">
      <c r="A165">
        <v>986</v>
      </c>
    </row>
    <row r="166" spans="1:1" x14ac:dyDescent="0.3">
      <c r="A166">
        <v>991</v>
      </c>
    </row>
    <row r="167" spans="1:1" x14ac:dyDescent="0.3">
      <c r="A167">
        <v>992</v>
      </c>
    </row>
    <row r="168" spans="1:1" x14ac:dyDescent="0.3">
      <c r="A168">
        <v>993</v>
      </c>
    </row>
    <row r="169" spans="1:1" x14ac:dyDescent="0.3">
      <c r="A169">
        <v>995</v>
      </c>
    </row>
    <row r="170" spans="1:1" x14ac:dyDescent="0.3">
      <c r="A170">
        <v>996</v>
      </c>
    </row>
    <row r="171" spans="1:1" x14ac:dyDescent="0.3">
      <c r="A171">
        <v>998</v>
      </c>
    </row>
    <row r="172" spans="1:1" x14ac:dyDescent="0.3">
      <c r="A172">
        <v>999</v>
      </c>
    </row>
    <row r="173" spans="1:1" x14ac:dyDescent="0.3">
      <c r="A173">
        <v>1001</v>
      </c>
    </row>
    <row r="174" spans="1:1" x14ac:dyDescent="0.3">
      <c r="A174">
        <v>1002</v>
      </c>
    </row>
    <row r="175" spans="1:1" x14ac:dyDescent="0.3">
      <c r="A175">
        <v>1004</v>
      </c>
    </row>
    <row r="176" spans="1:1" x14ac:dyDescent="0.3">
      <c r="A176">
        <v>1008</v>
      </c>
    </row>
    <row r="177" spans="1:1" x14ac:dyDescent="0.3">
      <c r="A177">
        <v>1013</v>
      </c>
    </row>
    <row r="178" spans="1:1" x14ac:dyDescent="0.3">
      <c r="A178">
        <v>1016</v>
      </c>
    </row>
    <row r="179" spans="1:1" x14ac:dyDescent="0.3">
      <c r="A179">
        <v>1023</v>
      </c>
    </row>
    <row r="180" spans="1:1" x14ac:dyDescent="0.3">
      <c r="A180">
        <v>1025</v>
      </c>
    </row>
    <row r="181" spans="1:1" x14ac:dyDescent="0.3">
      <c r="A181">
        <v>1028</v>
      </c>
    </row>
    <row r="182" spans="1:1" x14ac:dyDescent="0.3">
      <c r="A182">
        <v>1032</v>
      </c>
    </row>
    <row r="183" spans="1:1" x14ac:dyDescent="0.3">
      <c r="A183">
        <v>1034</v>
      </c>
    </row>
    <row r="184" spans="1:1" x14ac:dyDescent="0.3">
      <c r="A184">
        <v>1037</v>
      </c>
    </row>
    <row r="185" spans="1:1" x14ac:dyDescent="0.3">
      <c r="A185">
        <v>1043</v>
      </c>
    </row>
    <row r="186" spans="1:1" x14ac:dyDescent="0.3">
      <c r="A186">
        <v>1046</v>
      </c>
    </row>
    <row r="187" spans="1:1" x14ac:dyDescent="0.3">
      <c r="A187">
        <v>1049</v>
      </c>
    </row>
    <row r="188" spans="1:1" x14ac:dyDescent="0.3">
      <c r="A188">
        <v>1057</v>
      </c>
    </row>
    <row r="189" spans="1:1" x14ac:dyDescent="0.3">
      <c r="A189">
        <v>1058</v>
      </c>
    </row>
    <row r="190" spans="1:1" x14ac:dyDescent="0.3">
      <c r="A190">
        <v>1063</v>
      </c>
    </row>
    <row r="191" spans="1:1" x14ac:dyDescent="0.3">
      <c r="A191">
        <v>1065</v>
      </c>
    </row>
    <row r="192" spans="1:1" x14ac:dyDescent="0.3">
      <c r="A192">
        <v>1068</v>
      </c>
    </row>
    <row r="193" spans="1:1" x14ac:dyDescent="0.3">
      <c r="A193">
        <v>1071</v>
      </c>
    </row>
    <row r="194" spans="1:1" x14ac:dyDescent="0.3">
      <c r="A194">
        <v>1075</v>
      </c>
    </row>
    <row r="195" spans="1:1" x14ac:dyDescent="0.3">
      <c r="A195">
        <v>1088</v>
      </c>
    </row>
    <row r="196" spans="1:1" x14ac:dyDescent="0.3">
      <c r="A196">
        <v>1089</v>
      </c>
    </row>
    <row r="197" spans="1:1" x14ac:dyDescent="0.3">
      <c r="A197">
        <v>1090</v>
      </c>
    </row>
    <row r="198" spans="1:1" x14ac:dyDescent="0.3">
      <c r="A198">
        <v>1092</v>
      </c>
    </row>
    <row r="199" spans="1:1" x14ac:dyDescent="0.3">
      <c r="A199">
        <v>1093</v>
      </c>
    </row>
    <row r="200" spans="1:1" x14ac:dyDescent="0.3">
      <c r="A200">
        <v>1102</v>
      </c>
    </row>
    <row r="201" spans="1:1" x14ac:dyDescent="0.3">
      <c r="A201">
        <v>1109</v>
      </c>
    </row>
    <row r="202" spans="1:1" x14ac:dyDescent="0.3">
      <c r="A202">
        <v>1115</v>
      </c>
    </row>
    <row r="203" spans="1:1" x14ac:dyDescent="0.3">
      <c r="A203">
        <v>1118</v>
      </c>
    </row>
    <row r="204" spans="1:1" x14ac:dyDescent="0.3">
      <c r="A204">
        <v>1123</v>
      </c>
    </row>
    <row r="205" spans="1:1" x14ac:dyDescent="0.3">
      <c r="A205">
        <v>1124</v>
      </c>
    </row>
    <row r="206" spans="1:1" x14ac:dyDescent="0.3">
      <c r="A206">
        <v>1127</v>
      </c>
    </row>
    <row r="207" spans="1:1" x14ac:dyDescent="0.3">
      <c r="A207">
        <v>1130</v>
      </c>
    </row>
    <row r="208" spans="1:1" x14ac:dyDescent="0.3">
      <c r="A208">
        <v>1131</v>
      </c>
    </row>
    <row r="209" spans="1:1" x14ac:dyDescent="0.3">
      <c r="A209">
        <v>1132</v>
      </c>
    </row>
    <row r="210" spans="1:1" x14ac:dyDescent="0.3">
      <c r="A210">
        <v>1134</v>
      </c>
    </row>
    <row r="211" spans="1:1" x14ac:dyDescent="0.3">
      <c r="A211">
        <v>1136</v>
      </c>
    </row>
    <row r="212" spans="1:1" x14ac:dyDescent="0.3">
      <c r="A212">
        <v>1138</v>
      </c>
    </row>
    <row r="213" spans="1:1" x14ac:dyDescent="0.3">
      <c r="A213">
        <v>1139</v>
      </c>
    </row>
    <row r="214" spans="1:1" x14ac:dyDescent="0.3">
      <c r="A214">
        <v>1149</v>
      </c>
    </row>
    <row r="215" spans="1:1" x14ac:dyDescent="0.3">
      <c r="A215">
        <v>1158</v>
      </c>
    </row>
    <row r="216" spans="1:1" x14ac:dyDescent="0.3">
      <c r="A216">
        <v>1161</v>
      </c>
    </row>
    <row r="217" spans="1:1" x14ac:dyDescent="0.3">
      <c r="A217">
        <v>1165</v>
      </c>
    </row>
    <row r="218" spans="1:1" x14ac:dyDescent="0.3">
      <c r="A218">
        <v>1166</v>
      </c>
    </row>
    <row r="219" spans="1:1" x14ac:dyDescent="0.3">
      <c r="A219">
        <v>1168</v>
      </c>
    </row>
    <row r="220" spans="1:1" x14ac:dyDescent="0.3">
      <c r="A220">
        <v>1169</v>
      </c>
    </row>
    <row r="221" spans="1:1" x14ac:dyDescent="0.3">
      <c r="A221">
        <v>1174</v>
      </c>
    </row>
    <row r="222" spans="1:1" x14ac:dyDescent="0.3">
      <c r="A222">
        <v>1176</v>
      </c>
    </row>
    <row r="223" spans="1:1" x14ac:dyDescent="0.3">
      <c r="A223">
        <v>1182</v>
      </c>
    </row>
    <row r="224" spans="1:1" x14ac:dyDescent="0.3">
      <c r="A224">
        <v>1189</v>
      </c>
    </row>
    <row r="225" spans="1:1" x14ac:dyDescent="0.3">
      <c r="A225">
        <v>1190</v>
      </c>
    </row>
    <row r="226" spans="1:1" x14ac:dyDescent="0.3">
      <c r="A226">
        <v>1191</v>
      </c>
    </row>
    <row r="227" spans="1:1" x14ac:dyDescent="0.3">
      <c r="A227">
        <v>1196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df_comparing_wrong_new</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Anastasiia Belkina</dc:creator>
  <cp:lastModifiedBy>Anastasiia Belkina</cp:lastModifiedBy>
  <dcterms:created xsi:type="dcterms:W3CDTF">2024-06-29T08:53:33Z</dcterms:created>
  <dcterms:modified xsi:type="dcterms:W3CDTF">2024-06-29T10:00:08Z</dcterms:modified>
</cp:coreProperties>
</file>